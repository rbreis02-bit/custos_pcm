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vallourec-my.sharepoint.com/personal/rafael_brandao_vallourec_com/Documents/Projetos_SAP/dashboard_custos_py/"/>
    </mc:Choice>
  </mc:AlternateContent>
  <xr:revisionPtr revIDLastSave="33" documentId="13_ncr:1_{31601FA6-D0F9-4A7D-8171-BE64885069A8}" xr6:coauthVersionLast="47" xr6:coauthVersionMax="47" xr10:uidLastSave="{6AF93714-B2BB-4C18-91A3-57B8631318DE}"/>
  <bookViews>
    <workbookView xWindow="28680" yWindow="-120" windowWidth="29040" windowHeight="15720" xr2:uid="{00000000-000D-0000-FFFF-FFFF00000000}"/>
  </bookViews>
  <sheets>
    <sheet name="BD" sheetId="2" r:id="rId1"/>
  </sheets>
  <externalReferences>
    <externalReference r:id="rId2"/>
  </externalReferences>
  <definedNames>
    <definedName name="_xlnm._FilterDatabase" localSheetId="0" hidden="1">BD!$A$1:$X$1332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88" i="2" l="1"/>
  <c r="W1488" i="2"/>
  <c r="V1488" i="2"/>
  <c r="X1487" i="2"/>
  <c r="W1487" i="2"/>
  <c r="V1487" i="2"/>
  <c r="X1486" i="2"/>
  <c r="W1486" i="2"/>
  <c r="V1486" i="2"/>
  <c r="X1485" i="2"/>
  <c r="W1485" i="2"/>
  <c r="V1485" i="2"/>
  <c r="X1484" i="2"/>
  <c r="W1484" i="2"/>
  <c r="V1484" i="2"/>
  <c r="X1483" i="2"/>
  <c r="W1483" i="2"/>
  <c r="V1483" i="2"/>
  <c r="X1482" i="2"/>
  <c r="W1482" i="2"/>
  <c r="V1482" i="2"/>
  <c r="X1481" i="2"/>
  <c r="W1481" i="2"/>
  <c r="V1481" i="2"/>
  <c r="X1480" i="2"/>
  <c r="W1480" i="2"/>
  <c r="V1480" i="2"/>
  <c r="X1479" i="2"/>
  <c r="W1479" i="2"/>
  <c r="V1479" i="2"/>
  <c r="X1478" i="2"/>
  <c r="W1478" i="2"/>
  <c r="V1478" i="2"/>
  <c r="X1477" i="2"/>
  <c r="W1477" i="2"/>
  <c r="V1477" i="2"/>
  <c r="X1476" i="2"/>
  <c r="W1476" i="2"/>
  <c r="V1476" i="2"/>
  <c r="X1475" i="2"/>
  <c r="W1475" i="2"/>
  <c r="V1475" i="2"/>
  <c r="X1474" i="2"/>
  <c r="W1474" i="2"/>
  <c r="V1474" i="2"/>
  <c r="X1473" i="2"/>
  <c r="W1473" i="2"/>
  <c r="V1473" i="2"/>
  <c r="X1472" i="2"/>
  <c r="W1472" i="2"/>
  <c r="V1472" i="2"/>
  <c r="X1471" i="2"/>
  <c r="W1471" i="2"/>
  <c r="V1471" i="2"/>
  <c r="X1470" i="2"/>
  <c r="W1470" i="2"/>
  <c r="V1470" i="2"/>
  <c r="X1469" i="2"/>
  <c r="W1469" i="2"/>
  <c r="V1469" i="2"/>
  <c r="X1468" i="2"/>
  <c r="W1468" i="2"/>
  <c r="V1468" i="2"/>
  <c r="X1467" i="2"/>
  <c r="W1467" i="2"/>
  <c r="V1467" i="2"/>
  <c r="X1466" i="2"/>
  <c r="W1466" i="2"/>
  <c r="V1466" i="2"/>
  <c r="X1465" i="2"/>
  <c r="W1465" i="2"/>
  <c r="V1465" i="2"/>
  <c r="X1464" i="2"/>
  <c r="W1464" i="2"/>
  <c r="V1464" i="2"/>
  <c r="X1463" i="2"/>
  <c r="W1463" i="2"/>
  <c r="V1463" i="2"/>
  <c r="X1462" i="2"/>
  <c r="W1462" i="2"/>
  <c r="V1462" i="2"/>
  <c r="X1461" i="2"/>
  <c r="W1461" i="2"/>
  <c r="V1461" i="2"/>
  <c r="X1460" i="2"/>
  <c r="W1460" i="2"/>
  <c r="V1460" i="2"/>
  <c r="X1459" i="2"/>
  <c r="W1459" i="2"/>
  <c r="V1459" i="2"/>
  <c r="X1458" i="2"/>
  <c r="W1458" i="2"/>
  <c r="V1458" i="2"/>
  <c r="X1457" i="2"/>
  <c r="W1457" i="2"/>
  <c r="V1457" i="2"/>
  <c r="X1456" i="2"/>
  <c r="W1456" i="2"/>
  <c r="V1456" i="2"/>
  <c r="X1455" i="2"/>
  <c r="W1455" i="2"/>
  <c r="V1455" i="2"/>
  <c r="X1454" i="2"/>
  <c r="W1454" i="2"/>
  <c r="V1454" i="2"/>
  <c r="X1453" i="2"/>
  <c r="W1453" i="2"/>
  <c r="V1453" i="2"/>
  <c r="X1452" i="2"/>
  <c r="W1452" i="2"/>
  <c r="V1452" i="2"/>
  <c r="X1451" i="2"/>
  <c r="W1451" i="2"/>
  <c r="V1451" i="2"/>
  <c r="X1450" i="2"/>
  <c r="W1450" i="2"/>
  <c r="V1450" i="2"/>
  <c r="X1449" i="2"/>
  <c r="W1449" i="2"/>
  <c r="V1449" i="2"/>
  <c r="X1448" i="2"/>
  <c r="W1448" i="2"/>
  <c r="V1448" i="2"/>
  <c r="X1447" i="2"/>
  <c r="W1447" i="2"/>
  <c r="V1447" i="2"/>
  <c r="X1446" i="2"/>
  <c r="W1446" i="2"/>
  <c r="V1446" i="2"/>
  <c r="X1445" i="2"/>
  <c r="W1445" i="2"/>
  <c r="V1445" i="2"/>
  <c r="X1444" i="2"/>
  <c r="W1444" i="2"/>
  <c r="V1444" i="2"/>
  <c r="X1443" i="2"/>
  <c r="W1443" i="2"/>
  <c r="V1443" i="2"/>
  <c r="X1442" i="2"/>
  <c r="W1442" i="2"/>
  <c r="V1442" i="2"/>
  <c r="X1441" i="2"/>
  <c r="W1441" i="2"/>
  <c r="V1441" i="2"/>
  <c r="X1440" i="2"/>
  <c r="W1440" i="2"/>
  <c r="V1440" i="2"/>
  <c r="X1439" i="2"/>
  <c r="W1439" i="2"/>
  <c r="V1439" i="2"/>
  <c r="X1438" i="2"/>
  <c r="W1438" i="2"/>
  <c r="V1438" i="2"/>
  <c r="X1437" i="2"/>
  <c r="W1437" i="2"/>
  <c r="V1437" i="2"/>
  <c r="X1436" i="2"/>
  <c r="W1436" i="2"/>
  <c r="V1436" i="2"/>
  <c r="X1435" i="2"/>
  <c r="W1435" i="2"/>
  <c r="V1435" i="2"/>
  <c r="X1434" i="2"/>
  <c r="W1434" i="2"/>
  <c r="V1434" i="2"/>
  <c r="X1433" i="2"/>
  <c r="W1433" i="2"/>
  <c r="V1433" i="2"/>
  <c r="X1432" i="2"/>
  <c r="W1432" i="2"/>
  <c r="V1432" i="2"/>
  <c r="X1431" i="2"/>
  <c r="W1431" i="2"/>
  <c r="V1431" i="2"/>
  <c r="X1430" i="2"/>
  <c r="W1430" i="2"/>
  <c r="V1430" i="2"/>
  <c r="X1429" i="2"/>
  <c r="W1429" i="2"/>
  <c r="V1429" i="2"/>
  <c r="X1428" i="2"/>
  <c r="W1428" i="2"/>
  <c r="V1428" i="2"/>
  <c r="X1427" i="2"/>
  <c r="W1427" i="2"/>
  <c r="V1427" i="2"/>
  <c r="X1426" i="2"/>
  <c r="W1426" i="2"/>
  <c r="V1426" i="2"/>
  <c r="X1425" i="2"/>
  <c r="W1425" i="2"/>
  <c r="V1425" i="2"/>
  <c r="X1424" i="2"/>
  <c r="W1424" i="2"/>
  <c r="V1424" i="2"/>
  <c r="X1423" i="2"/>
  <c r="W1423" i="2"/>
  <c r="V1423" i="2"/>
  <c r="X1422" i="2"/>
  <c r="W1422" i="2"/>
  <c r="V1422" i="2"/>
  <c r="X1421" i="2"/>
  <c r="W1421" i="2"/>
  <c r="V1421" i="2"/>
  <c r="X1420" i="2"/>
  <c r="W1420" i="2"/>
  <c r="V1420" i="2"/>
  <c r="X1419" i="2"/>
  <c r="W1419" i="2"/>
  <c r="V1419" i="2"/>
  <c r="X1418" i="2"/>
  <c r="W1418" i="2"/>
  <c r="V1418" i="2"/>
  <c r="X1417" i="2"/>
  <c r="W1417" i="2"/>
  <c r="V1417" i="2"/>
  <c r="X1416" i="2"/>
  <c r="W1416" i="2"/>
  <c r="V1416" i="2"/>
  <c r="X1415" i="2"/>
  <c r="W1415" i="2"/>
  <c r="V1415" i="2"/>
  <c r="X1414" i="2"/>
  <c r="W1414" i="2"/>
  <c r="V1414" i="2"/>
  <c r="X1413" i="2"/>
  <c r="W1413" i="2"/>
  <c r="V1413" i="2"/>
  <c r="X1412" i="2"/>
  <c r="W1412" i="2"/>
  <c r="V1412" i="2"/>
  <c r="X1411" i="2"/>
  <c r="W1411" i="2"/>
  <c r="V1411" i="2"/>
  <c r="X1410" i="2"/>
  <c r="W1410" i="2"/>
  <c r="V1410" i="2"/>
  <c r="X1409" i="2"/>
  <c r="W1409" i="2"/>
  <c r="V1409" i="2"/>
  <c r="X1408" i="2"/>
  <c r="W1408" i="2"/>
  <c r="V1408" i="2"/>
  <c r="X1407" i="2"/>
  <c r="W1407" i="2"/>
  <c r="V1407" i="2"/>
  <c r="X1406" i="2"/>
  <c r="W1406" i="2"/>
  <c r="V1406" i="2"/>
  <c r="X1405" i="2"/>
  <c r="W1405" i="2"/>
  <c r="V1405" i="2"/>
  <c r="X1404" i="2"/>
  <c r="W1404" i="2"/>
  <c r="V1404" i="2"/>
  <c r="X1403" i="2"/>
  <c r="W1403" i="2"/>
  <c r="V1403" i="2"/>
  <c r="X1402" i="2"/>
  <c r="W1402" i="2"/>
  <c r="V1402" i="2"/>
  <c r="X1401" i="2"/>
  <c r="W1401" i="2"/>
  <c r="V1401" i="2"/>
  <c r="X1400" i="2"/>
  <c r="W1400" i="2"/>
  <c r="V1400" i="2"/>
  <c r="X1399" i="2"/>
  <c r="W1399" i="2"/>
  <c r="V1399" i="2"/>
  <c r="X1398" i="2"/>
  <c r="W1398" i="2"/>
  <c r="V1398" i="2"/>
  <c r="X1397" i="2"/>
  <c r="W1397" i="2"/>
  <c r="V1397" i="2"/>
  <c r="X1396" i="2"/>
  <c r="W1396" i="2"/>
  <c r="V1396" i="2"/>
  <c r="X1395" i="2"/>
  <c r="W1395" i="2"/>
  <c r="V1395" i="2"/>
  <c r="X1394" i="2"/>
  <c r="W1394" i="2"/>
  <c r="V1394" i="2"/>
  <c r="X1393" i="2"/>
  <c r="W1393" i="2"/>
  <c r="V1393" i="2"/>
  <c r="X1392" i="2"/>
  <c r="W1392" i="2"/>
  <c r="V1392" i="2"/>
  <c r="X1391" i="2"/>
  <c r="W1391" i="2"/>
  <c r="V1391" i="2"/>
  <c r="X1390" i="2"/>
  <c r="W1390" i="2"/>
  <c r="V1390" i="2"/>
  <c r="X1389" i="2"/>
  <c r="W1389" i="2"/>
  <c r="V1389" i="2"/>
  <c r="X1388" i="2"/>
  <c r="W1388" i="2"/>
  <c r="V1388" i="2"/>
  <c r="X1387" i="2"/>
  <c r="W1387" i="2"/>
  <c r="V1387" i="2"/>
  <c r="X1386" i="2"/>
  <c r="W1386" i="2"/>
  <c r="V1386" i="2"/>
  <c r="X1385" i="2"/>
  <c r="W1385" i="2"/>
  <c r="V1385" i="2"/>
  <c r="X1384" i="2"/>
  <c r="W1384" i="2"/>
  <c r="V1384" i="2"/>
  <c r="X1383" i="2"/>
  <c r="W1383" i="2"/>
  <c r="V1383" i="2"/>
  <c r="X1382" i="2"/>
  <c r="W1382" i="2"/>
  <c r="V1382" i="2"/>
  <c r="X1381" i="2"/>
  <c r="W1381" i="2"/>
  <c r="V1381" i="2"/>
  <c r="X1380" i="2"/>
  <c r="W1380" i="2"/>
  <c r="V1380" i="2"/>
  <c r="X1379" i="2"/>
  <c r="W1379" i="2"/>
  <c r="V1379" i="2"/>
  <c r="X1378" i="2"/>
  <c r="W1378" i="2"/>
  <c r="V1378" i="2"/>
  <c r="X1377" i="2"/>
  <c r="W1377" i="2"/>
  <c r="V1377" i="2"/>
  <c r="X1376" i="2"/>
  <c r="W1376" i="2"/>
  <c r="V1376" i="2"/>
  <c r="X1375" i="2"/>
  <c r="W1375" i="2"/>
  <c r="V1375" i="2"/>
  <c r="X1374" i="2"/>
  <c r="W1374" i="2"/>
  <c r="V1374" i="2"/>
  <c r="X1373" i="2"/>
  <c r="W1373" i="2"/>
  <c r="V1373" i="2"/>
  <c r="X1372" i="2"/>
  <c r="W1372" i="2"/>
  <c r="V1372" i="2"/>
  <c r="X1371" i="2"/>
  <c r="W1371" i="2"/>
  <c r="V1371" i="2"/>
  <c r="X1370" i="2"/>
  <c r="W1370" i="2"/>
  <c r="V1370" i="2"/>
  <c r="X1369" i="2"/>
  <c r="W1369" i="2"/>
  <c r="V1369" i="2"/>
  <c r="X1368" i="2"/>
  <c r="W1368" i="2"/>
  <c r="V1368" i="2"/>
  <c r="X1367" i="2"/>
  <c r="W1367" i="2"/>
  <c r="V1367" i="2"/>
  <c r="X1366" i="2"/>
  <c r="W1366" i="2"/>
  <c r="V1366" i="2"/>
  <c r="X1365" i="2"/>
  <c r="W1365" i="2"/>
  <c r="V1365" i="2"/>
  <c r="X1364" i="2"/>
  <c r="W1364" i="2"/>
  <c r="V1364" i="2"/>
  <c r="X1363" i="2"/>
  <c r="W1363" i="2"/>
  <c r="V1363" i="2"/>
  <c r="X1362" i="2"/>
  <c r="W1362" i="2"/>
  <c r="V1362" i="2"/>
  <c r="X1361" i="2"/>
  <c r="W1361" i="2"/>
  <c r="V1361" i="2"/>
  <c r="X1360" i="2"/>
  <c r="W1360" i="2"/>
  <c r="V1360" i="2"/>
  <c r="X1359" i="2"/>
  <c r="W1359" i="2"/>
  <c r="V1359" i="2"/>
  <c r="X1358" i="2"/>
  <c r="W1358" i="2"/>
  <c r="V1358" i="2"/>
  <c r="X1357" i="2"/>
  <c r="W1357" i="2"/>
  <c r="V1357" i="2"/>
  <c r="X1356" i="2"/>
  <c r="W1356" i="2"/>
  <c r="V1356" i="2"/>
  <c r="X1355" i="2"/>
  <c r="W1355" i="2"/>
  <c r="V1355" i="2"/>
  <c r="X1354" i="2"/>
  <c r="W1354" i="2"/>
  <c r="V1354" i="2"/>
  <c r="X1353" i="2"/>
  <c r="W1353" i="2"/>
  <c r="V1353" i="2"/>
  <c r="X1352" i="2"/>
  <c r="W1352" i="2"/>
  <c r="V1352" i="2"/>
  <c r="X1351" i="2"/>
  <c r="W1351" i="2"/>
  <c r="V1351" i="2"/>
  <c r="X1350" i="2"/>
  <c r="W1350" i="2"/>
  <c r="V1350" i="2"/>
  <c r="X1349" i="2"/>
  <c r="W1349" i="2"/>
  <c r="V1349" i="2"/>
  <c r="X1348" i="2"/>
  <c r="W1348" i="2"/>
  <c r="V1348" i="2"/>
  <c r="X1347" i="2"/>
  <c r="W1347" i="2"/>
  <c r="V1347" i="2"/>
  <c r="X1346" i="2"/>
  <c r="W1346" i="2"/>
  <c r="V1346" i="2"/>
  <c r="X1345" i="2"/>
  <c r="W1345" i="2"/>
  <c r="V1345" i="2"/>
  <c r="X1344" i="2"/>
  <c r="W1344" i="2"/>
  <c r="V1344" i="2"/>
  <c r="X1343" i="2"/>
  <c r="W1343" i="2"/>
  <c r="V1343" i="2"/>
  <c r="X1342" i="2"/>
  <c r="W1342" i="2"/>
  <c r="V1342" i="2"/>
  <c r="X1341" i="2"/>
  <c r="W1341" i="2"/>
  <c r="V1341" i="2"/>
  <c r="X1340" i="2"/>
  <c r="W1340" i="2"/>
  <c r="V1340" i="2"/>
  <c r="X1339" i="2"/>
  <c r="W1339" i="2"/>
  <c r="V1339" i="2"/>
  <c r="X1338" i="2"/>
  <c r="W1338" i="2"/>
  <c r="V1338" i="2"/>
  <c r="X1337" i="2"/>
  <c r="W1337" i="2"/>
  <c r="V1337" i="2"/>
  <c r="X1336" i="2"/>
  <c r="W1336" i="2"/>
  <c r="V1336" i="2"/>
  <c r="X1335" i="2"/>
  <c r="W1335" i="2"/>
  <c r="V1335" i="2"/>
  <c r="X1334" i="2"/>
  <c r="W1334" i="2"/>
  <c r="V1334" i="2"/>
  <c r="X1333" i="2"/>
  <c r="W1333" i="2"/>
  <c r="V1333" i="2"/>
  <c r="X1332" i="2"/>
  <c r="W1332" i="2"/>
  <c r="V1332" i="2"/>
  <c r="X1331" i="2"/>
  <c r="W1331" i="2"/>
  <c r="V1331" i="2"/>
  <c r="X1330" i="2"/>
  <c r="W1330" i="2"/>
  <c r="V1330" i="2"/>
  <c r="X1329" i="2"/>
  <c r="W1329" i="2"/>
  <c r="V1329" i="2"/>
  <c r="X1328" i="2"/>
  <c r="W1328" i="2"/>
  <c r="V1328" i="2"/>
  <c r="X1327" i="2"/>
  <c r="W1327" i="2"/>
  <c r="V1327" i="2"/>
  <c r="X1326" i="2"/>
  <c r="W1326" i="2"/>
  <c r="V1326" i="2"/>
  <c r="X1325" i="2"/>
  <c r="W1325" i="2"/>
  <c r="V1325" i="2"/>
  <c r="X1324" i="2"/>
  <c r="W1324" i="2"/>
  <c r="V1324" i="2"/>
  <c r="X1323" i="2"/>
  <c r="W1323" i="2"/>
  <c r="V1323" i="2"/>
  <c r="X1322" i="2"/>
  <c r="W1322" i="2"/>
  <c r="V1322" i="2"/>
  <c r="X1321" i="2"/>
  <c r="W1321" i="2"/>
  <c r="V1321" i="2"/>
  <c r="X1320" i="2"/>
  <c r="W1320" i="2"/>
  <c r="V1320" i="2"/>
  <c r="X1319" i="2"/>
  <c r="W1319" i="2"/>
  <c r="V1319" i="2"/>
  <c r="X1318" i="2"/>
  <c r="W1318" i="2"/>
  <c r="V1318" i="2"/>
  <c r="X1317" i="2"/>
  <c r="W1317" i="2"/>
  <c r="V1317" i="2"/>
  <c r="X1316" i="2"/>
  <c r="W1316" i="2"/>
  <c r="V1316" i="2"/>
  <c r="X1315" i="2"/>
  <c r="W1315" i="2"/>
  <c r="V1315" i="2"/>
  <c r="X1314" i="2"/>
  <c r="W1314" i="2"/>
  <c r="V1314" i="2"/>
  <c r="X1313" i="2"/>
  <c r="W1313" i="2"/>
  <c r="V1313" i="2"/>
  <c r="X1312" i="2"/>
  <c r="W1312" i="2"/>
  <c r="V1312" i="2"/>
  <c r="X1311" i="2"/>
  <c r="W1311" i="2"/>
  <c r="V1311" i="2"/>
  <c r="X1310" i="2"/>
  <c r="W1310" i="2"/>
  <c r="V1310" i="2"/>
  <c r="X1309" i="2"/>
  <c r="W1309" i="2"/>
  <c r="V1309" i="2"/>
  <c r="X1308" i="2"/>
  <c r="W1308" i="2"/>
  <c r="V1308" i="2"/>
  <c r="X1307" i="2"/>
  <c r="W1307" i="2"/>
  <c r="V1307" i="2"/>
  <c r="X1306" i="2"/>
  <c r="W1306" i="2"/>
  <c r="V1306" i="2"/>
  <c r="X1305" i="2"/>
  <c r="W1305" i="2"/>
  <c r="V1305" i="2"/>
  <c r="X1304" i="2"/>
  <c r="W1304" i="2"/>
  <c r="V1304" i="2"/>
  <c r="X1303" i="2"/>
  <c r="W1303" i="2"/>
  <c r="V1303" i="2"/>
  <c r="X1302" i="2"/>
  <c r="W1302" i="2"/>
  <c r="V1302" i="2"/>
  <c r="X1301" i="2"/>
  <c r="W1301" i="2"/>
  <c r="V1301" i="2"/>
  <c r="X1300" i="2"/>
  <c r="W1300" i="2"/>
  <c r="V1300" i="2"/>
  <c r="X1299" i="2"/>
  <c r="W1299" i="2"/>
  <c r="V1299" i="2"/>
  <c r="X1298" i="2"/>
  <c r="W1298" i="2"/>
  <c r="V1298" i="2"/>
  <c r="X1297" i="2"/>
  <c r="W1297" i="2"/>
  <c r="V1297" i="2"/>
  <c r="X1296" i="2"/>
  <c r="W1296" i="2"/>
  <c r="V1296" i="2"/>
  <c r="X1295" i="2"/>
  <c r="W1295" i="2"/>
  <c r="V1295" i="2"/>
  <c r="X1294" i="2"/>
  <c r="W1294" i="2"/>
  <c r="V1294" i="2"/>
  <c r="X1293" i="2"/>
  <c r="W1293" i="2"/>
  <c r="V1293" i="2"/>
  <c r="X1292" i="2"/>
  <c r="W1292" i="2"/>
  <c r="V1292" i="2"/>
  <c r="X1291" i="2"/>
  <c r="W1291" i="2"/>
  <c r="V1291" i="2"/>
  <c r="X1290" i="2"/>
  <c r="W1290" i="2"/>
  <c r="V1290" i="2"/>
  <c r="X1289" i="2"/>
  <c r="W1289" i="2"/>
  <c r="V1289" i="2"/>
  <c r="X1288" i="2"/>
  <c r="W1288" i="2"/>
  <c r="V1288" i="2"/>
  <c r="X1287" i="2"/>
  <c r="W1287" i="2"/>
  <c r="V1287" i="2"/>
  <c r="X1286" i="2"/>
  <c r="W1286" i="2"/>
  <c r="V1286" i="2"/>
  <c r="X1285" i="2"/>
  <c r="W1285" i="2"/>
  <c r="V1285" i="2"/>
  <c r="X1284" i="2"/>
  <c r="W1284" i="2"/>
  <c r="V1284" i="2"/>
  <c r="X1283" i="2"/>
  <c r="W1283" i="2"/>
  <c r="V1283" i="2"/>
  <c r="X1282" i="2"/>
  <c r="W1282" i="2"/>
  <c r="V1282" i="2"/>
  <c r="X1281" i="2"/>
  <c r="W1281" i="2"/>
  <c r="V1281" i="2"/>
  <c r="X1280" i="2"/>
  <c r="W1280" i="2"/>
  <c r="V1280" i="2"/>
  <c r="X1279" i="2"/>
  <c r="W1279" i="2"/>
  <c r="V1279" i="2"/>
  <c r="X1278" i="2"/>
  <c r="W1278" i="2"/>
  <c r="V1278" i="2"/>
  <c r="X1277" i="2"/>
  <c r="W1277" i="2"/>
  <c r="V1277" i="2"/>
  <c r="X1276" i="2"/>
  <c r="W1276" i="2"/>
  <c r="V1276" i="2"/>
  <c r="X1275" i="2"/>
  <c r="W1275" i="2"/>
  <c r="V1275" i="2"/>
  <c r="X1274" i="2"/>
  <c r="W1274" i="2"/>
  <c r="V1274" i="2"/>
  <c r="X1273" i="2"/>
  <c r="W1273" i="2"/>
  <c r="V1273" i="2"/>
  <c r="X1272" i="2"/>
  <c r="W1272" i="2"/>
  <c r="V1272" i="2"/>
  <c r="X1271" i="2"/>
  <c r="W1271" i="2"/>
  <c r="V1271" i="2"/>
  <c r="X1270" i="2"/>
  <c r="W1270" i="2"/>
  <c r="V1270" i="2"/>
  <c r="X1269" i="2"/>
  <c r="W1269" i="2"/>
  <c r="V1269" i="2"/>
  <c r="X1268" i="2"/>
  <c r="W1268" i="2"/>
  <c r="V1268" i="2"/>
  <c r="X1267" i="2"/>
  <c r="W1267" i="2"/>
  <c r="V1267" i="2"/>
  <c r="X1266" i="2"/>
  <c r="W1266" i="2"/>
  <c r="V1266" i="2"/>
  <c r="X1265" i="2"/>
  <c r="W1265" i="2"/>
  <c r="V1265" i="2"/>
  <c r="X1264" i="2"/>
  <c r="W1264" i="2"/>
  <c r="V1264" i="2"/>
  <c r="X1263" i="2"/>
  <c r="W1263" i="2"/>
  <c r="V1263" i="2"/>
  <c r="X1262" i="2"/>
  <c r="W1262" i="2"/>
  <c r="V1262" i="2"/>
  <c r="X1261" i="2"/>
  <c r="W1261" i="2"/>
  <c r="V1261" i="2"/>
  <c r="X1260" i="2"/>
  <c r="W1260" i="2"/>
  <c r="V1260" i="2"/>
  <c r="X1259" i="2"/>
  <c r="W1259" i="2"/>
  <c r="V1259" i="2"/>
  <c r="X1258" i="2"/>
  <c r="W1258" i="2"/>
  <c r="V1258" i="2"/>
  <c r="X1257" i="2"/>
  <c r="W1257" i="2"/>
  <c r="V1257" i="2"/>
  <c r="X1256" i="2"/>
  <c r="W1256" i="2"/>
  <c r="V1256" i="2"/>
  <c r="X1255" i="2"/>
  <c r="W1255" i="2"/>
  <c r="V1255" i="2"/>
  <c r="X1254" i="2"/>
  <c r="W1254" i="2"/>
  <c r="V1254" i="2"/>
  <c r="X1253" i="2"/>
  <c r="W1253" i="2"/>
  <c r="V1253" i="2"/>
  <c r="X1252" i="2"/>
  <c r="W1252" i="2"/>
  <c r="V1252" i="2"/>
  <c r="X1251" i="2"/>
  <c r="W1251" i="2"/>
  <c r="V1251" i="2"/>
  <c r="X1250" i="2"/>
  <c r="W1250" i="2"/>
  <c r="V1250" i="2"/>
  <c r="X1249" i="2"/>
  <c r="W1249" i="2"/>
  <c r="V1249" i="2"/>
  <c r="X1248" i="2"/>
  <c r="W1248" i="2"/>
  <c r="V1248" i="2"/>
  <c r="X1247" i="2"/>
  <c r="W1247" i="2"/>
  <c r="V1247" i="2"/>
  <c r="X1246" i="2"/>
  <c r="W1246" i="2"/>
  <c r="V1246" i="2"/>
  <c r="X1245" i="2"/>
  <c r="W1245" i="2"/>
  <c r="V1245" i="2"/>
  <c r="X1244" i="2"/>
  <c r="W1244" i="2"/>
  <c r="V1244" i="2"/>
  <c r="X1243" i="2"/>
  <c r="W1243" i="2"/>
  <c r="V1243" i="2"/>
  <c r="X1242" i="2"/>
  <c r="W1242" i="2"/>
  <c r="V1242" i="2"/>
  <c r="X1241" i="2"/>
  <c r="W1241" i="2"/>
  <c r="V1241" i="2"/>
  <c r="X1240" i="2"/>
  <c r="W1240" i="2"/>
  <c r="V1240" i="2"/>
  <c r="X1239" i="2"/>
  <c r="W1239" i="2"/>
  <c r="V1239" i="2"/>
  <c r="X1238" i="2"/>
  <c r="W1238" i="2"/>
  <c r="V1238" i="2"/>
  <c r="X1237" i="2"/>
  <c r="W1237" i="2"/>
  <c r="V1237" i="2"/>
  <c r="X1236" i="2"/>
  <c r="W1236" i="2"/>
  <c r="V1236" i="2"/>
  <c r="X1235" i="2"/>
  <c r="W1235" i="2"/>
  <c r="V1235" i="2"/>
  <c r="X1234" i="2"/>
  <c r="W1234" i="2"/>
  <c r="V1234" i="2"/>
  <c r="X1233" i="2"/>
  <c r="W1233" i="2"/>
  <c r="V1233" i="2"/>
  <c r="X1232" i="2"/>
  <c r="W1232" i="2"/>
  <c r="V1232" i="2"/>
  <c r="X1231" i="2"/>
  <c r="W1231" i="2"/>
  <c r="V1231" i="2"/>
  <c r="X1230" i="2"/>
  <c r="W1230" i="2"/>
  <c r="V1230" i="2"/>
  <c r="X1229" i="2"/>
  <c r="W1229" i="2"/>
  <c r="V1229" i="2"/>
  <c r="X1228" i="2"/>
  <c r="W1228" i="2"/>
  <c r="V1228" i="2"/>
  <c r="X1227" i="2"/>
  <c r="W1227" i="2"/>
  <c r="V1227" i="2"/>
  <c r="X1226" i="2"/>
  <c r="W1226" i="2"/>
  <c r="V1226" i="2"/>
  <c r="X1225" i="2"/>
  <c r="W1225" i="2"/>
  <c r="V1225" i="2"/>
  <c r="X1224" i="2"/>
  <c r="W1224" i="2"/>
  <c r="V1224" i="2"/>
  <c r="X1223" i="2"/>
  <c r="W1223" i="2"/>
  <c r="V1223" i="2"/>
  <c r="X1222" i="2"/>
  <c r="W1222" i="2"/>
  <c r="V1222" i="2"/>
  <c r="X1221" i="2"/>
  <c r="W1221" i="2"/>
  <c r="V1221" i="2"/>
  <c r="X1220" i="2"/>
  <c r="W1220" i="2"/>
  <c r="V1220" i="2"/>
  <c r="X1219" i="2"/>
  <c r="W1219" i="2"/>
  <c r="V1219" i="2"/>
  <c r="X1218" i="2"/>
  <c r="W1218" i="2"/>
  <c r="V1218" i="2"/>
  <c r="X1217" i="2"/>
  <c r="W1217" i="2"/>
  <c r="V1217" i="2"/>
  <c r="X1216" i="2"/>
  <c r="W1216" i="2"/>
  <c r="V1216" i="2"/>
  <c r="X1215" i="2"/>
  <c r="W1215" i="2"/>
  <c r="V1215" i="2"/>
  <c r="X1214" i="2"/>
  <c r="W1214" i="2"/>
  <c r="V1214" i="2"/>
  <c r="X1213" i="2"/>
  <c r="W1213" i="2"/>
  <c r="V1213" i="2"/>
  <c r="X1212" i="2"/>
  <c r="W1212" i="2"/>
  <c r="V1212" i="2"/>
  <c r="X1211" i="2"/>
  <c r="W1211" i="2"/>
  <c r="V1211" i="2"/>
  <c r="X1210" i="2"/>
  <c r="W1210" i="2"/>
  <c r="V1210" i="2"/>
  <c r="X1209" i="2"/>
  <c r="W1209" i="2"/>
  <c r="V1209" i="2"/>
  <c r="X1208" i="2"/>
  <c r="W1208" i="2"/>
  <c r="V1208" i="2"/>
  <c r="X1207" i="2"/>
  <c r="W1207" i="2"/>
  <c r="V1207" i="2"/>
  <c r="X1206" i="2"/>
  <c r="W1206" i="2"/>
  <c r="V1206" i="2"/>
  <c r="X1205" i="2"/>
  <c r="W1205" i="2"/>
  <c r="V1205" i="2"/>
  <c r="X1204" i="2"/>
  <c r="W1204" i="2"/>
  <c r="V1204" i="2"/>
  <c r="X1203" i="2"/>
  <c r="W1203" i="2"/>
  <c r="V1203" i="2"/>
  <c r="X1202" i="2"/>
  <c r="W1202" i="2"/>
  <c r="V1202" i="2"/>
  <c r="X1201" i="2"/>
  <c r="W1201" i="2"/>
  <c r="V1201" i="2"/>
  <c r="X1200" i="2"/>
  <c r="W1200" i="2"/>
  <c r="V1200" i="2"/>
  <c r="X1199" i="2"/>
  <c r="W1199" i="2"/>
  <c r="V1199" i="2"/>
  <c r="X1198" i="2"/>
  <c r="W1198" i="2"/>
  <c r="V1198" i="2"/>
  <c r="X1197" i="2"/>
  <c r="W1197" i="2"/>
  <c r="V1197" i="2"/>
  <c r="X1196" i="2"/>
  <c r="W1196" i="2"/>
  <c r="V1196" i="2"/>
  <c r="X1195" i="2"/>
  <c r="W1195" i="2"/>
  <c r="V1195" i="2"/>
  <c r="X1194" i="2"/>
  <c r="W1194" i="2"/>
  <c r="V1194" i="2"/>
  <c r="X1193" i="2"/>
  <c r="W1193" i="2"/>
  <c r="V1193" i="2"/>
  <c r="X1192" i="2"/>
  <c r="W1192" i="2"/>
  <c r="V1192" i="2"/>
  <c r="X1191" i="2"/>
  <c r="W1191" i="2"/>
  <c r="V1191" i="2"/>
  <c r="X1190" i="2"/>
  <c r="W1190" i="2"/>
  <c r="V1190" i="2"/>
  <c r="X1189" i="2"/>
  <c r="W1189" i="2"/>
  <c r="V1189" i="2"/>
  <c r="X1188" i="2"/>
  <c r="W1188" i="2"/>
  <c r="V1188" i="2"/>
  <c r="X1187" i="2"/>
  <c r="W1187" i="2"/>
  <c r="V1187" i="2"/>
  <c r="X1186" i="2"/>
  <c r="W1186" i="2"/>
  <c r="V1186" i="2"/>
  <c r="X1185" i="2"/>
  <c r="W1185" i="2"/>
  <c r="V1185" i="2"/>
  <c r="X1184" i="2"/>
  <c r="W1184" i="2"/>
  <c r="V1184" i="2"/>
  <c r="X1183" i="2"/>
  <c r="W1183" i="2"/>
  <c r="V1183" i="2"/>
  <c r="X1182" i="2"/>
  <c r="W1182" i="2"/>
  <c r="V1182" i="2"/>
  <c r="X1181" i="2"/>
  <c r="W1181" i="2"/>
  <c r="V1181" i="2"/>
  <c r="X1180" i="2"/>
  <c r="W1180" i="2"/>
  <c r="V1180" i="2"/>
  <c r="X1179" i="2"/>
  <c r="W1179" i="2"/>
  <c r="V1179" i="2"/>
  <c r="X1178" i="2"/>
  <c r="W1178" i="2"/>
  <c r="V1178" i="2"/>
  <c r="X1177" i="2"/>
  <c r="W1177" i="2"/>
  <c r="V1177" i="2"/>
  <c r="X1176" i="2"/>
  <c r="W1176" i="2"/>
  <c r="V1176" i="2"/>
  <c r="X1175" i="2"/>
  <c r="W1175" i="2"/>
  <c r="V1175" i="2"/>
  <c r="X1174" i="2"/>
  <c r="W1174" i="2"/>
  <c r="V1174" i="2"/>
  <c r="X1173" i="2"/>
  <c r="W1173" i="2"/>
  <c r="V1173" i="2"/>
  <c r="X1172" i="2"/>
  <c r="W1172" i="2"/>
  <c r="V1172" i="2"/>
  <c r="X1171" i="2"/>
  <c r="W1171" i="2"/>
  <c r="V1171" i="2"/>
  <c r="X1170" i="2"/>
  <c r="W1170" i="2"/>
  <c r="V1170" i="2"/>
  <c r="X1169" i="2"/>
  <c r="W1169" i="2"/>
  <c r="V1169" i="2"/>
  <c r="X1168" i="2"/>
  <c r="W1168" i="2"/>
  <c r="V1168" i="2"/>
  <c r="X1167" i="2"/>
  <c r="W1167" i="2"/>
  <c r="V1167" i="2"/>
  <c r="X1166" i="2"/>
  <c r="W1166" i="2"/>
  <c r="V1166" i="2"/>
  <c r="X1165" i="2"/>
  <c r="W1165" i="2"/>
  <c r="V1165" i="2"/>
  <c r="X1164" i="2"/>
  <c r="W1164" i="2"/>
  <c r="V1164" i="2"/>
  <c r="X1163" i="2"/>
  <c r="W1163" i="2"/>
  <c r="V1163" i="2"/>
  <c r="X1162" i="2"/>
  <c r="W1162" i="2"/>
  <c r="V1162" i="2"/>
  <c r="X1161" i="2"/>
  <c r="W1161" i="2"/>
  <c r="V1161" i="2"/>
  <c r="X1160" i="2"/>
  <c r="W1160" i="2"/>
  <c r="V1160" i="2"/>
  <c r="X1159" i="2"/>
  <c r="W1159" i="2"/>
  <c r="V1159" i="2"/>
  <c r="X1158" i="2"/>
  <c r="W1158" i="2"/>
  <c r="V1158" i="2"/>
  <c r="X1157" i="2"/>
  <c r="W1157" i="2"/>
  <c r="V1157" i="2"/>
  <c r="X1156" i="2"/>
  <c r="W1156" i="2"/>
  <c r="V1156" i="2"/>
  <c r="X1155" i="2"/>
  <c r="W1155" i="2"/>
  <c r="V1155" i="2"/>
  <c r="X1154" i="2"/>
  <c r="W1154" i="2"/>
  <c r="V1154" i="2"/>
  <c r="X1153" i="2"/>
  <c r="W1153" i="2"/>
  <c r="V1153" i="2"/>
  <c r="X1152" i="2"/>
  <c r="W1152" i="2"/>
  <c r="V1152" i="2"/>
  <c r="X1151" i="2"/>
  <c r="W1151" i="2"/>
  <c r="V1151" i="2"/>
  <c r="X1150" i="2"/>
  <c r="W1150" i="2"/>
  <c r="V1150" i="2"/>
  <c r="X1149" i="2"/>
  <c r="W1149" i="2"/>
  <c r="V1149" i="2"/>
  <c r="X1148" i="2"/>
  <c r="W1148" i="2"/>
  <c r="V1148" i="2"/>
  <c r="X1147" i="2"/>
  <c r="W1147" i="2"/>
  <c r="V1147" i="2"/>
  <c r="X1146" i="2"/>
  <c r="W1146" i="2"/>
  <c r="V1146" i="2"/>
  <c r="X1145" i="2"/>
  <c r="W1145" i="2"/>
  <c r="V1145" i="2"/>
  <c r="X1144" i="2"/>
  <c r="W1144" i="2"/>
  <c r="V1144" i="2"/>
  <c r="X1143" i="2"/>
  <c r="W1143" i="2"/>
  <c r="V1143" i="2"/>
  <c r="X1142" i="2"/>
  <c r="W1142" i="2"/>
  <c r="V1142" i="2"/>
  <c r="X1141" i="2"/>
  <c r="W1141" i="2"/>
  <c r="V1141" i="2"/>
  <c r="X1140" i="2"/>
  <c r="W1140" i="2"/>
  <c r="V1140" i="2"/>
  <c r="X1139" i="2"/>
  <c r="W1139" i="2"/>
  <c r="V1139" i="2"/>
  <c r="X1138" i="2"/>
  <c r="W1138" i="2"/>
  <c r="V1138" i="2"/>
  <c r="X1137" i="2"/>
  <c r="W1137" i="2"/>
  <c r="V1137" i="2"/>
  <c r="X1136" i="2"/>
  <c r="W1136" i="2"/>
  <c r="V1136" i="2"/>
  <c r="X1135" i="2"/>
  <c r="W1135" i="2"/>
  <c r="V1135" i="2"/>
  <c r="X1134" i="2"/>
  <c r="W1134" i="2"/>
  <c r="V1134" i="2"/>
  <c r="X1133" i="2"/>
  <c r="W1133" i="2"/>
  <c r="V1133" i="2"/>
  <c r="X1132" i="2"/>
  <c r="W1132" i="2"/>
  <c r="V1132" i="2"/>
  <c r="X1131" i="2"/>
  <c r="W1131" i="2"/>
  <c r="V1131" i="2"/>
  <c r="X1130" i="2"/>
  <c r="W1130" i="2"/>
  <c r="V1130" i="2"/>
  <c r="X1129" i="2"/>
  <c r="W1129" i="2"/>
  <c r="V1129" i="2"/>
  <c r="X1128" i="2"/>
  <c r="W1128" i="2"/>
  <c r="V1128" i="2"/>
  <c r="X1127" i="2"/>
  <c r="W1127" i="2"/>
  <c r="V1127" i="2"/>
  <c r="X1126" i="2"/>
  <c r="W1126" i="2"/>
  <c r="V1126" i="2"/>
  <c r="X1125" i="2"/>
  <c r="W1125" i="2"/>
  <c r="V1125" i="2"/>
  <c r="X1124" i="2"/>
  <c r="W1124" i="2"/>
  <c r="V1124" i="2"/>
  <c r="X1123" i="2"/>
  <c r="W1123" i="2"/>
  <c r="V1123" i="2"/>
  <c r="X1122" i="2"/>
  <c r="W1122" i="2"/>
  <c r="V1122" i="2"/>
  <c r="X1121" i="2"/>
  <c r="W1121" i="2"/>
  <c r="V1121" i="2"/>
  <c r="X1120" i="2"/>
  <c r="W1120" i="2"/>
  <c r="V1120" i="2"/>
  <c r="X1119" i="2"/>
  <c r="W1119" i="2"/>
  <c r="V1119" i="2"/>
  <c r="X1118" i="2"/>
  <c r="W1118" i="2"/>
  <c r="V1118" i="2"/>
  <c r="X1117" i="2"/>
  <c r="W1117" i="2"/>
  <c r="V1117" i="2"/>
  <c r="X1116" i="2"/>
  <c r="W1116" i="2"/>
  <c r="V1116" i="2"/>
  <c r="X1115" i="2"/>
  <c r="W1115" i="2"/>
  <c r="V1115" i="2"/>
  <c r="X1114" i="2"/>
  <c r="W1114" i="2"/>
  <c r="V1114" i="2"/>
  <c r="X1113" i="2"/>
  <c r="W1113" i="2"/>
  <c r="V1113" i="2"/>
  <c r="X1112" i="2"/>
  <c r="W1112" i="2"/>
  <c r="V1112" i="2"/>
  <c r="X1111" i="2"/>
  <c r="W1111" i="2"/>
  <c r="V1111" i="2"/>
  <c r="X1110" i="2"/>
  <c r="W1110" i="2"/>
  <c r="V1110" i="2"/>
  <c r="X1109" i="2"/>
  <c r="W1109" i="2"/>
  <c r="V1109" i="2"/>
  <c r="X1108" i="2"/>
  <c r="W1108" i="2"/>
  <c r="V1108" i="2"/>
  <c r="X1107" i="2"/>
  <c r="W1107" i="2"/>
  <c r="V1107" i="2"/>
  <c r="X1106" i="2"/>
  <c r="W1106" i="2"/>
  <c r="V1106" i="2"/>
  <c r="X1105" i="2"/>
  <c r="W1105" i="2"/>
  <c r="V1105" i="2"/>
  <c r="X1104" i="2"/>
  <c r="W1104" i="2"/>
  <c r="V1104" i="2"/>
  <c r="X1103" i="2"/>
  <c r="W1103" i="2"/>
  <c r="V1103" i="2"/>
  <c r="X1102" i="2"/>
  <c r="W1102" i="2"/>
  <c r="V1102" i="2"/>
  <c r="X1101" i="2"/>
  <c r="W1101" i="2"/>
  <c r="V1101" i="2"/>
  <c r="X1100" i="2"/>
  <c r="W1100" i="2"/>
  <c r="V1100" i="2"/>
  <c r="X1099" i="2"/>
  <c r="W1099" i="2"/>
  <c r="V1099" i="2"/>
  <c r="X1098" i="2"/>
  <c r="W1098" i="2"/>
  <c r="V1098" i="2"/>
  <c r="X1097" i="2"/>
  <c r="W1097" i="2"/>
  <c r="V1097" i="2"/>
  <c r="X1096" i="2"/>
  <c r="W1096" i="2"/>
  <c r="V1096" i="2"/>
  <c r="X1095" i="2"/>
  <c r="W1095" i="2"/>
  <c r="V1095" i="2"/>
  <c r="X1094" i="2"/>
  <c r="W1094" i="2"/>
  <c r="V1094" i="2"/>
  <c r="X1093" i="2"/>
  <c r="W1093" i="2"/>
  <c r="V1093" i="2"/>
  <c r="X1092" i="2"/>
  <c r="W1092" i="2"/>
  <c r="V1092" i="2"/>
  <c r="X1091" i="2"/>
  <c r="W1091" i="2"/>
  <c r="V1091" i="2"/>
  <c r="X1090" i="2"/>
  <c r="W1090" i="2"/>
  <c r="V1090" i="2"/>
  <c r="X1089" i="2"/>
  <c r="W1089" i="2"/>
  <c r="V1089" i="2"/>
  <c r="X1088" i="2"/>
  <c r="W1088" i="2"/>
  <c r="V1088" i="2"/>
  <c r="X1087" i="2"/>
  <c r="W1087" i="2"/>
  <c r="V1087" i="2"/>
  <c r="X1086" i="2"/>
  <c r="W1086" i="2"/>
  <c r="V1086" i="2"/>
  <c r="X1085" i="2"/>
  <c r="W1085" i="2"/>
  <c r="V1085" i="2"/>
  <c r="X1084" i="2"/>
  <c r="W1084" i="2"/>
  <c r="V1084" i="2"/>
  <c r="X1083" i="2"/>
  <c r="W1083" i="2"/>
  <c r="V1083" i="2"/>
  <c r="X1082" i="2"/>
  <c r="W1082" i="2"/>
  <c r="V1082" i="2"/>
  <c r="X1081" i="2"/>
  <c r="W1081" i="2"/>
  <c r="V1081" i="2"/>
  <c r="X1080" i="2"/>
  <c r="W1080" i="2"/>
  <c r="V1080" i="2"/>
  <c r="X1079" i="2"/>
  <c r="W1079" i="2"/>
  <c r="V1079" i="2"/>
  <c r="X1078" i="2"/>
  <c r="W1078" i="2"/>
  <c r="V1078" i="2"/>
  <c r="X1077" i="2"/>
  <c r="W1077" i="2"/>
  <c r="V1077" i="2"/>
  <c r="X1076" i="2"/>
  <c r="W1076" i="2"/>
  <c r="V1076" i="2"/>
  <c r="X1075" i="2"/>
  <c r="W1075" i="2"/>
  <c r="V1075" i="2"/>
  <c r="X1074" i="2"/>
  <c r="W1074" i="2"/>
  <c r="V1074" i="2"/>
  <c r="X1073" i="2"/>
  <c r="W1073" i="2"/>
  <c r="V1073" i="2"/>
  <c r="X1072" i="2"/>
  <c r="W1072" i="2"/>
  <c r="V1072" i="2"/>
  <c r="X1071" i="2"/>
  <c r="W1071" i="2"/>
  <c r="V1071" i="2"/>
  <c r="X1070" i="2"/>
  <c r="W1070" i="2"/>
  <c r="V1070" i="2"/>
  <c r="X1069" i="2"/>
  <c r="W1069" i="2"/>
  <c r="V1069" i="2"/>
  <c r="X1068" i="2"/>
  <c r="W1068" i="2"/>
  <c r="V1068" i="2"/>
  <c r="X1067" i="2"/>
  <c r="W1067" i="2"/>
  <c r="V1067" i="2"/>
  <c r="X1066" i="2"/>
  <c r="W1066" i="2"/>
  <c r="V1066" i="2"/>
  <c r="X1065" i="2"/>
  <c r="W1065" i="2"/>
  <c r="V1065" i="2"/>
  <c r="X1064" i="2"/>
  <c r="W1064" i="2"/>
  <c r="V1064" i="2"/>
  <c r="X1063" i="2"/>
  <c r="W1063" i="2"/>
  <c r="V1063" i="2"/>
  <c r="X1062" i="2"/>
  <c r="W1062" i="2"/>
  <c r="V1062" i="2"/>
  <c r="X1061" i="2"/>
  <c r="W1061" i="2"/>
  <c r="V1061" i="2"/>
  <c r="X1060" i="2"/>
  <c r="W1060" i="2"/>
  <c r="V1060" i="2"/>
  <c r="X1059" i="2"/>
  <c r="W1059" i="2"/>
  <c r="V1059" i="2"/>
  <c r="X1058" i="2"/>
  <c r="W1058" i="2"/>
  <c r="V1058" i="2"/>
  <c r="X1057" i="2"/>
  <c r="W1057" i="2"/>
  <c r="V1057" i="2"/>
  <c r="X1056" i="2"/>
  <c r="W1056" i="2"/>
  <c r="V1056" i="2"/>
  <c r="X1055" i="2"/>
  <c r="W1055" i="2"/>
  <c r="V1055" i="2"/>
  <c r="X1054" i="2"/>
  <c r="W1054" i="2"/>
  <c r="V1054" i="2"/>
  <c r="X1053" i="2"/>
  <c r="W1053" i="2"/>
  <c r="V1053" i="2"/>
  <c r="X1052" i="2"/>
  <c r="W1052" i="2"/>
  <c r="V1052" i="2"/>
  <c r="X1051" i="2"/>
  <c r="W1051" i="2"/>
  <c r="V1051" i="2"/>
  <c r="X1050" i="2"/>
  <c r="W1050" i="2"/>
  <c r="V1050" i="2"/>
  <c r="X1049" i="2"/>
  <c r="W1049" i="2"/>
  <c r="V1049" i="2"/>
  <c r="X1048" i="2"/>
  <c r="W1048" i="2"/>
  <c r="V1048" i="2"/>
  <c r="X1047" i="2"/>
  <c r="W1047" i="2"/>
  <c r="V1047" i="2"/>
  <c r="X1046" i="2"/>
  <c r="W1046" i="2"/>
  <c r="V1046" i="2"/>
  <c r="X1045" i="2"/>
  <c r="W1045" i="2"/>
  <c r="V1045" i="2"/>
  <c r="X1044" i="2"/>
  <c r="W1044" i="2"/>
  <c r="V1044" i="2"/>
  <c r="X1043" i="2"/>
  <c r="W1043" i="2"/>
  <c r="V1043" i="2"/>
  <c r="X1042" i="2"/>
  <c r="W1042" i="2"/>
  <c r="V1042" i="2"/>
  <c r="X1041" i="2"/>
  <c r="W1041" i="2"/>
  <c r="V1041" i="2"/>
  <c r="X1040" i="2"/>
  <c r="W1040" i="2"/>
  <c r="V1040" i="2"/>
  <c r="X1039" i="2"/>
  <c r="W1039" i="2"/>
  <c r="V1039" i="2"/>
  <c r="X1038" i="2"/>
  <c r="W1038" i="2"/>
  <c r="V1038" i="2"/>
  <c r="X1037" i="2"/>
  <c r="W1037" i="2"/>
  <c r="V1037" i="2"/>
  <c r="X1036" i="2"/>
  <c r="W1036" i="2"/>
  <c r="V1036" i="2"/>
  <c r="X1035" i="2"/>
  <c r="W1035" i="2"/>
  <c r="V1035" i="2"/>
  <c r="X1034" i="2"/>
  <c r="W1034" i="2"/>
  <c r="V1034" i="2"/>
  <c r="X1033" i="2"/>
  <c r="W1033" i="2"/>
  <c r="V1033" i="2"/>
  <c r="X1032" i="2"/>
  <c r="W1032" i="2"/>
  <c r="V1032" i="2"/>
  <c r="X1031" i="2"/>
  <c r="W1031" i="2"/>
  <c r="V1031" i="2"/>
  <c r="X1030" i="2"/>
  <c r="W1030" i="2"/>
  <c r="V1030" i="2"/>
  <c r="X1029" i="2"/>
  <c r="W1029" i="2"/>
  <c r="V1029" i="2"/>
  <c r="X1028" i="2"/>
  <c r="W1028" i="2"/>
  <c r="V1028" i="2"/>
  <c r="X1027" i="2"/>
  <c r="W1027" i="2"/>
  <c r="V1027" i="2"/>
  <c r="X1026" i="2"/>
  <c r="W1026" i="2"/>
  <c r="V1026" i="2"/>
  <c r="X1025" i="2"/>
  <c r="W1025" i="2"/>
  <c r="V1025" i="2"/>
  <c r="X1024" i="2"/>
  <c r="W1024" i="2"/>
  <c r="V1024" i="2"/>
  <c r="X1023" i="2"/>
  <c r="W1023" i="2"/>
  <c r="V1023" i="2"/>
  <c r="X1022" i="2"/>
  <c r="W1022" i="2"/>
  <c r="V1022" i="2"/>
  <c r="X1021" i="2"/>
  <c r="W1021" i="2"/>
  <c r="V1021" i="2"/>
  <c r="X1020" i="2"/>
  <c r="W1020" i="2"/>
  <c r="V1020" i="2"/>
  <c r="X1019" i="2"/>
  <c r="W1019" i="2"/>
  <c r="V1019" i="2"/>
  <c r="X1018" i="2"/>
  <c r="W1018" i="2"/>
  <c r="V1018" i="2"/>
  <c r="X1017" i="2"/>
  <c r="W1017" i="2"/>
  <c r="V1017" i="2"/>
  <c r="X1016" i="2"/>
  <c r="W1016" i="2"/>
  <c r="V1016" i="2"/>
  <c r="X1015" i="2"/>
  <c r="W1015" i="2"/>
  <c r="V1015" i="2"/>
  <c r="X1014" i="2"/>
  <c r="W1014" i="2"/>
  <c r="V1014" i="2"/>
  <c r="X1013" i="2"/>
  <c r="W1013" i="2"/>
  <c r="V1013" i="2"/>
  <c r="X1012" i="2"/>
  <c r="W1012" i="2"/>
  <c r="V1012" i="2"/>
  <c r="X1011" i="2"/>
  <c r="W1011" i="2"/>
  <c r="V1011" i="2"/>
  <c r="X1010" i="2"/>
  <c r="W1010" i="2"/>
  <c r="V1010" i="2"/>
  <c r="X1009" i="2"/>
  <c r="W1009" i="2"/>
  <c r="V1009" i="2"/>
  <c r="X1008" i="2"/>
  <c r="W1008" i="2"/>
  <c r="V1008" i="2"/>
  <c r="X1007" i="2"/>
  <c r="W1007" i="2"/>
  <c r="V1007" i="2"/>
  <c r="X1006" i="2"/>
  <c r="W1006" i="2"/>
  <c r="V1006" i="2"/>
  <c r="X1005" i="2"/>
  <c r="W1005" i="2"/>
  <c r="V1005" i="2"/>
  <c r="X1004" i="2"/>
  <c r="W1004" i="2"/>
  <c r="V1004" i="2"/>
  <c r="X1003" i="2"/>
  <c r="W1003" i="2"/>
  <c r="V1003" i="2"/>
  <c r="X1002" i="2"/>
  <c r="W1002" i="2"/>
  <c r="V1002" i="2"/>
  <c r="X1001" i="2"/>
  <c r="W1001" i="2"/>
  <c r="V1001" i="2"/>
  <c r="X1000" i="2"/>
  <c r="W1000" i="2"/>
  <c r="V1000" i="2"/>
  <c r="X999" i="2"/>
  <c r="W999" i="2"/>
  <c r="V999" i="2"/>
  <c r="X998" i="2"/>
  <c r="W998" i="2"/>
  <c r="V998" i="2"/>
  <c r="X997" i="2"/>
  <c r="W997" i="2"/>
  <c r="V997" i="2"/>
  <c r="X996" i="2"/>
  <c r="W996" i="2"/>
  <c r="V996" i="2"/>
  <c r="X995" i="2"/>
  <c r="W995" i="2"/>
  <c r="V995" i="2"/>
  <c r="X994" i="2"/>
  <c r="W994" i="2"/>
  <c r="V994" i="2"/>
  <c r="X993" i="2"/>
  <c r="W993" i="2"/>
  <c r="V993" i="2"/>
  <c r="X992" i="2"/>
  <c r="W992" i="2"/>
  <c r="V992" i="2"/>
  <c r="X991" i="2"/>
  <c r="W991" i="2"/>
  <c r="V991" i="2"/>
  <c r="X990" i="2"/>
  <c r="W990" i="2"/>
  <c r="V990" i="2"/>
  <c r="X989" i="2"/>
  <c r="W989" i="2"/>
  <c r="V989" i="2"/>
  <c r="X988" i="2"/>
  <c r="W988" i="2"/>
  <c r="V988" i="2"/>
  <c r="X987" i="2"/>
  <c r="W987" i="2"/>
  <c r="V987" i="2"/>
  <c r="X986" i="2"/>
  <c r="W986" i="2"/>
  <c r="V986" i="2"/>
  <c r="X985" i="2"/>
  <c r="W985" i="2"/>
  <c r="V985" i="2"/>
  <c r="X984" i="2"/>
  <c r="W984" i="2"/>
  <c r="V984" i="2"/>
  <c r="X983" i="2"/>
  <c r="W983" i="2"/>
  <c r="V983" i="2"/>
  <c r="X982" i="2"/>
  <c r="W982" i="2"/>
  <c r="V982" i="2"/>
  <c r="X981" i="2"/>
  <c r="W981" i="2"/>
  <c r="V981" i="2"/>
  <c r="X980" i="2"/>
  <c r="W980" i="2"/>
  <c r="V980" i="2"/>
  <c r="X979" i="2"/>
  <c r="W979" i="2"/>
  <c r="V979" i="2"/>
  <c r="X978" i="2"/>
  <c r="W978" i="2"/>
  <c r="V978" i="2"/>
  <c r="X977" i="2"/>
  <c r="W977" i="2"/>
  <c r="V977" i="2"/>
  <c r="X976" i="2"/>
  <c r="W976" i="2"/>
  <c r="V976" i="2"/>
  <c r="X975" i="2"/>
  <c r="W975" i="2"/>
  <c r="V975" i="2"/>
  <c r="X974" i="2"/>
  <c r="W974" i="2"/>
  <c r="V974" i="2"/>
  <c r="X973" i="2"/>
  <c r="W973" i="2"/>
  <c r="V973" i="2"/>
  <c r="X972" i="2"/>
  <c r="W972" i="2"/>
  <c r="V972" i="2"/>
  <c r="X971" i="2"/>
  <c r="W971" i="2"/>
  <c r="V971" i="2"/>
  <c r="X970" i="2"/>
  <c r="W970" i="2"/>
  <c r="V970" i="2"/>
  <c r="X969" i="2"/>
  <c r="W969" i="2"/>
  <c r="V969" i="2"/>
  <c r="X968" i="2"/>
  <c r="W968" i="2"/>
  <c r="V968" i="2"/>
  <c r="X967" i="2"/>
  <c r="W967" i="2"/>
  <c r="V967" i="2"/>
  <c r="X966" i="2"/>
  <c r="W966" i="2"/>
  <c r="V966" i="2"/>
  <c r="X965" i="2"/>
  <c r="W965" i="2"/>
  <c r="V965" i="2"/>
  <c r="X964" i="2"/>
  <c r="W964" i="2"/>
  <c r="V964" i="2"/>
  <c r="X963" i="2"/>
  <c r="W963" i="2"/>
  <c r="V963" i="2"/>
  <c r="X962" i="2"/>
  <c r="W962" i="2"/>
  <c r="V962" i="2"/>
  <c r="X961" i="2"/>
  <c r="W961" i="2"/>
  <c r="V961" i="2"/>
  <c r="X960" i="2"/>
  <c r="W960" i="2"/>
  <c r="V960" i="2"/>
  <c r="X959" i="2"/>
  <c r="W959" i="2"/>
  <c r="V959" i="2"/>
  <c r="X958" i="2"/>
  <c r="W958" i="2"/>
  <c r="V958" i="2"/>
  <c r="X957" i="2"/>
  <c r="W957" i="2"/>
  <c r="V957" i="2"/>
  <c r="X956" i="2"/>
  <c r="W956" i="2"/>
  <c r="V956" i="2"/>
  <c r="X955" i="2"/>
  <c r="W955" i="2"/>
  <c r="V955" i="2"/>
  <c r="X954" i="2"/>
  <c r="W954" i="2"/>
  <c r="V954" i="2"/>
  <c r="X953" i="2"/>
  <c r="W953" i="2"/>
  <c r="V953" i="2"/>
  <c r="X952" i="2"/>
  <c r="W952" i="2"/>
  <c r="V952" i="2"/>
  <c r="X951" i="2"/>
  <c r="W951" i="2"/>
  <c r="V951" i="2"/>
  <c r="X950" i="2"/>
  <c r="W950" i="2"/>
  <c r="V950" i="2"/>
  <c r="X949" i="2"/>
  <c r="W949" i="2"/>
  <c r="V949" i="2"/>
  <c r="X948" i="2"/>
  <c r="W948" i="2"/>
  <c r="V948" i="2"/>
  <c r="X947" i="2"/>
  <c r="W947" i="2"/>
  <c r="V947" i="2"/>
  <c r="X946" i="2"/>
  <c r="W946" i="2"/>
  <c r="V946" i="2"/>
  <c r="X945" i="2"/>
  <c r="W945" i="2"/>
  <c r="V945" i="2"/>
  <c r="X944" i="2"/>
  <c r="W944" i="2"/>
  <c r="V944" i="2"/>
  <c r="X943" i="2"/>
  <c r="W943" i="2"/>
  <c r="V943" i="2"/>
  <c r="X942" i="2"/>
  <c r="W942" i="2"/>
  <c r="V942" i="2"/>
  <c r="X941" i="2"/>
  <c r="W941" i="2"/>
  <c r="V941" i="2"/>
  <c r="X940" i="2"/>
  <c r="W940" i="2"/>
  <c r="V940" i="2"/>
  <c r="X939" i="2"/>
  <c r="W939" i="2"/>
  <c r="V939" i="2"/>
  <c r="X938" i="2"/>
  <c r="W938" i="2"/>
  <c r="V938" i="2"/>
  <c r="X937" i="2"/>
  <c r="W937" i="2"/>
  <c r="V937" i="2"/>
  <c r="X936" i="2"/>
  <c r="W936" i="2"/>
  <c r="V936" i="2"/>
  <c r="X935" i="2"/>
  <c r="W935" i="2"/>
  <c r="V935" i="2"/>
  <c r="X934" i="2"/>
  <c r="W934" i="2"/>
  <c r="V934" i="2"/>
  <c r="X933" i="2"/>
  <c r="W933" i="2"/>
  <c r="V933" i="2"/>
  <c r="X932" i="2"/>
  <c r="W932" i="2"/>
  <c r="V932" i="2"/>
  <c r="X931" i="2"/>
  <c r="W931" i="2"/>
  <c r="V931" i="2"/>
  <c r="X930" i="2"/>
  <c r="W930" i="2"/>
  <c r="V930" i="2"/>
  <c r="X929" i="2"/>
  <c r="W929" i="2"/>
  <c r="V929" i="2"/>
  <c r="X928" i="2"/>
  <c r="W928" i="2"/>
  <c r="V928" i="2"/>
  <c r="X927" i="2"/>
  <c r="W927" i="2"/>
  <c r="V927" i="2"/>
  <c r="X926" i="2"/>
  <c r="W926" i="2"/>
  <c r="V926" i="2"/>
  <c r="X925" i="2"/>
  <c r="W925" i="2"/>
  <c r="V925" i="2"/>
  <c r="X924" i="2"/>
  <c r="W924" i="2"/>
  <c r="V924" i="2"/>
  <c r="X923" i="2"/>
  <c r="W923" i="2"/>
  <c r="V923" i="2"/>
  <c r="X922" i="2"/>
  <c r="W922" i="2"/>
  <c r="V922" i="2"/>
  <c r="X921" i="2"/>
  <c r="W921" i="2"/>
  <c r="V921" i="2"/>
  <c r="X920" i="2"/>
  <c r="W920" i="2"/>
  <c r="V920" i="2"/>
  <c r="X919" i="2"/>
  <c r="W919" i="2"/>
  <c r="V919" i="2"/>
  <c r="X918" i="2"/>
  <c r="W918" i="2"/>
  <c r="V918" i="2"/>
  <c r="X917" i="2"/>
  <c r="W917" i="2"/>
  <c r="V917" i="2"/>
  <c r="X916" i="2"/>
  <c r="W916" i="2"/>
  <c r="V916" i="2"/>
  <c r="X915" i="2"/>
  <c r="W915" i="2"/>
  <c r="V915" i="2"/>
  <c r="X914" i="2"/>
  <c r="W914" i="2"/>
  <c r="V914" i="2"/>
  <c r="X913" i="2"/>
  <c r="W913" i="2"/>
  <c r="V913" i="2"/>
  <c r="X912" i="2"/>
  <c r="W912" i="2"/>
  <c r="V912" i="2"/>
  <c r="X911" i="2"/>
  <c r="W911" i="2"/>
  <c r="V911" i="2"/>
  <c r="X910" i="2"/>
  <c r="W910" i="2"/>
  <c r="V910" i="2"/>
  <c r="X909" i="2"/>
  <c r="W909" i="2"/>
  <c r="V909" i="2"/>
  <c r="X908" i="2"/>
  <c r="W908" i="2"/>
  <c r="V908" i="2"/>
  <c r="X907" i="2"/>
  <c r="W907" i="2"/>
  <c r="V907" i="2"/>
  <c r="X906" i="2"/>
  <c r="W906" i="2"/>
  <c r="V906" i="2"/>
  <c r="X905" i="2"/>
  <c r="W905" i="2"/>
  <c r="V905" i="2"/>
  <c r="X904" i="2"/>
  <c r="W904" i="2"/>
  <c r="V904" i="2"/>
  <c r="X903" i="2"/>
  <c r="W903" i="2"/>
  <c r="V903" i="2"/>
  <c r="X902" i="2"/>
  <c r="W902" i="2"/>
  <c r="V902" i="2"/>
  <c r="X901" i="2"/>
  <c r="W901" i="2"/>
  <c r="V901" i="2"/>
  <c r="X900" i="2"/>
  <c r="W900" i="2"/>
  <c r="V900" i="2"/>
  <c r="X899" i="2"/>
  <c r="W899" i="2"/>
  <c r="V899" i="2"/>
  <c r="X898" i="2"/>
  <c r="W898" i="2"/>
  <c r="V898" i="2"/>
  <c r="X897" i="2"/>
  <c r="W897" i="2"/>
  <c r="V897" i="2"/>
  <c r="X896" i="2"/>
  <c r="W896" i="2"/>
  <c r="V896" i="2"/>
  <c r="X895" i="2"/>
  <c r="W895" i="2"/>
  <c r="V895" i="2"/>
  <c r="X894" i="2"/>
  <c r="W894" i="2"/>
  <c r="V894" i="2"/>
  <c r="X893" i="2"/>
  <c r="W893" i="2"/>
  <c r="V893" i="2"/>
  <c r="X892" i="2"/>
  <c r="W892" i="2"/>
  <c r="V892" i="2"/>
  <c r="X891" i="2"/>
  <c r="W891" i="2"/>
  <c r="V891" i="2"/>
  <c r="X890" i="2"/>
  <c r="W890" i="2"/>
  <c r="V890" i="2"/>
  <c r="X889" i="2"/>
  <c r="W889" i="2"/>
  <c r="V889" i="2"/>
  <c r="X888" i="2"/>
  <c r="W888" i="2"/>
  <c r="V888" i="2"/>
  <c r="X887" i="2"/>
  <c r="W887" i="2"/>
  <c r="V887" i="2"/>
  <c r="X886" i="2"/>
  <c r="W886" i="2"/>
  <c r="V886" i="2"/>
  <c r="X885" i="2"/>
  <c r="W885" i="2"/>
  <c r="V885" i="2"/>
  <c r="X884" i="2"/>
  <c r="W884" i="2"/>
  <c r="V884" i="2"/>
  <c r="X883" i="2"/>
  <c r="W883" i="2"/>
  <c r="V883" i="2"/>
  <c r="X882" i="2"/>
  <c r="W882" i="2"/>
  <c r="V882" i="2"/>
  <c r="X881" i="2"/>
  <c r="W881" i="2"/>
  <c r="V881" i="2"/>
  <c r="X880" i="2"/>
  <c r="W880" i="2"/>
  <c r="V880" i="2"/>
  <c r="X879" i="2"/>
  <c r="W879" i="2"/>
  <c r="V879" i="2"/>
  <c r="X878" i="2"/>
  <c r="W878" i="2"/>
  <c r="V878" i="2"/>
  <c r="X877" i="2"/>
  <c r="W877" i="2"/>
  <c r="V877" i="2"/>
  <c r="X876" i="2"/>
  <c r="W876" i="2"/>
  <c r="V876" i="2"/>
  <c r="X875" i="2"/>
  <c r="W875" i="2"/>
  <c r="V875" i="2"/>
  <c r="X874" i="2"/>
  <c r="W874" i="2"/>
  <c r="V874" i="2"/>
  <c r="X873" i="2"/>
  <c r="W873" i="2"/>
  <c r="V873" i="2"/>
  <c r="X872" i="2"/>
  <c r="W872" i="2"/>
  <c r="V872" i="2"/>
  <c r="X871" i="2"/>
  <c r="W871" i="2"/>
  <c r="V871" i="2"/>
  <c r="X870" i="2"/>
  <c r="W870" i="2"/>
  <c r="V870" i="2"/>
  <c r="X869" i="2"/>
  <c r="W869" i="2"/>
  <c r="V869" i="2"/>
  <c r="X868" i="2"/>
  <c r="W868" i="2"/>
  <c r="V868" i="2"/>
  <c r="X867" i="2"/>
  <c r="W867" i="2"/>
  <c r="V867" i="2"/>
  <c r="X866" i="2"/>
  <c r="W866" i="2"/>
  <c r="V866" i="2"/>
  <c r="X865" i="2"/>
  <c r="W865" i="2"/>
  <c r="V865" i="2"/>
  <c r="X864" i="2"/>
  <c r="W864" i="2"/>
  <c r="V864" i="2"/>
  <c r="X863" i="2"/>
  <c r="W863" i="2"/>
  <c r="V863" i="2"/>
  <c r="X862" i="2"/>
  <c r="W862" i="2"/>
  <c r="V862" i="2"/>
  <c r="X861" i="2"/>
  <c r="W861" i="2"/>
  <c r="V861" i="2"/>
  <c r="X860" i="2"/>
  <c r="W860" i="2"/>
  <c r="V860" i="2"/>
  <c r="X859" i="2"/>
  <c r="W859" i="2"/>
  <c r="V859" i="2"/>
  <c r="X858" i="2"/>
  <c r="W858" i="2"/>
  <c r="V858" i="2"/>
  <c r="X857" i="2"/>
  <c r="W857" i="2"/>
  <c r="V857" i="2"/>
  <c r="X856" i="2"/>
  <c r="W856" i="2"/>
  <c r="V856" i="2"/>
  <c r="X855" i="2"/>
  <c r="W855" i="2"/>
  <c r="V855" i="2"/>
  <c r="X854" i="2"/>
  <c r="W854" i="2"/>
  <c r="V854" i="2"/>
  <c r="X853" i="2"/>
  <c r="W853" i="2"/>
  <c r="V853" i="2"/>
  <c r="X852" i="2"/>
  <c r="W852" i="2"/>
  <c r="V852" i="2"/>
  <c r="X851" i="2"/>
  <c r="W851" i="2"/>
  <c r="V851" i="2"/>
  <c r="X850" i="2"/>
  <c r="W850" i="2"/>
  <c r="V850" i="2"/>
  <c r="X849" i="2"/>
  <c r="W849" i="2"/>
  <c r="V849" i="2"/>
  <c r="X848" i="2"/>
  <c r="W848" i="2"/>
  <c r="V848" i="2"/>
  <c r="X847" i="2"/>
  <c r="W847" i="2"/>
  <c r="V847" i="2"/>
  <c r="X846" i="2"/>
  <c r="W846" i="2"/>
  <c r="V846" i="2"/>
  <c r="X845" i="2"/>
  <c r="W845" i="2"/>
  <c r="V845" i="2"/>
  <c r="X844" i="2"/>
  <c r="W844" i="2"/>
  <c r="V844" i="2"/>
  <c r="X843" i="2"/>
  <c r="W843" i="2"/>
  <c r="V843" i="2"/>
  <c r="X842" i="2"/>
  <c r="W842" i="2"/>
  <c r="V842" i="2"/>
  <c r="X841" i="2"/>
  <c r="W841" i="2"/>
  <c r="V841" i="2"/>
  <c r="X840" i="2"/>
  <c r="W840" i="2"/>
  <c r="V840" i="2"/>
  <c r="X839" i="2"/>
  <c r="W839" i="2"/>
  <c r="V839" i="2"/>
  <c r="X838" i="2"/>
  <c r="W838" i="2"/>
  <c r="V838" i="2"/>
  <c r="X837" i="2"/>
  <c r="W837" i="2"/>
  <c r="V837" i="2"/>
  <c r="X836" i="2"/>
  <c r="W836" i="2"/>
  <c r="V836" i="2"/>
  <c r="X835" i="2"/>
  <c r="W835" i="2"/>
  <c r="V835" i="2"/>
  <c r="X834" i="2"/>
  <c r="W834" i="2"/>
  <c r="V834" i="2"/>
  <c r="X833" i="2"/>
  <c r="W833" i="2"/>
  <c r="V833" i="2"/>
  <c r="X832" i="2"/>
  <c r="W832" i="2"/>
  <c r="V832" i="2"/>
  <c r="X831" i="2"/>
  <c r="W831" i="2"/>
  <c r="V831" i="2"/>
  <c r="X830" i="2"/>
  <c r="W830" i="2"/>
  <c r="V830" i="2"/>
  <c r="X829" i="2"/>
  <c r="W829" i="2"/>
  <c r="V829" i="2"/>
  <c r="X828" i="2"/>
  <c r="W828" i="2"/>
  <c r="V828" i="2"/>
  <c r="X827" i="2"/>
  <c r="W827" i="2"/>
  <c r="V827" i="2"/>
  <c r="X826" i="2"/>
  <c r="W826" i="2"/>
  <c r="V826" i="2"/>
  <c r="X825" i="2"/>
  <c r="W825" i="2"/>
  <c r="V825" i="2"/>
  <c r="X824" i="2"/>
  <c r="W824" i="2"/>
  <c r="V824" i="2"/>
  <c r="X823" i="2"/>
  <c r="W823" i="2"/>
  <c r="V823" i="2"/>
  <c r="X822" i="2"/>
  <c r="W822" i="2"/>
  <c r="V822" i="2"/>
  <c r="X821" i="2"/>
  <c r="W821" i="2"/>
  <c r="V821" i="2"/>
  <c r="X820" i="2"/>
  <c r="W820" i="2"/>
  <c r="V820" i="2"/>
  <c r="X819" i="2"/>
  <c r="W819" i="2"/>
  <c r="V819" i="2"/>
  <c r="X818" i="2"/>
  <c r="W818" i="2"/>
  <c r="V818" i="2"/>
  <c r="X817" i="2"/>
  <c r="W817" i="2"/>
  <c r="V817" i="2"/>
  <c r="X816" i="2"/>
  <c r="W816" i="2"/>
  <c r="V816" i="2"/>
  <c r="X815" i="2"/>
  <c r="W815" i="2"/>
  <c r="V815" i="2"/>
  <c r="X814" i="2"/>
  <c r="W814" i="2"/>
  <c r="V814" i="2"/>
  <c r="X813" i="2"/>
  <c r="W813" i="2"/>
  <c r="V813" i="2"/>
  <c r="X812" i="2"/>
  <c r="W812" i="2"/>
  <c r="V812" i="2"/>
  <c r="X811" i="2"/>
  <c r="W811" i="2"/>
  <c r="V811" i="2"/>
  <c r="X810" i="2"/>
  <c r="W810" i="2"/>
  <c r="V810" i="2"/>
  <c r="X809" i="2"/>
  <c r="W809" i="2"/>
  <c r="V809" i="2"/>
  <c r="X808" i="2"/>
  <c r="W808" i="2"/>
  <c r="V808" i="2"/>
  <c r="X807" i="2"/>
  <c r="W807" i="2"/>
  <c r="V807" i="2"/>
  <c r="X806" i="2"/>
  <c r="W806" i="2"/>
  <c r="V806" i="2"/>
  <c r="X805" i="2"/>
  <c r="W805" i="2"/>
  <c r="V805" i="2"/>
  <c r="X804" i="2"/>
  <c r="W804" i="2"/>
  <c r="V804" i="2"/>
  <c r="X803" i="2"/>
  <c r="W803" i="2"/>
  <c r="V803" i="2"/>
  <c r="X802" i="2"/>
  <c r="W802" i="2"/>
  <c r="V802" i="2"/>
  <c r="X801" i="2"/>
  <c r="W801" i="2"/>
  <c r="V801" i="2"/>
  <c r="X800" i="2"/>
  <c r="W800" i="2"/>
  <c r="V800" i="2"/>
  <c r="X799" i="2"/>
  <c r="W799" i="2"/>
  <c r="V799" i="2"/>
  <c r="X798" i="2"/>
  <c r="W798" i="2"/>
  <c r="V798" i="2"/>
  <c r="X797" i="2"/>
  <c r="W797" i="2"/>
  <c r="V797" i="2"/>
  <c r="X796" i="2"/>
  <c r="W796" i="2"/>
  <c r="V796" i="2"/>
  <c r="X795" i="2"/>
  <c r="W795" i="2"/>
  <c r="V795" i="2"/>
  <c r="X794" i="2"/>
  <c r="W794" i="2"/>
  <c r="V794" i="2"/>
  <c r="X793" i="2"/>
  <c r="W793" i="2"/>
  <c r="V793" i="2"/>
  <c r="X792" i="2"/>
  <c r="W792" i="2"/>
  <c r="V792" i="2"/>
  <c r="X791" i="2"/>
  <c r="W791" i="2"/>
  <c r="V791" i="2"/>
  <c r="X790" i="2"/>
  <c r="W790" i="2"/>
  <c r="V790" i="2"/>
  <c r="X789" i="2"/>
  <c r="W789" i="2"/>
  <c r="V789" i="2"/>
  <c r="X788" i="2"/>
  <c r="W788" i="2"/>
  <c r="V788" i="2"/>
  <c r="X787" i="2"/>
  <c r="W787" i="2"/>
  <c r="V787" i="2"/>
  <c r="X786" i="2"/>
  <c r="W786" i="2"/>
  <c r="V786" i="2"/>
  <c r="X785" i="2"/>
  <c r="W785" i="2"/>
  <c r="V785" i="2"/>
  <c r="X784" i="2"/>
  <c r="W784" i="2"/>
  <c r="V784" i="2"/>
  <c r="X783" i="2"/>
  <c r="W783" i="2"/>
  <c r="V783" i="2"/>
  <c r="X782" i="2"/>
  <c r="W782" i="2"/>
  <c r="V782" i="2"/>
  <c r="X781" i="2"/>
  <c r="W781" i="2"/>
  <c r="V781" i="2"/>
  <c r="X780" i="2"/>
  <c r="W780" i="2"/>
  <c r="V780" i="2"/>
  <c r="X779" i="2"/>
  <c r="W779" i="2"/>
  <c r="V779" i="2"/>
  <c r="X778" i="2"/>
  <c r="W778" i="2"/>
  <c r="V778" i="2"/>
  <c r="X777" i="2"/>
  <c r="W777" i="2"/>
  <c r="V777" i="2"/>
  <c r="X776" i="2"/>
  <c r="W776" i="2"/>
  <c r="V776" i="2"/>
  <c r="X775" i="2"/>
  <c r="W775" i="2"/>
  <c r="V775" i="2"/>
  <c r="X774" i="2"/>
  <c r="W774" i="2"/>
  <c r="V774" i="2"/>
  <c r="X773" i="2"/>
  <c r="W773" i="2"/>
  <c r="V773" i="2"/>
  <c r="X772" i="2"/>
  <c r="W772" i="2"/>
  <c r="V772" i="2"/>
  <c r="X771" i="2"/>
  <c r="W771" i="2"/>
  <c r="V771" i="2"/>
  <c r="X770" i="2"/>
  <c r="W770" i="2"/>
  <c r="V770" i="2"/>
  <c r="X769" i="2"/>
  <c r="W769" i="2"/>
  <c r="V769" i="2"/>
  <c r="X768" i="2"/>
  <c r="W768" i="2"/>
  <c r="V768" i="2"/>
  <c r="X767" i="2"/>
  <c r="W767" i="2"/>
  <c r="V767" i="2"/>
  <c r="X766" i="2"/>
  <c r="W766" i="2"/>
  <c r="V766" i="2"/>
  <c r="X765" i="2"/>
  <c r="W765" i="2"/>
  <c r="V765" i="2"/>
  <c r="X764" i="2"/>
  <c r="W764" i="2"/>
  <c r="V764" i="2"/>
  <c r="X763" i="2"/>
  <c r="W763" i="2"/>
  <c r="V763" i="2"/>
  <c r="X762" i="2"/>
  <c r="W762" i="2"/>
  <c r="V762" i="2"/>
  <c r="X761" i="2"/>
  <c r="W761" i="2"/>
  <c r="V761" i="2"/>
  <c r="X760" i="2"/>
  <c r="W760" i="2"/>
  <c r="V760" i="2"/>
  <c r="X759" i="2"/>
  <c r="W759" i="2"/>
  <c r="V759" i="2"/>
  <c r="X758" i="2"/>
  <c r="W758" i="2"/>
  <c r="V758" i="2"/>
  <c r="X757" i="2"/>
  <c r="W757" i="2"/>
  <c r="V757" i="2"/>
  <c r="X756" i="2"/>
  <c r="W756" i="2"/>
  <c r="V756" i="2"/>
  <c r="X755" i="2"/>
  <c r="W755" i="2"/>
  <c r="V755" i="2"/>
  <c r="X754" i="2"/>
  <c r="W754" i="2"/>
  <c r="V754" i="2"/>
  <c r="X753" i="2"/>
  <c r="W753" i="2"/>
  <c r="V753" i="2"/>
  <c r="X752" i="2"/>
  <c r="W752" i="2"/>
  <c r="V752" i="2"/>
  <c r="X751" i="2"/>
  <c r="W751" i="2"/>
  <c r="V751" i="2"/>
  <c r="X750" i="2"/>
  <c r="W750" i="2"/>
  <c r="V750" i="2"/>
  <c r="X749" i="2"/>
  <c r="W749" i="2"/>
  <c r="V749" i="2"/>
  <c r="X748" i="2"/>
  <c r="W748" i="2"/>
  <c r="V748" i="2"/>
  <c r="X747" i="2"/>
  <c r="W747" i="2"/>
  <c r="V747" i="2"/>
  <c r="X746" i="2"/>
  <c r="W746" i="2"/>
  <c r="V746" i="2"/>
  <c r="X745" i="2"/>
  <c r="W745" i="2"/>
  <c r="V745" i="2"/>
  <c r="X744" i="2"/>
  <c r="W744" i="2"/>
  <c r="V744" i="2"/>
  <c r="X743" i="2"/>
  <c r="W743" i="2"/>
  <c r="V743" i="2"/>
  <c r="X742" i="2"/>
  <c r="W742" i="2"/>
  <c r="V742" i="2"/>
  <c r="X741" i="2"/>
  <c r="W741" i="2"/>
  <c r="V741" i="2"/>
  <c r="X740" i="2"/>
  <c r="W740" i="2"/>
  <c r="V740" i="2"/>
  <c r="X739" i="2"/>
  <c r="W739" i="2"/>
  <c r="V739" i="2"/>
  <c r="X738" i="2"/>
  <c r="W738" i="2"/>
  <c r="V738" i="2"/>
  <c r="X737" i="2"/>
  <c r="W737" i="2"/>
  <c r="V737" i="2"/>
  <c r="X736" i="2"/>
  <c r="W736" i="2"/>
  <c r="V736" i="2"/>
  <c r="X735" i="2"/>
  <c r="W735" i="2"/>
  <c r="V735" i="2"/>
  <c r="X734" i="2"/>
  <c r="W734" i="2"/>
  <c r="V734" i="2"/>
  <c r="X733" i="2"/>
  <c r="W733" i="2"/>
  <c r="V733" i="2"/>
  <c r="X732" i="2"/>
  <c r="W732" i="2"/>
  <c r="V732" i="2"/>
  <c r="X731" i="2"/>
  <c r="W731" i="2"/>
  <c r="V731" i="2"/>
  <c r="X730" i="2"/>
  <c r="W730" i="2"/>
  <c r="V730" i="2"/>
  <c r="X729" i="2"/>
  <c r="W729" i="2"/>
  <c r="V729" i="2"/>
  <c r="X728" i="2"/>
  <c r="W728" i="2"/>
  <c r="V728" i="2"/>
  <c r="X727" i="2"/>
  <c r="W727" i="2"/>
  <c r="V727" i="2"/>
  <c r="X726" i="2"/>
  <c r="W726" i="2"/>
  <c r="V726" i="2"/>
  <c r="X725" i="2"/>
  <c r="W725" i="2"/>
  <c r="V725" i="2"/>
  <c r="X724" i="2"/>
  <c r="W724" i="2"/>
  <c r="V724" i="2"/>
  <c r="X723" i="2"/>
  <c r="W723" i="2"/>
  <c r="V723" i="2"/>
  <c r="X722" i="2"/>
  <c r="W722" i="2"/>
  <c r="V722" i="2"/>
  <c r="X721" i="2"/>
  <c r="W721" i="2"/>
  <c r="V721" i="2"/>
  <c r="X720" i="2"/>
  <c r="W720" i="2"/>
  <c r="V720" i="2"/>
  <c r="X719" i="2"/>
  <c r="W719" i="2"/>
  <c r="V719" i="2"/>
  <c r="X718" i="2"/>
  <c r="W718" i="2"/>
  <c r="V718" i="2"/>
  <c r="X717" i="2"/>
  <c r="W717" i="2"/>
  <c r="V717" i="2"/>
  <c r="X716" i="2"/>
  <c r="W716" i="2"/>
  <c r="V716" i="2"/>
  <c r="X715" i="2"/>
  <c r="W715" i="2"/>
  <c r="V715" i="2"/>
  <c r="X714" i="2"/>
  <c r="W714" i="2"/>
  <c r="V714" i="2"/>
  <c r="X713" i="2"/>
  <c r="W713" i="2"/>
  <c r="V713" i="2"/>
  <c r="X712" i="2"/>
  <c r="W712" i="2"/>
  <c r="V712" i="2"/>
  <c r="X711" i="2"/>
  <c r="W711" i="2"/>
  <c r="V711" i="2"/>
  <c r="X710" i="2"/>
  <c r="W710" i="2"/>
  <c r="V710" i="2"/>
  <c r="X709" i="2"/>
  <c r="W709" i="2"/>
  <c r="V709" i="2"/>
  <c r="X708" i="2"/>
  <c r="W708" i="2"/>
  <c r="V708" i="2"/>
  <c r="X707" i="2"/>
  <c r="W707" i="2"/>
  <c r="V707" i="2"/>
  <c r="X706" i="2"/>
  <c r="W706" i="2"/>
  <c r="V706" i="2"/>
  <c r="X705" i="2"/>
  <c r="W705" i="2"/>
  <c r="V705" i="2"/>
  <c r="X704" i="2"/>
  <c r="W704" i="2"/>
  <c r="V704" i="2"/>
  <c r="X703" i="2"/>
  <c r="W703" i="2"/>
  <c r="V703" i="2"/>
  <c r="X702" i="2"/>
  <c r="W702" i="2"/>
  <c r="V702" i="2"/>
  <c r="X701" i="2"/>
  <c r="W701" i="2"/>
  <c r="V701" i="2"/>
  <c r="X700" i="2"/>
  <c r="W700" i="2"/>
  <c r="V700" i="2"/>
  <c r="X699" i="2"/>
  <c r="W699" i="2"/>
  <c r="V699" i="2"/>
  <c r="X698" i="2"/>
  <c r="W698" i="2"/>
  <c r="V698" i="2"/>
  <c r="X697" i="2"/>
  <c r="W697" i="2"/>
  <c r="V697" i="2"/>
  <c r="X696" i="2"/>
  <c r="W696" i="2"/>
  <c r="V696" i="2"/>
  <c r="X695" i="2"/>
  <c r="W695" i="2"/>
  <c r="V695" i="2"/>
  <c r="X694" i="2"/>
  <c r="W694" i="2"/>
  <c r="V694" i="2"/>
  <c r="X693" i="2"/>
  <c r="W693" i="2"/>
  <c r="V693" i="2"/>
  <c r="X692" i="2"/>
  <c r="W692" i="2"/>
  <c r="V692" i="2"/>
  <c r="X691" i="2"/>
  <c r="W691" i="2"/>
  <c r="V691" i="2"/>
  <c r="X690" i="2"/>
  <c r="W690" i="2"/>
  <c r="V690" i="2"/>
  <c r="X689" i="2"/>
  <c r="W689" i="2"/>
  <c r="V689" i="2"/>
  <c r="X688" i="2"/>
  <c r="W688" i="2"/>
  <c r="V688" i="2"/>
  <c r="X687" i="2"/>
  <c r="W687" i="2"/>
  <c r="V687" i="2"/>
  <c r="X686" i="2"/>
  <c r="W686" i="2"/>
  <c r="V686" i="2"/>
  <c r="X685" i="2"/>
  <c r="W685" i="2"/>
  <c r="V685" i="2"/>
  <c r="X684" i="2"/>
  <c r="W684" i="2"/>
  <c r="V684" i="2"/>
  <c r="X683" i="2"/>
  <c r="W683" i="2"/>
  <c r="V683" i="2"/>
  <c r="X682" i="2"/>
  <c r="W682" i="2"/>
  <c r="V682" i="2"/>
  <c r="X681" i="2"/>
  <c r="W681" i="2"/>
  <c r="V681" i="2"/>
  <c r="X680" i="2"/>
  <c r="W680" i="2"/>
  <c r="V680" i="2"/>
  <c r="X679" i="2"/>
  <c r="W679" i="2"/>
  <c r="V679" i="2"/>
  <c r="X678" i="2"/>
  <c r="W678" i="2"/>
  <c r="V678" i="2"/>
  <c r="X677" i="2"/>
  <c r="W677" i="2"/>
  <c r="V677" i="2"/>
  <c r="X676" i="2"/>
  <c r="W676" i="2"/>
  <c r="V676" i="2"/>
  <c r="X675" i="2"/>
  <c r="W675" i="2"/>
  <c r="V675" i="2"/>
  <c r="X674" i="2"/>
  <c r="W674" i="2"/>
  <c r="V674" i="2"/>
  <c r="X673" i="2"/>
  <c r="W673" i="2"/>
  <c r="V673" i="2"/>
  <c r="X672" i="2"/>
  <c r="W672" i="2"/>
  <c r="V672" i="2"/>
  <c r="X671" i="2"/>
  <c r="W671" i="2"/>
  <c r="V671" i="2"/>
  <c r="X670" i="2"/>
  <c r="W670" i="2"/>
  <c r="V670" i="2"/>
  <c r="X669" i="2"/>
  <c r="W669" i="2"/>
  <c r="V669" i="2"/>
  <c r="X668" i="2"/>
  <c r="W668" i="2"/>
  <c r="V668" i="2"/>
  <c r="X667" i="2"/>
  <c r="W667" i="2"/>
  <c r="V667" i="2"/>
  <c r="X666" i="2"/>
  <c r="W666" i="2"/>
  <c r="V666" i="2"/>
  <c r="X665" i="2"/>
  <c r="W665" i="2"/>
  <c r="V665" i="2"/>
  <c r="X664" i="2"/>
  <c r="W664" i="2"/>
  <c r="V664" i="2"/>
  <c r="X663" i="2"/>
  <c r="W663" i="2"/>
  <c r="V663" i="2"/>
  <c r="X662" i="2"/>
  <c r="W662" i="2"/>
  <c r="V662" i="2"/>
  <c r="X661" i="2"/>
  <c r="W661" i="2"/>
  <c r="V661" i="2"/>
  <c r="X660" i="2"/>
  <c r="W660" i="2"/>
  <c r="V660" i="2"/>
  <c r="X659" i="2"/>
  <c r="W659" i="2"/>
  <c r="V659" i="2"/>
  <c r="X658" i="2"/>
  <c r="W658" i="2"/>
  <c r="V658" i="2"/>
  <c r="X657" i="2"/>
  <c r="W657" i="2"/>
  <c r="V657" i="2"/>
  <c r="X656" i="2"/>
  <c r="W656" i="2"/>
  <c r="V656" i="2"/>
  <c r="X655" i="2"/>
  <c r="W655" i="2"/>
  <c r="V655" i="2"/>
  <c r="X654" i="2"/>
  <c r="W654" i="2"/>
  <c r="V654" i="2"/>
  <c r="X653" i="2"/>
  <c r="W653" i="2"/>
  <c r="V653" i="2"/>
  <c r="X652" i="2"/>
  <c r="W652" i="2"/>
  <c r="V652" i="2"/>
  <c r="X651" i="2"/>
  <c r="W651" i="2"/>
  <c r="V651" i="2"/>
  <c r="X650" i="2"/>
  <c r="W650" i="2"/>
  <c r="V650" i="2"/>
  <c r="X649" i="2"/>
  <c r="W649" i="2"/>
  <c r="V649" i="2"/>
  <c r="X648" i="2"/>
  <c r="W648" i="2"/>
  <c r="V648" i="2"/>
  <c r="X647" i="2"/>
  <c r="W647" i="2"/>
  <c r="V647" i="2"/>
  <c r="X646" i="2"/>
  <c r="W646" i="2"/>
  <c r="V646" i="2"/>
  <c r="X645" i="2"/>
  <c r="W645" i="2"/>
  <c r="V645" i="2"/>
  <c r="X644" i="2"/>
  <c r="W644" i="2"/>
  <c r="V644" i="2"/>
  <c r="X643" i="2"/>
  <c r="W643" i="2"/>
  <c r="V643" i="2"/>
  <c r="X642" i="2"/>
  <c r="W642" i="2"/>
  <c r="V642" i="2"/>
  <c r="X641" i="2"/>
  <c r="W641" i="2"/>
  <c r="V641" i="2"/>
  <c r="X640" i="2"/>
  <c r="W640" i="2"/>
  <c r="V640" i="2"/>
  <c r="X639" i="2"/>
  <c r="W639" i="2"/>
  <c r="V639" i="2"/>
  <c r="X638" i="2"/>
  <c r="W638" i="2"/>
  <c r="V638" i="2"/>
  <c r="X637" i="2"/>
  <c r="W637" i="2"/>
  <c r="V637" i="2"/>
  <c r="X636" i="2"/>
  <c r="W636" i="2"/>
  <c r="V636" i="2"/>
  <c r="X635" i="2"/>
  <c r="W635" i="2"/>
  <c r="V635" i="2"/>
  <c r="X634" i="2"/>
  <c r="W634" i="2"/>
  <c r="V634" i="2"/>
  <c r="X633" i="2"/>
  <c r="W633" i="2"/>
  <c r="V633" i="2"/>
  <c r="X632" i="2"/>
  <c r="W632" i="2"/>
  <c r="V632" i="2"/>
  <c r="X631" i="2"/>
  <c r="W631" i="2"/>
  <c r="V631" i="2"/>
  <c r="X630" i="2"/>
  <c r="W630" i="2"/>
  <c r="V630" i="2"/>
  <c r="X629" i="2"/>
  <c r="W629" i="2"/>
  <c r="V629" i="2"/>
  <c r="X628" i="2"/>
  <c r="W628" i="2"/>
  <c r="V628" i="2"/>
  <c r="X627" i="2"/>
  <c r="W627" i="2"/>
  <c r="V627" i="2"/>
  <c r="X626" i="2"/>
  <c r="W626" i="2"/>
  <c r="V626" i="2"/>
  <c r="X625" i="2"/>
  <c r="W625" i="2"/>
  <c r="V625" i="2"/>
  <c r="X624" i="2"/>
  <c r="W624" i="2"/>
  <c r="V624" i="2"/>
  <c r="X623" i="2"/>
  <c r="W623" i="2"/>
  <c r="V623" i="2"/>
  <c r="X622" i="2"/>
  <c r="W622" i="2"/>
  <c r="V622" i="2"/>
  <c r="X621" i="2"/>
  <c r="W621" i="2"/>
  <c r="V621" i="2"/>
  <c r="X620" i="2"/>
  <c r="W620" i="2"/>
  <c r="V620" i="2"/>
  <c r="X619" i="2"/>
  <c r="W619" i="2"/>
  <c r="V619" i="2"/>
  <c r="X618" i="2"/>
  <c r="W618" i="2"/>
  <c r="V618" i="2"/>
  <c r="X617" i="2"/>
  <c r="W617" i="2"/>
  <c r="V617" i="2"/>
  <c r="X616" i="2"/>
  <c r="W616" i="2"/>
  <c r="V616" i="2"/>
  <c r="X615" i="2"/>
  <c r="W615" i="2"/>
  <c r="V615" i="2"/>
  <c r="X614" i="2"/>
  <c r="W614" i="2"/>
  <c r="V614" i="2"/>
  <c r="X613" i="2"/>
  <c r="W613" i="2"/>
  <c r="V613" i="2"/>
  <c r="X612" i="2"/>
  <c r="W612" i="2"/>
  <c r="V612" i="2"/>
  <c r="X611" i="2"/>
  <c r="W611" i="2"/>
  <c r="V611" i="2"/>
  <c r="X610" i="2"/>
  <c r="W610" i="2"/>
  <c r="V610" i="2"/>
  <c r="X609" i="2"/>
  <c r="W609" i="2"/>
  <c r="V609" i="2"/>
  <c r="X608" i="2"/>
  <c r="W608" i="2"/>
  <c r="V608" i="2"/>
  <c r="X607" i="2"/>
  <c r="W607" i="2"/>
  <c r="V607" i="2"/>
  <c r="X606" i="2"/>
  <c r="W606" i="2"/>
  <c r="V606" i="2"/>
  <c r="X605" i="2"/>
  <c r="W605" i="2"/>
  <c r="V605" i="2"/>
  <c r="X604" i="2"/>
  <c r="W604" i="2"/>
  <c r="V604" i="2"/>
  <c r="X603" i="2"/>
  <c r="W603" i="2"/>
  <c r="V603" i="2"/>
  <c r="X602" i="2"/>
  <c r="W602" i="2"/>
  <c r="V602" i="2"/>
  <c r="X601" i="2"/>
  <c r="W601" i="2"/>
  <c r="V601" i="2"/>
  <c r="X600" i="2"/>
  <c r="W600" i="2"/>
  <c r="V600" i="2"/>
  <c r="X599" i="2"/>
  <c r="W599" i="2"/>
  <c r="V599" i="2"/>
  <c r="X598" i="2"/>
  <c r="W598" i="2"/>
  <c r="V598" i="2"/>
  <c r="X597" i="2"/>
  <c r="W597" i="2"/>
  <c r="V597" i="2"/>
  <c r="X596" i="2"/>
  <c r="W596" i="2"/>
  <c r="V596" i="2"/>
  <c r="X595" i="2"/>
  <c r="W595" i="2"/>
  <c r="V595" i="2"/>
  <c r="X594" i="2"/>
  <c r="W594" i="2"/>
  <c r="V594" i="2"/>
  <c r="X593" i="2"/>
  <c r="W593" i="2"/>
  <c r="V593" i="2"/>
  <c r="X592" i="2"/>
  <c r="W592" i="2"/>
  <c r="V592" i="2"/>
  <c r="X591" i="2"/>
  <c r="W591" i="2"/>
  <c r="V591" i="2"/>
  <c r="X590" i="2"/>
  <c r="W590" i="2"/>
  <c r="V590" i="2"/>
  <c r="X589" i="2"/>
  <c r="W589" i="2"/>
  <c r="V589" i="2"/>
  <c r="X588" i="2"/>
  <c r="W588" i="2"/>
  <c r="V588" i="2"/>
  <c r="X587" i="2"/>
  <c r="W587" i="2"/>
  <c r="V587" i="2"/>
  <c r="X586" i="2"/>
  <c r="W586" i="2"/>
  <c r="V586" i="2"/>
  <c r="X585" i="2"/>
  <c r="W585" i="2"/>
  <c r="V585" i="2"/>
  <c r="X584" i="2"/>
  <c r="W584" i="2"/>
  <c r="V584" i="2"/>
  <c r="X583" i="2"/>
  <c r="W583" i="2"/>
  <c r="V583" i="2"/>
  <c r="X582" i="2"/>
  <c r="W582" i="2"/>
  <c r="V582" i="2"/>
  <c r="X581" i="2"/>
  <c r="W581" i="2"/>
  <c r="V581" i="2"/>
  <c r="X580" i="2"/>
  <c r="W580" i="2"/>
  <c r="V580" i="2"/>
  <c r="X579" i="2"/>
  <c r="W579" i="2"/>
  <c r="V579" i="2"/>
  <c r="X578" i="2"/>
  <c r="W578" i="2"/>
  <c r="V578" i="2"/>
  <c r="X577" i="2"/>
  <c r="W577" i="2"/>
  <c r="V577" i="2"/>
  <c r="X576" i="2"/>
  <c r="W576" i="2"/>
  <c r="V576" i="2"/>
  <c r="X575" i="2"/>
  <c r="W575" i="2"/>
  <c r="V575" i="2"/>
  <c r="X574" i="2"/>
  <c r="W574" i="2"/>
  <c r="V574" i="2"/>
  <c r="X573" i="2"/>
  <c r="W573" i="2"/>
  <c r="V573" i="2"/>
  <c r="X572" i="2"/>
  <c r="W572" i="2"/>
  <c r="V572" i="2"/>
  <c r="X571" i="2"/>
  <c r="W571" i="2"/>
  <c r="V571" i="2"/>
  <c r="X570" i="2"/>
  <c r="W570" i="2"/>
  <c r="V570" i="2"/>
  <c r="X569" i="2"/>
  <c r="W569" i="2"/>
  <c r="V569" i="2"/>
  <c r="X568" i="2"/>
  <c r="W568" i="2"/>
  <c r="V568" i="2"/>
  <c r="X567" i="2"/>
  <c r="W567" i="2"/>
  <c r="V567" i="2"/>
  <c r="X566" i="2"/>
  <c r="W566" i="2"/>
  <c r="V566" i="2"/>
  <c r="X565" i="2"/>
  <c r="W565" i="2"/>
  <c r="V565" i="2"/>
  <c r="X564" i="2"/>
  <c r="W564" i="2"/>
  <c r="V564" i="2"/>
  <c r="X563" i="2"/>
  <c r="W563" i="2"/>
  <c r="V563" i="2"/>
  <c r="X562" i="2"/>
  <c r="W562" i="2"/>
  <c r="V562" i="2"/>
  <c r="X561" i="2"/>
  <c r="W561" i="2"/>
  <c r="V561" i="2"/>
  <c r="X560" i="2"/>
  <c r="W560" i="2"/>
  <c r="V560" i="2"/>
  <c r="X559" i="2"/>
  <c r="W559" i="2"/>
  <c r="V559" i="2"/>
  <c r="X558" i="2"/>
  <c r="W558" i="2"/>
  <c r="V558" i="2"/>
  <c r="X557" i="2"/>
  <c r="W557" i="2"/>
  <c r="V557" i="2"/>
  <c r="X556" i="2"/>
  <c r="W556" i="2"/>
  <c r="V556" i="2"/>
  <c r="X555" i="2"/>
  <c r="W555" i="2"/>
  <c r="V555" i="2"/>
  <c r="X554" i="2"/>
  <c r="W554" i="2"/>
  <c r="V554" i="2"/>
  <c r="X553" i="2"/>
  <c r="W553" i="2"/>
  <c r="V553" i="2"/>
  <c r="X552" i="2"/>
  <c r="W552" i="2"/>
  <c r="V552" i="2"/>
  <c r="X551" i="2"/>
  <c r="W551" i="2"/>
  <c r="V551" i="2"/>
  <c r="X550" i="2"/>
  <c r="W550" i="2"/>
  <c r="V550" i="2"/>
  <c r="X549" i="2"/>
  <c r="W549" i="2"/>
  <c r="V549" i="2"/>
  <c r="X548" i="2"/>
  <c r="W548" i="2"/>
  <c r="V548" i="2"/>
  <c r="X547" i="2"/>
  <c r="W547" i="2"/>
  <c r="V547" i="2"/>
  <c r="X546" i="2"/>
  <c r="W546" i="2"/>
  <c r="V546" i="2"/>
  <c r="X545" i="2"/>
  <c r="W545" i="2"/>
  <c r="V545" i="2"/>
  <c r="X544" i="2"/>
  <c r="W544" i="2"/>
  <c r="V544" i="2"/>
  <c r="X543" i="2"/>
  <c r="W543" i="2"/>
  <c r="V543" i="2"/>
  <c r="X542" i="2"/>
  <c r="W542" i="2"/>
  <c r="V542" i="2"/>
  <c r="X541" i="2"/>
  <c r="W541" i="2"/>
  <c r="V541" i="2"/>
  <c r="X540" i="2"/>
  <c r="W540" i="2"/>
  <c r="V540" i="2"/>
  <c r="X539" i="2"/>
  <c r="W539" i="2"/>
  <c r="V539" i="2"/>
  <c r="X538" i="2"/>
  <c r="W538" i="2"/>
  <c r="V538" i="2"/>
  <c r="X537" i="2"/>
  <c r="W537" i="2"/>
  <c r="V537" i="2"/>
  <c r="X536" i="2"/>
  <c r="W536" i="2"/>
  <c r="V536" i="2"/>
  <c r="X535" i="2"/>
  <c r="W535" i="2"/>
  <c r="V535" i="2"/>
  <c r="X534" i="2"/>
  <c r="W534" i="2"/>
  <c r="V534" i="2"/>
  <c r="X533" i="2"/>
  <c r="W533" i="2"/>
  <c r="V533" i="2"/>
  <c r="X532" i="2"/>
  <c r="W532" i="2"/>
  <c r="V532" i="2"/>
  <c r="X531" i="2"/>
  <c r="W531" i="2"/>
  <c r="V531" i="2"/>
  <c r="X530" i="2"/>
  <c r="W530" i="2"/>
  <c r="V530" i="2"/>
  <c r="X529" i="2"/>
  <c r="W529" i="2"/>
  <c r="V529" i="2"/>
  <c r="X528" i="2"/>
  <c r="W528" i="2"/>
  <c r="V528" i="2"/>
  <c r="X527" i="2"/>
  <c r="W527" i="2"/>
  <c r="V527" i="2"/>
  <c r="X526" i="2"/>
  <c r="W526" i="2"/>
  <c r="V526" i="2"/>
  <c r="X525" i="2"/>
  <c r="W525" i="2"/>
  <c r="V525" i="2"/>
  <c r="X524" i="2"/>
  <c r="W524" i="2"/>
  <c r="V524" i="2"/>
  <c r="X523" i="2"/>
  <c r="W523" i="2"/>
  <c r="V523" i="2"/>
  <c r="X522" i="2"/>
  <c r="W522" i="2"/>
  <c r="V522" i="2"/>
  <c r="X521" i="2"/>
  <c r="W521" i="2"/>
  <c r="V521" i="2"/>
  <c r="X520" i="2"/>
  <c r="W520" i="2"/>
  <c r="V520" i="2"/>
  <c r="X519" i="2"/>
  <c r="W519" i="2"/>
  <c r="V519" i="2"/>
  <c r="X518" i="2"/>
  <c r="W518" i="2"/>
  <c r="V518" i="2"/>
  <c r="X517" i="2"/>
  <c r="W517" i="2"/>
  <c r="V517" i="2"/>
  <c r="X516" i="2"/>
  <c r="W516" i="2"/>
  <c r="V516" i="2"/>
  <c r="X515" i="2"/>
  <c r="W515" i="2"/>
  <c r="V515" i="2"/>
  <c r="X514" i="2"/>
  <c r="W514" i="2"/>
  <c r="V514" i="2"/>
  <c r="X513" i="2"/>
  <c r="W513" i="2"/>
  <c r="V513" i="2"/>
  <c r="X512" i="2"/>
  <c r="W512" i="2"/>
  <c r="V512" i="2"/>
  <c r="X511" i="2"/>
  <c r="W511" i="2"/>
  <c r="V511" i="2"/>
  <c r="X510" i="2"/>
  <c r="W510" i="2"/>
  <c r="V510" i="2"/>
  <c r="X509" i="2"/>
  <c r="W509" i="2"/>
  <c r="V509" i="2"/>
  <c r="X508" i="2"/>
  <c r="W508" i="2"/>
  <c r="V508" i="2"/>
  <c r="X507" i="2"/>
  <c r="W507" i="2"/>
  <c r="V507" i="2"/>
  <c r="X506" i="2"/>
  <c r="W506" i="2"/>
  <c r="V506" i="2"/>
  <c r="X505" i="2"/>
  <c r="W505" i="2"/>
  <c r="V505" i="2"/>
  <c r="X504" i="2"/>
  <c r="W504" i="2"/>
  <c r="V504" i="2"/>
  <c r="X503" i="2"/>
  <c r="W503" i="2"/>
  <c r="V503" i="2"/>
  <c r="X502" i="2"/>
  <c r="W502" i="2"/>
  <c r="V502" i="2"/>
  <c r="X501" i="2"/>
  <c r="W501" i="2"/>
  <c r="V501" i="2"/>
  <c r="X500" i="2"/>
  <c r="W500" i="2"/>
  <c r="V500" i="2"/>
  <c r="X499" i="2"/>
  <c r="W499" i="2"/>
  <c r="V499" i="2"/>
  <c r="X498" i="2"/>
  <c r="W498" i="2"/>
  <c r="V498" i="2"/>
  <c r="X497" i="2"/>
  <c r="W497" i="2"/>
  <c r="V497" i="2"/>
  <c r="X496" i="2"/>
  <c r="W496" i="2"/>
  <c r="V496" i="2"/>
  <c r="X495" i="2"/>
  <c r="W495" i="2"/>
  <c r="V495" i="2"/>
  <c r="X494" i="2"/>
  <c r="W494" i="2"/>
  <c r="V494" i="2"/>
  <c r="X493" i="2"/>
  <c r="W493" i="2"/>
  <c r="V493" i="2"/>
  <c r="X492" i="2"/>
  <c r="W492" i="2"/>
  <c r="V492" i="2"/>
  <c r="X491" i="2"/>
  <c r="W491" i="2"/>
  <c r="V491" i="2"/>
  <c r="X490" i="2"/>
  <c r="W490" i="2"/>
  <c r="V490" i="2"/>
  <c r="X489" i="2"/>
  <c r="W489" i="2"/>
  <c r="V489" i="2"/>
  <c r="X488" i="2"/>
  <c r="W488" i="2"/>
  <c r="V488" i="2"/>
  <c r="X487" i="2"/>
  <c r="W487" i="2"/>
  <c r="V487" i="2"/>
  <c r="X486" i="2"/>
  <c r="W486" i="2"/>
  <c r="V486" i="2"/>
  <c r="X485" i="2"/>
  <c r="W485" i="2"/>
  <c r="V485" i="2"/>
  <c r="X484" i="2"/>
  <c r="W484" i="2"/>
  <c r="V484" i="2"/>
  <c r="X483" i="2"/>
  <c r="W483" i="2"/>
  <c r="V483" i="2"/>
  <c r="X482" i="2"/>
  <c r="W482" i="2"/>
  <c r="V482" i="2"/>
  <c r="X481" i="2"/>
  <c r="W481" i="2"/>
  <c r="V481" i="2"/>
  <c r="X480" i="2"/>
  <c r="W480" i="2"/>
  <c r="V480" i="2"/>
  <c r="X479" i="2"/>
  <c r="W479" i="2"/>
  <c r="V479" i="2"/>
  <c r="X478" i="2"/>
  <c r="W478" i="2"/>
  <c r="V478" i="2"/>
  <c r="X477" i="2"/>
  <c r="W477" i="2"/>
  <c r="V477" i="2"/>
  <c r="X476" i="2"/>
  <c r="W476" i="2"/>
  <c r="V476" i="2"/>
  <c r="X475" i="2"/>
  <c r="W475" i="2"/>
  <c r="V475" i="2"/>
  <c r="X474" i="2"/>
  <c r="W474" i="2"/>
  <c r="V474" i="2"/>
  <c r="X473" i="2"/>
  <c r="W473" i="2"/>
  <c r="V473" i="2"/>
  <c r="X472" i="2"/>
  <c r="W472" i="2"/>
  <c r="V472" i="2"/>
  <c r="X471" i="2"/>
  <c r="W471" i="2"/>
  <c r="V471" i="2"/>
  <c r="X470" i="2"/>
  <c r="W470" i="2"/>
  <c r="V470" i="2"/>
  <c r="X469" i="2"/>
  <c r="W469" i="2"/>
  <c r="V469" i="2"/>
  <c r="X468" i="2"/>
  <c r="W468" i="2"/>
  <c r="V468" i="2"/>
  <c r="X467" i="2"/>
  <c r="W467" i="2"/>
  <c r="V467" i="2"/>
  <c r="X466" i="2"/>
  <c r="W466" i="2"/>
  <c r="V466" i="2"/>
  <c r="X465" i="2"/>
  <c r="W465" i="2"/>
  <c r="V465" i="2"/>
  <c r="X464" i="2"/>
  <c r="W464" i="2"/>
  <c r="V464" i="2"/>
  <c r="X463" i="2"/>
  <c r="W463" i="2"/>
  <c r="V463" i="2"/>
  <c r="X462" i="2"/>
  <c r="W462" i="2"/>
  <c r="V462" i="2"/>
  <c r="X461" i="2"/>
  <c r="W461" i="2"/>
  <c r="V461" i="2"/>
  <c r="X460" i="2"/>
  <c r="W460" i="2"/>
  <c r="V460" i="2"/>
  <c r="X459" i="2"/>
  <c r="W459" i="2"/>
  <c r="V459" i="2"/>
  <c r="X458" i="2"/>
  <c r="W458" i="2"/>
  <c r="V458" i="2"/>
  <c r="X457" i="2"/>
  <c r="W457" i="2"/>
  <c r="V457" i="2"/>
  <c r="X456" i="2"/>
  <c r="W456" i="2"/>
  <c r="V456" i="2"/>
  <c r="X455" i="2"/>
  <c r="W455" i="2"/>
  <c r="V455" i="2"/>
  <c r="X454" i="2"/>
  <c r="W454" i="2"/>
  <c r="V454" i="2"/>
  <c r="X453" i="2"/>
  <c r="W453" i="2"/>
  <c r="V453" i="2"/>
  <c r="X452" i="2"/>
  <c r="W452" i="2"/>
  <c r="V452" i="2"/>
  <c r="X451" i="2"/>
  <c r="W451" i="2"/>
  <c r="V451" i="2"/>
  <c r="X450" i="2"/>
  <c r="W450" i="2"/>
  <c r="V450" i="2"/>
  <c r="X449" i="2"/>
  <c r="W449" i="2"/>
  <c r="V449" i="2"/>
  <c r="X448" i="2"/>
  <c r="W448" i="2"/>
  <c r="V448" i="2"/>
  <c r="X447" i="2"/>
  <c r="W447" i="2"/>
  <c r="V447" i="2"/>
  <c r="X446" i="2"/>
  <c r="W446" i="2"/>
  <c r="V446" i="2"/>
  <c r="X445" i="2"/>
  <c r="W445" i="2"/>
  <c r="V445" i="2"/>
  <c r="X444" i="2"/>
  <c r="W444" i="2"/>
  <c r="V444" i="2"/>
  <c r="X443" i="2"/>
  <c r="W443" i="2"/>
  <c r="V443" i="2"/>
  <c r="X442" i="2"/>
  <c r="W442" i="2"/>
  <c r="V442" i="2"/>
  <c r="X441" i="2"/>
  <c r="W441" i="2"/>
  <c r="V441" i="2"/>
  <c r="X440" i="2"/>
  <c r="W440" i="2"/>
  <c r="V440" i="2"/>
  <c r="X439" i="2"/>
  <c r="W439" i="2"/>
  <c r="V439" i="2"/>
  <c r="X438" i="2"/>
  <c r="W438" i="2"/>
  <c r="V438" i="2"/>
  <c r="X437" i="2"/>
  <c r="W437" i="2"/>
  <c r="V437" i="2"/>
  <c r="X436" i="2"/>
  <c r="W436" i="2"/>
  <c r="V436" i="2"/>
  <c r="X435" i="2"/>
  <c r="W435" i="2"/>
  <c r="V435" i="2"/>
  <c r="X434" i="2"/>
  <c r="W434" i="2"/>
  <c r="V434" i="2"/>
  <c r="X433" i="2"/>
  <c r="W433" i="2"/>
  <c r="V433" i="2"/>
  <c r="X432" i="2"/>
  <c r="W432" i="2"/>
  <c r="V432" i="2"/>
  <c r="X431" i="2"/>
  <c r="W431" i="2"/>
  <c r="V431" i="2"/>
  <c r="X430" i="2"/>
  <c r="W430" i="2"/>
  <c r="V430" i="2"/>
  <c r="X429" i="2"/>
  <c r="W429" i="2"/>
  <c r="V429" i="2"/>
  <c r="X428" i="2"/>
  <c r="W428" i="2"/>
  <c r="V428" i="2"/>
  <c r="X427" i="2"/>
  <c r="W427" i="2"/>
  <c r="V427" i="2"/>
  <c r="X426" i="2"/>
  <c r="W426" i="2"/>
  <c r="V426" i="2"/>
  <c r="X425" i="2"/>
  <c r="W425" i="2"/>
  <c r="V425" i="2"/>
  <c r="X424" i="2"/>
  <c r="W424" i="2"/>
  <c r="V424" i="2"/>
  <c r="X423" i="2"/>
  <c r="W423" i="2"/>
  <c r="V423" i="2"/>
  <c r="X422" i="2"/>
  <c r="W422" i="2"/>
  <c r="V422" i="2"/>
  <c r="X421" i="2"/>
  <c r="W421" i="2"/>
  <c r="V421" i="2"/>
  <c r="X420" i="2"/>
  <c r="W420" i="2"/>
  <c r="V420" i="2"/>
  <c r="X419" i="2"/>
  <c r="W419" i="2"/>
  <c r="V419" i="2"/>
  <c r="X418" i="2"/>
  <c r="W418" i="2"/>
  <c r="V418" i="2"/>
  <c r="X417" i="2"/>
  <c r="W417" i="2"/>
  <c r="V417" i="2"/>
  <c r="X416" i="2"/>
  <c r="W416" i="2"/>
  <c r="V416" i="2"/>
  <c r="X415" i="2"/>
  <c r="W415" i="2"/>
  <c r="V415" i="2"/>
  <c r="X414" i="2"/>
  <c r="W414" i="2"/>
  <c r="V414" i="2"/>
  <c r="X413" i="2"/>
  <c r="W413" i="2"/>
  <c r="V413" i="2"/>
  <c r="X412" i="2"/>
  <c r="W412" i="2"/>
  <c r="V412" i="2"/>
  <c r="X411" i="2"/>
  <c r="W411" i="2"/>
  <c r="V411" i="2"/>
  <c r="X410" i="2"/>
  <c r="W410" i="2"/>
  <c r="V410" i="2"/>
  <c r="X409" i="2"/>
  <c r="W409" i="2"/>
  <c r="V409" i="2"/>
  <c r="X408" i="2"/>
  <c r="W408" i="2"/>
  <c r="V408" i="2"/>
  <c r="X407" i="2"/>
  <c r="W407" i="2"/>
  <c r="V407" i="2"/>
  <c r="X406" i="2"/>
  <c r="W406" i="2"/>
  <c r="V406" i="2"/>
  <c r="X405" i="2"/>
  <c r="W405" i="2"/>
  <c r="V405" i="2"/>
  <c r="X404" i="2"/>
  <c r="W404" i="2"/>
  <c r="V404" i="2"/>
  <c r="X403" i="2"/>
  <c r="W403" i="2"/>
  <c r="V403" i="2"/>
  <c r="X402" i="2"/>
  <c r="W402" i="2"/>
  <c r="V402" i="2"/>
  <c r="X401" i="2"/>
  <c r="W401" i="2"/>
  <c r="V401" i="2"/>
  <c r="X400" i="2"/>
  <c r="W400" i="2"/>
  <c r="V400" i="2"/>
  <c r="X399" i="2"/>
  <c r="W399" i="2"/>
  <c r="V399" i="2"/>
  <c r="X398" i="2"/>
  <c r="W398" i="2"/>
  <c r="V398" i="2"/>
  <c r="X397" i="2"/>
  <c r="W397" i="2"/>
  <c r="V397" i="2"/>
  <c r="X396" i="2"/>
  <c r="W396" i="2"/>
  <c r="V396" i="2"/>
  <c r="X395" i="2"/>
  <c r="W395" i="2"/>
  <c r="V395" i="2"/>
  <c r="X394" i="2"/>
  <c r="W394" i="2"/>
  <c r="V394" i="2"/>
  <c r="X393" i="2"/>
  <c r="W393" i="2"/>
  <c r="V393" i="2"/>
  <c r="X392" i="2"/>
  <c r="W392" i="2"/>
  <c r="V392" i="2"/>
  <c r="X391" i="2"/>
  <c r="W391" i="2"/>
  <c r="V391" i="2"/>
  <c r="X390" i="2"/>
  <c r="W390" i="2"/>
  <c r="V390" i="2"/>
  <c r="X389" i="2"/>
  <c r="W389" i="2"/>
  <c r="V389" i="2"/>
  <c r="X388" i="2"/>
  <c r="W388" i="2"/>
  <c r="V388" i="2"/>
  <c r="X387" i="2"/>
  <c r="W387" i="2"/>
  <c r="V387" i="2"/>
  <c r="X386" i="2"/>
  <c r="W386" i="2"/>
  <c r="V386" i="2"/>
  <c r="X385" i="2"/>
  <c r="W385" i="2"/>
  <c r="V385" i="2"/>
  <c r="X384" i="2"/>
  <c r="W384" i="2"/>
  <c r="V384" i="2"/>
  <c r="X383" i="2"/>
  <c r="W383" i="2"/>
  <c r="V383" i="2"/>
  <c r="X382" i="2"/>
  <c r="W382" i="2"/>
  <c r="V382" i="2"/>
  <c r="X381" i="2"/>
  <c r="W381" i="2"/>
  <c r="V381" i="2"/>
  <c r="X380" i="2"/>
  <c r="W380" i="2"/>
  <c r="V380" i="2"/>
  <c r="X379" i="2"/>
  <c r="W379" i="2"/>
  <c r="V379" i="2"/>
  <c r="X378" i="2"/>
  <c r="W378" i="2"/>
  <c r="V378" i="2"/>
  <c r="X377" i="2"/>
  <c r="W377" i="2"/>
  <c r="V377" i="2"/>
  <c r="X376" i="2"/>
  <c r="W376" i="2"/>
  <c r="V376" i="2"/>
  <c r="X375" i="2"/>
  <c r="W375" i="2"/>
  <c r="V375" i="2"/>
  <c r="X374" i="2"/>
  <c r="W374" i="2"/>
  <c r="V374" i="2"/>
  <c r="X373" i="2"/>
  <c r="W373" i="2"/>
  <c r="V373" i="2"/>
  <c r="X372" i="2"/>
  <c r="W372" i="2"/>
  <c r="V372" i="2"/>
  <c r="X371" i="2"/>
  <c r="W371" i="2"/>
  <c r="V371" i="2"/>
  <c r="X370" i="2"/>
  <c r="W370" i="2"/>
  <c r="V370" i="2"/>
  <c r="X369" i="2"/>
  <c r="W369" i="2"/>
  <c r="V369" i="2"/>
  <c r="X368" i="2"/>
  <c r="W368" i="2"/>
  <c r="V368" i="2"/>
  <c r="X367" i="2"/>
  <c r="W367" i="2"/>
  <c r="V367" i="2"/>
  <c r="X366" i="2"/>
  <c r="W366" i="2"/>
  <c r="V366" i="2"/>
  <c r="X365" i="2"/>
  <c r="W365" i="2"/>
  <c r="V365" i="2"/>
  <c r="X364" i="2"/>
  <c r="W364" i="2"/>
  <c r="V364" i="2"/>
  <c r="X363" i="2"/>
  <c r="W363" i="2"/>
  <c r="V363" i="2"/>
  <c r="X362" i="2"/>
  <c r="W362" i="2"/>
  <c r="V362" i="2"/>
  <c r="X361" i="2"/>
  <c r="W361" i="2"/>
  <c r="V361" i="2"/>
  <c r="X360" i="2"/>
  <c r="W360" i="2"/>
  <c r="V360" i="2"/>
  <c r="X359" i="2"/>
  <c r="W359" i="2"/>
  <c r="V359" i="2"/>
  <c r="X358" i="2"/>
  <c r="W358" i="2"/>
  <c r="V358" i="2"/>
  <c r="X357" i="2"/>
  <c r="W357" i="2"/>
  <c r="V357" i="2"/>
  <c r="X356" i="2"/>
  <c r="W356" i="2"/>
  <c r="V356" i="2"/>
  <c r="X355" i="2"/>
  <c r="W355" i="2"/>
  <c r="V355" i="2"/>
  <c r="X354" i="2"/>
  <c r="W354" i="2"/>
  <c r="V354" i="2"/>
  <c r="X353" i="2"/>
  <c r="W353" i="2"/>
  <c r="V353" i="2"/>
  <c r="X352" i="2"/>
  <c r="W352" i="2"/>
  <c r="V352" i="2"/>
  <c r="X351" i="2"/>
  <c r="W351" i="2"/>
  <c r="V351" i="2"/>
  <c r="X350" i="2"/>
  <c r="W350" i="2"/>
  <c r="V350" i="2"/>
  <c r="X349" i="2"/>
  <c r="W349" i="2"/>
  <c r="V349" i="2"/>
  <c r="X348" i="2"/>
  <c r="W348" i="2"/>
  <c r="V348" i="2"/>
  <c r="X347" i="2"/>
  <c r="W347" i="2"/>
  <c r="V347" i="2"/>
  <c r="X346" i="2"/>
  <c r="W346" i="2"/>
  <c r="V346" i="2"/>
  <c r="X345" i="2"/>
  <c r="W345" i="2"/>
  <c r="V345" i="2"/>
  <c r="X344" i="2"/>
  <c r="W344" i="2"/>
  <c r="V344" i="2"/>
  <c r="X343" i="2"/>
  <c r="W343" i="2"/>
  <c r="V343" i="2"/>
  <c r="X342" i="2"/>
  <c r="W342" i="2"/>
  <c r="V342" i="2"/>
  <c r="X341" i="2"/>
  <c r="W341" i="2"/>
  <c r="V341" i="2"/>
  <c r="X340" i="2"/>
  <c r="W340" i="2"/>
  <c r="V340" i="2"/>
  <c r="X339" i="2"/>
  <c r="W339" i="2"/>
  <c r="V339" i="2"/>
  <c r="X338" i="2"/>
  <c r="W338" i="2"/>
  <c r="V338" i="2"/>
  <c r="X337" i="2"/>
  <c r="W337" i="2"/>
  <c r="V337" i="2"/>
  <c r="X336" i="2"/>
  <c r="W336" i="2"/>
  <c r="V336" i="2"/>
  <c r="X335" i="2"/>
  <c r="W335" i="2"/>
  <c r="V335" i="2"/>
  <c r="X334" i="2"/>
  <c r="W334" i="2"/>
  <c r="V334" i="2"/>
  <c r="X333" i="2"/>
  <c r="W333" i="2"/>
  <c r="V333" i="2"/>
  <c r="X332" i="2"/>
  <c r="W332" i="2"/>
  <c r="V332" i="2"/>
  <c r="X331" i="2"/>
  <c r="W331" i="2"/>
  <c r="V331" i="2"/>
  <c r="X330" i="2"/>
  <c r="W330" i="2"/>
  <c r="V330" i="2"/>
  <c r="X329" i="2"/>
  <c r="W329" i="2"/>
  <c r="V329" i="2"/>
  <c r="X328" i="2"/>
  <c r="W328" i="2"/>
  <c r="V328" i="2"/>
  <c r="X327" i="2"/>
  <c r="W327" i="2"/>
  <c r="V327" i="2"/>
  <c r="X326" i="2"/>
  <c r="W326" i="2"/>
  <c r="V326" i="2"/>
  <c r="X325" i="2"/>
  <c r="W325" i="2"/>
  <c r="V325" i="2"/>
  <c r="X324" i="2"/>
  <c r="W324" i="2"/>
  <c r="V324" i="2"/>
  <c r="X323" i="2"/>
  <c r="W323" i="2"/>
  <c r="V323" i="2"/>
  <c r="X322" i="2"/>
  <c r="W322" i="2"/>
  <c r="V322" i="2"/>
  <c r="X321" i="2"/>
  <c r="W321" i="2"/>
  <c r="V321" i="2"/>
  <c r="X320" i="2"/>
  <c r="W320" i="2"/>
  <c r="V320" i="2"/>
  <c r="X319" i="2"/>
  <c r="W319" i="2"/>
  <c r="V319" i="2"/>
  <c r="X318" i="2"/>
  <c r="W318" i="2"/>
  <c r="V318" i="2"/>
  <c r="X317" i="2"/>
  <c r="W317" i="2"/>
  <c r="V317" i="2"/>
  <c r="X316" i="2"/>
  <c r="W316" i="2"/>
  <c r="V316" i="2"/>
  <c r="X315" i="2"/>
  <c r="W315" i="2"/>
  <c r="V315" i="2"/>
  <c r="X314" i="2"/>
  <c r="W314" i="2"/>
  <c r="V314" i="2"/>
  <c r="X313" i="2"/>
  <c r="W313" i="2"/>
  <c r="V313" i="2"/>
  <c r="X312" i="2"/>
  <c r="W312" i="2"/>
  <c r="V312" i="2"/>
  <c r="X311" i="2"/>
  <c r="W311" i="2"/>
  <c r="V311" i="2"/>
  <c r="X310" i="2"/>
  <c r="W310" i="2"/>
  <c r="V310" i="2"/>
  <c r="X309" i="2"/>
  <c r="W309" i="2"/>
  <c r="V309" i="2"/>
  <c r="X308" i="2"/>
  <c r="W308" i="2"/>
  <c r="V308" i="2"/>
  <c r="X307" i="2"/>
  <c r="W307" i="2"/>
  <c r="V307" i="2"/>
  <c r="X306" i="2"/>
  <c r="W306" i="2"/>
  <c r="V306" i="2"/>
  <c r="X305" i="2"/>
  <c r="W305" i="2"/>
  <c r="V305" i="2"/>
  <c r="X304" i="2"/>
  <c r="W304" i="2"/>
  <c r="V304" i="2"/>
  <c r="X303" i="2"/>
  <c r="W303" i="2"/>
  <c r="V303" i="2"/>
  <c r="X302" i="2"/>
  <c r="W302" i="2"/>
  <c r="V302" i="2"/>
  <c r="X301" i="2"/>
  <c r="W301" i="2"/>
  <c r="V301" i="2"/>
  <c r="X300" i="2"/>
  <c r="W300" i="2"/>
  <c r="V300" i="2"/>
  <c r="X299" i="2"/>
  <c r="W299" i="2"/>
  <c r="V299" i="2"/>
  <c r="X298" i="2"/>
  <c r="W298" i="2"/>
  <c r="V298" i="2"/>
  <c r="X297" i="2"/>
  <c r="W297" i="2"/>
  <c r="V297" i="2"/>
  <c r="X296" i="2"/>
  <c r="W296" i="2"/>
  <c r="V296" i="2"/>
  <c r="X295" i="2"/>
  <c r="W295" i="2"/>
  <c r="V295" i="2"/>
  <c r="X294" i="2"/>
  <c r="W294" i="2"/>
  <c r="V294" i="2"/>
  <c r="X293" i="2"/>
  <c r="W293" i="2"/>
  <c r="V293" i="2"/>
  <c r="X292" i="2"/>
  <c r="W292" i="2"/>
  <c r="V292" i="2"/>
  <c r="X291" i="2"/>
  <c r="W291" i="2"/>
  <c r="V291" i="2"/>
  <c r="X290" i="2"/>
  <c r="W290" i="2"/>
  <c r="V290" i="2"/>
  <c r="X289" i="2"/>
  <c r="W289" i="2"/>
  <c r="V289" i="2"/>
  <c r="X288" i="2"/>
  <c r="W288" i="2"/>
  <c r="V288" i="2"/>
  <c r="X287" i="2"/>
  <c r="W287" i="2"/>
  <c r="V287" i="2"/>
  <c r="X286" i="2"/>
  <c r="W286" i="2"/>
  <c r="V286" i="2"/>
  <c r="X285" i="2"/>
  <c r="W285" i="2"/>
  <c r="V285" i="2"/>
  <c r="X284" i="2"/>
  <c r="W284" i="2"/>
  <c r="V284" i="2"/>
  <c r="X283" i="2"/>
  <c r="W283" i="2"/>
  <c r="V283" i="2"/>
  <c r="X282" i="2"/>
  <c r="W282" i="2"/>
  <c r="V282" i="2"/>
  <c r="X281" i="2"/>
  <c r="W281" i="2"/>
  <c r="V281" i="2"/>
  <c r="X280" i="2"/>
  <c r="W280" i="2"/>
  <c r="V280" i="2"/>
  <c r="X279" i="2"/>
  <c r="W279" i="2"/>
  <c r="V279" i="2"/>
  <c r="X278" i="2"/>
  <c r="W278" i="2"/>
  <c r="V278" i="2"/>
  <c r="X277" i="2"/>
  <c r="W277" i="2"/>
  <c r="V277" i="2"/>
  <c r="X276" i="2"/>
  <c r="W276" i="2"/>
  <c r="V276" i="2"/>
  <c r="X275" i="2"/>
  <c r="W275" i="2"/>
  <c r="V275" i="2"/>
  <c r="X274" i="2"/>
  <c r="W274" i="2"/>
  <c r="V274" i="2"/>
  <c r="X273" i="2"/>
  <c r="W273" i="2"/>
  <c r="V273" i="2"/>
  <c r="X272" i="2"/>
  <c r="W272" i="2"/>
  <c r="V272" i="2"/>
  <c r="X271" i="2"/>
  <c r="W271" i="2"/>
  <c r="V271" i="2"/>
  <c r="X270" i="2"/>
  <c r="W270" i="2"/>
  <c r="V270" i="2"/>
  <c r="X269" i="2"/>
  <c r="W269" i="2"/>
  <c r="V269" i="2"/>
  <c r="X268" i="2"/>
  <c r="W268" i="2"/>
  <c r="V268" i="2"/>
  <c r="X267" i="2"/>
  <c r="W267" i="2"/>
  <c r="V267" i="2"/>
  <c r="X266" i="2"/>
  <c r="W266" i="2"/>
  <c r="V266" i="2"/>
  <c r="X265" i="2"/>
  <c r="W265" i="2"/>
  <c r="V265" i="2"/>
  <c r="X264" i="2"/>
  <c r="W264" i="2"/>
  <c r="V264" i="2"/>
  <c r="X263" i="2"/>
  <c r="W263" i="2"/>
  <c r="V263" i="2"/>
  <c r="X262" i="2"/>
  <c r="W262" i="2"/>
  <c r="V262" i="2"/>
  <c r="X261" i="2"/>
  <c r="W261" i="2"/>
  <c r="V261" i="2"/>
  <c r="X260" i="2"/>
  <c r="W260" i="2"/>
  <c r="V260" i="2"/>
  <c r="X259" i="2"/>
  <c r="W259" i="2"/>
  <c r="V259" i="2"/>
  <c r="X258" i="2"/>
  <c r="W258" i="2"/>
  <c r="V258" i="2"/>
  <c r="X257" i="2"/>
  <c r="W257" i="2"/>
  <c r="V257" i="2"/>
  <c r="X256" i="2"/>
  <c r="W256" i="2"/>
  <c r="V256" i="2"/>
  <c r="X255" i="2"/>
  <c r="W255" i="2"/>
  <c r="V255" i="2"/>
  <c r="X254" i="2"/>
  <c r="W254" i="2"/>
  <c r="V254" i="2"/>
  <c r="X253" i="2"/>
  <c r="W253" i="2"/>
  <c r="V253" i="2"/>
  <c r="X252" i="2"/>
  <c r="W252" i="2"/>
  <c r="V252" i="2"/>
  <c r="X251" i="2"/>
  <c r="W251" i="2"/>
  <c r="V251" i="2"/>
  <c r="X250" i="2"/>
  <c r="W250" i="2"/>
  <c r="V250" i="2"/>
  <c r="X249" i="2"/>
  <c r="W249" i="2"/>
  <c r="V249" i="2"/>
  <c r="X248" i="2"/>
  <c r="W248" i="2"/>
  <c r="V248" i="2"/>
  <c r="X247" i="2"/>
  <c r="W247" i="2"/>
  <c r="V247" i="2"/>
  <c r="X246" i="2"/>
  <c r="W246" i="2"/>
  <c r="V246" i="2"/>
  <c r="X245" i="2"/>
  <c r="W245" i="2"/>
  <c r="V245" i="2"/>
  <c r="X244" i="2"/>
  <c r="W244" i="2"/>
  <c r="V244" i="2"/>
  <c r="X243" i="2"/>
  <c r="W243" i="2"/>
  <c r="V243" i="2"/>
  <c r="X242" i="2"/>
  <c r="W242" i="2"/>
  <c r="V242" i="2"/>
  <c r="X241" i="2"/>
  <c r="W241" i="2"/>
  <c r="V241" i="2"/>
  <c r="X240" i="2"/>
  <c r="W240" i="2"/>
  <c r="V240" i="2"/>
  <c r="X239" i="2"/>
  <c r="W239" i="2"/>
  <c r="V239" i="2"/>
  <c r="X238" i="2"/>
  <c r="W238" i="2"/>
  <c r="V238" i="2"/>
  <c r="X237" i="2"/>
  <c r="W237" i="2"/>
  <c r="V237" i="2"/>
  <c r="X236" i="2"/>
  <c r="W236" i="2"/>
  <c r="V236" i="2"/>
  <c r="X235" i="2"/>
  <c r="W235" i="2"/>
  <c r="V235" i="2"/>
  <c r="X234" i="2"/>
  <c r="W234" i="2"/>
  <c r="V234" i="2"/>
  <c r="X233" i="2"/>
  <c r="W233" i="2"/>
  <c r="V233" i="2"/>
  <c r="X232" i="2"/>
  <c r="W232" i="2"/>
  <c r="V232" i="2"/>
  <c r="X231" i="2"/>
  <c r="W231" i="2"/>
  <c r="V231" i="2"/>
  <c r="X230" i="2"/>
  <c r="W230" i="2"/>
  <c r="V230" i="2"/>
  <c r="X229" i="2"/>
  <c r="W229" i="2"/>
  <c r="V229" i="2"/>
  <c r="X228" i="2"/>
  <c r="W228" i="2"/>
  <c r="V228" i="2"/>
  <c r="X227" i="2"/>
  <c r="W227" i="2"/>
  <c r="V227" i="2"/>
  <c r="X226" i="2"/>
  <c r="W226" i="2"/>
  <c r="V226" i="2"/>
  <c r="X225" i="2"/>
  <c r="W225" i="2"/>
  <c r="V225" i="2"/>
  <c r="X224" i="2"/>
  <c r="W224" i="2"/>
  <c r="V224" i="2"/>
  <c r="X223" i="2"/>
  <c r="W223" i="2"/>
  <c r="V223" i="2"/>
  <c r="X222" i="2"/>
  <c r="W222" i="2"/>
  <c r="V222" i="2"/>
  <c r="X221" i="2"/>
  <c r="W221" i="2"/>
  <c r="V221" i="2"/>
  <c r="X220" i="2"/>
  <c r="W220" i="2"/>
  <c r="V220" i="2"/>
  <c r="X219" i="2"/>
  <c r="W219" i="2"/>
  <c r="V219" i="2"/>
  <c r="X218" i="2"/>
  <c r="W218" i="2"/>
  <c r="V218" i="2"/>
  <c r="X217" i="2"/>
  <c r="W217" i="2"/>
  <c r="V217" i="2"/>
  <c r="X216" i="2"/>
  <c r="W216" i="2"/>
  <c r="V216" i="2"/>
  <c r="X215" i="2"/>
  <c r="W215" i="2"/>
  <c r="V215" i="2"/>
  <c r="X214" i="2"/>
  <c r="W214" i="2"/>
  <c r="V214" i="2"/>
  <c r="X213" i="2"/>
  <c r="W213" i="2"/>
  <c r="V213" i="2"/>
  <c r="X212" i="2"/>
  <c r="W212" i="2"/>
  <c r="V212" i="2"/>
  <c r="X211" i="2"/>
  <c r="W211" i="2"/>
  <c r="V211" i="2"/>
  <c r="X210" i="2"/>
  <c r="W210" i="2"/>
  <c r="V210" i="2"/>
  <c r="X209" i="2"/>
  <c r="W209" i="2"/>
  <c r="V209" i="2"/>
  <c r="X208" i="2"/>
  <c r="W208" i="2"/>
  <c r="V208" i="2"/>
  <c r="X207" i="2"/>
  <c r="W207" i="2"/>
  <c r="V207" i="2"/>
  <c r="X206" i="2"/>
  <c r="W206" i="2"/>
  <c r="V206" i="2"/>
  <c r="X205" i="2"/>
  <c r="W205" i="2"/>
  <c r="V205" i="2"/>
  <c r="X204" i="2"/>
  <c r="W204" i="2"/>
  <c r="V204" i="2"/>
  <c r="X203" i="2"/>
  <c r="W203" i="2"/>
  <c r="V203" i="2"/>
  <c r="X202" i="2"/>
  <c r="W202" i="2"/>
  <c r="V202" i="2"/>
  <c r="X201" i="2"/>
  <c r="W201" i="2"/>
  <c r="V201" i="2"/>
  <c r="X200" i="2"/>
  <c r="W200" i="2"/>
  <c r="V200" i="2"/>
  <c r="X199" i="2"/>
  <c r="W199" i="2"/>
  <c r="V199" i="2"/>
  <c r="X198" i="2"/>
  <c r="W198" i="2"/>
  <c r="V198" i="2"/>
  <c r="X197" i="2"/>
  <c r="W197" i="2"/>
  <c r="V197" i="2"/>
  <c r="X196" i="2"/>
  <c r="W196" i="2"/>
  <c r="V196" i="2"/>
  <c r="X195" i="2"/>
  <c r="W195" i="2"/>
  <c r="V195" i="2"/>
  <c r="X194" i="2"/>
  <c r="W194" i="2"/>
  <c r="V194" i="2"/>
  <c r="X193" i="2"/>
  <c r="W193" i="2"/>
  <c r="V193" i="2"/>
  <c r="X192" i="2"/>
  <c r="W192" i="2"/>
  <c r="V192" i="2"/>
  <c r="X191" i="2"/>
  <c r="W191" i="2"/>
  <c r="V191" i="2"/>
  <c r="X190" i="2"/>
  <c r="W190" i="2"/>
  <c r="V190" i="2"/>
  <c r="X189" i="2"/>
  <c r="W189" i="2"/>
  <c r="V189" i="2"/>
  <c r="X188" i="2"/>
  <c r="W188" i="2"/>
  <c r="V188" i="2"/>
  <c r="X187" i="2"/>
  <c r="W187" i="2"/>
  <c r="V187" i="2"/>
  <c r="X186" i="2"/>
  <c r="W186" i="2"/>
  <c r="V186" i="2"/>
  <c r="X185" i="2"/>
  <c r="W185" i="2"/>
  <c r="V185" i="2"/>
  <c r="X184" i="2"/>
  <c r="W184" i="2"/>
  <c r="V184" i="2"/>
  <c r="X183" i="2"/>
  <c r="W183" i="2"/>
  <c r="V183" i="2"/>
  <c r="X182" i="2"/>
  <c r="W182" i="2"/>
  <c r="V182" i="2"/>
  <c r="X181" i="2"/>
  <c r="W181" i="2"/>
  <c r="V181" i="2"/>
  <c r="X180" i="2"/>
  <c r="W180" i="2"/>
  <c r="V180" i="2"/>
  <c r="X179" i="2"/>
  <c r="W179" i="2"/>
  <c r="V179" i="2"/>
  <c r="X178" i="2"/>
  <c r="W178" i="2"/>
  <c r="V178" i="2"/>
  <c r="X177" i="2"/>
  <c r="W177" i="2"/>
  <c r="V177" i="2"/>
  <c r="X176" i="2"/>
  <c r="W176" i="2"/>
  <c r="V176" i="2"/>
  <c r="X175" i="2"/>
  <c r="W175" i="2"/>
  <c r="V175" i="2"/>
  <c r="X174" i="2"/>
  <c r="W174" i="2"/>
  <c r="V174" i="2"/>
  <c r="X173" i="2"/>
  <c r="W173" i="2"/>
  <c r="V173" i="2"/>
  <c r="X172" i="2"/>
  <c r="W172" i="2"/>
  <c r="V172" i="2"/>
  <c r="X171" i="2"/>
  <c r="W171" i="2"/>
  <c r="V171" i="2"/>
  <c r="X170" i="2"/>
  <c r="W170" i="2"/>
  <c r="V170" i="2"/>
  <c r="X169" i="2"/>
  <c r="W169" i="2"/>
  <c r="V169" i="2"/>
  <c r="X168" i="2"/>
  <c r="W168" i="2"/>
  <c r="V168" i="2"/>
  <c r="X167" i="2"/>
  <c r="W167" i="2"/>
  <c r="V167" i="2"/>
  <c r="X166" i="2"/>
  <c r="W166" i="2"/>
  <c r="V166" i="2"/>
  <c r="X165" i="2"/>
  <c r="W165" i="2"/>
  <c r="V165" i="2"/>
  <c r="X164" i="2"/>
  <c r="W164" i="2"/>
  <c r="V164" i="2"/>
  <c r="X163" i="2"/>
  <c r="W163" i="2"/>
  <c r="V163" i="2"/>
  <c r="X162" i="2"/>
  <c r="W162" i="2"/>
  <c r="V162" i="2"/>
  <c r="X161" i="2"/>
  <c r="W161" i="2"/>
  <c r="V161" i="2"/>
  <c r="X160" i="2"/>
  <c r="W160" i="2"/>
  <c r="V160" i="2"/>
  <c r="X159" i="2"/>
  <c r="W159" i="2"/>
  <c r="V159" i="2"/>
  <c r="X158" i="2"/>
  <c r="W158" i="2"/>
  <c r="V158" i="2"/>
  <c r="X157" i="2"/>
  <c r="W157" i="2"/>
  <c r="V157" i="2"/>
  <c r="X156" i="2"/>
  <c r="W156" i="2"/>
  <c r="V156" i="2"/>
  <c r="X155" i="2"/>
  <c r="W155" i="2"/>
  <c r="V155" i="2"/>
  <c r="X154" i="2"/>
  <c r="W154" i="2"/>
  <c r="V154" i="2"/>
  <c r="X153" i="2"/>
  <c r="W153" i="2"/>
  <c r="V153" i="2"/>
  <c r="X152" i="2"/>
  <c r="W152" i="2"/>
  <c r="V152" i="2"/>
  <c r="X151" i="2"/>
  <c r="W151" i="2"/>
  <c r="V151" i="2"/>
  <c r="X150" i="2"/>
  <c r="W150" i="2"/>
  <c r="V150" i="2"/>
  <c r="X149" i="2"/>
  <c r="W149" i="2"/>
  <c r="V149" i="2"/>
  <c r="X148" i="2"/>
  <c r="W148" i="2"/>
  <c r="V148" i="2"/>
  <c r="X147" i="2"/>
  <c r="W147" i="2"/>
  <c r="V147" i="2"/>
  <c r="X146" i="2"/>
  <c r="W146" i="2"/>
  <c r="V146" i="2"/>
  <c r="X145" i="2"/>
  <c r="W145" i="2"/>
  <c r="V145" i="2"/>
  <c r="X144" i="2"/>
  <c r="W144" i="2"/>
  <c r="V144" i="2"/>
  <c r="X143" i="2"/>
  <c r="W143" i="2"/>
  <c r="V143" i="2"/>
  <c r="X142" i="2"/>
  <c r="W142" i="2"/>
  <c r="V142" i="2"/>
  <c r="X141" i="2"/>
  <c r="W141" i="2"/>
  <c r="V141" i="2"/>
  <c r="X140" i="2"/>
  <c r="W140" i="2"/>
  <c r="V140" i="2"/>
  <c r="X139" i="2"/>
  <c r="W139" i="2"/>
  <c r="V139" i="2"/>
  <c r="X138" i="2"/>
  <c r="W138" i="2"/>
  <c r="V138" i="2"/>
  <c r="X137" i="2"/>
  <c r="W137" i="2"/>
  <c r="V137" i="2"/>
  <c r="X136" i="2"/>
  <c r="W136" i="2"/>
  <c r="V136" i="2"/>
  <c r="X135" i="2"/>
  <c r="W135" i="2"/>
  <c r="V135" i="2"/>
  <c r="X134" i="2"/>
  <c r="W134" i="2"/>
  <c r="V134" i="2"/>
  <c r="X133" i="2"/>
  <c r="W133" i="2"/>
  <c r="V133" i="2"/>
  <c r="X132" i="2"/>
  <c r="W132" i="2"/>
  <c r="V132" i="2"/>
  <c r="X131" i="2"/>
  <c r="W131" i="2"/>
  <c r="V131" i="2"/>
  <c r="X130" i="2"/>
  <c r="W130" i="2"/>
  <c r="V130" i="2"/>
  <c r="X129" i="2"/>
  <c r="W129" i="2"/>
  <c r="V129" i="2"/>
  <c r="X128" i="2"/>
  <c r="W128" i="2"/>
  <c r="V128" i="2"/>
  <c r="X127" i="2"/>
  <c r="W127" i="2"/>
  <c r="V127" i="2"/>
  <c r="X126" i="2"/>
  <c r="W126" i="2"/>
  <c r="V126" i="2"/>
  <c r="X125" i="2"/>
  <c r="W125" i="2"/>
  <c r="V125" i="2"/>
  <c r="X124" i="2"/>
  <c r="W124" i="2"/>
  <c r="V124" i="2"/>
  <c r="X123" i="2"/>
  <c r="W123" i="2"/>
  <c r="V123" i="2"/>
  <c r="X122" i="2"/>
  <c r="W122" i="2"/>
  <c r="V122" i="2"/>
  <c r="X121" i="2"/>
  <c r="W121" i="2"/>
  <c r="V121" i="2"/>
  <c r="X120" i="2"/>
  <c r="W120" i="2"/>
  <c r="V120" i="2"/>
  <c r="X119" i="2"/>
  <c r="W119" i="2"/>
  <c r="V119" i="2"/>
  <c r="X118" i="2"/>
  <c r="W118" i="2"/>
  <c r="V118" i="2"/>
  <c r="X117" i="2"/>
  <c r="W117" i="2"/>
  <c r="V117" i="2"/>
  <c r="X116" i="2"/>
  <c r="W116" i="2"/>
  <c r="V116" i="2"/>
  <c r="X115" i="2"/>
  <c r="W115" i="2"/>
  <c r="V115" i="2"/>
  <c r="X114" i="2"/>
  <c r="W114" i="2"/>
  <c r="V114" i="2"/>
  <c r="X113" i="2"/>
  <c r="W113" i="2"/>
  <c r="V113" i="2"/>
  <c r="X112" i="2"/>
  <c r="W112" i="2"/>
  <c r="V112" i="2"/>
  <c r="X111" i="2"/>
  <c r="W111" i="2"/>
  <c r="V111" i="2"/>
  <c r="X110" i="2"/>
  <c r="W110" i="2"/>
  <c r="V110" i="2"/>
  <c r="X109" i="2"/>
  <c r="W109" i="2"/>
  <c r="V109" i="2"/>
  <c r="X108" i="2"/>
  <c r="W108" i="2"/>
  <c r="V108" i="2"/>
  <c r="X107" i="2"/>
  <c r="W107" i="2"/>
  <c r="V107" i="2"/>
  <c r="X106" i="2"/>
  <c r="W106" i="2"/>
  <c r="V106" i="2"/>
  <c r="X105" i="2"/>
  <c r="W105" i="2"/>
  <c r="V105" i="2"/>
  <c r="X104" i="2"/>
  <c r="W104" i="2"/>
  <c r="V104" i="2"/>
  <c r="X103" i="2"/>
  <c r="W103" i="2"/>
  <c r="V103" i="2"/>
  <c r="X102" i="2"/>
  <c r="W102" i="2"/>
  <c r="V102" i="2"/>
  <c r="X101" i="2"/>
  <c r="W101" i="2"/>
  <c r="V101" i="2"/>
  <c r="X100" i="2"/>
  <c r="W100" i="2"/>
  <c r="V100" i="2"/>
  <c r="X99" i="2"/>
  <c r="W99" i="2"/>
  <c r="V99" i="2"/>
  <c r="X98" i="2"/>
  <c r="W98" i="2"/>
  <c r="V98" i="2"/>
  <c r="X97" i="2"/>
  <c r="W97" i="2"/>
  <c r="V97" i="2"/>
  <c r="X96" i="2"/>
  <c r="W96" i="2"/>
  <c r="V96" i="2"/>
  <c r="X95" i="2"/>
  <c r="W95" i="2"/>
  <c r="V95" i="2"/>
  <c r="X94" i="2"/>
  <c r="W94" i="2"/>
  <c r="V94" i="2"/>
  <c r="X93" i="2"/>
  <c r="W93" i="2"/>
  <c r="V93" i="2"/>
  <c r="X92" i="2"/>
  <c r="W92" i="2"/>
  <c r="V92" i="2"/>
  <c r="X91" i="2"/>
  <c r="W91" i="2"/>
  <c r="V91" i="2"/>
  <c r="X90" i="2"/>
  <c r="W90" i="2"/>
  <c r="V90" i="2"/>
  <c r="X89" i="2"/>
  <c r="W89" i="2"/>
  <c r="V89" i="2"/>
  <c r="X88" i="2"/>
  <c r="W88" i="2"/>
  <c r="V88" i="2"/>
  <c r="X87" i="2"/>
  <c r="W87" i="2"/>
  <c r="V87" i="2"/>
  <c r="X86" i="2"/>
  <c r="W86" i="2"/>
  <c r="V86" i="2"/>
  <c r="X85" i="2"/>
  <c r="W85" i="2"/>
  <c r="V85" i="2"/>
  <c r="X84" i="2"/>
  <c r="W84" i="2"/>
  <c r="V84" i="2"/>
  <c r="X83" i="2"/>
  <c r="W83" i="2"/>
  <c r="V83" i="2"/>
  <c r="X82" i="2"/>
  <c r="W82" i="2"/>
  <c r="V82" i="2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X76" i="2"/>
  <c r="W76" i="2"/>
  <c r="V76" i="2"/>
  <c r="X75" i="2"/>
  <c r="W75" i="2"/>
  <c r="V75" i="2"/>
  <c r="X74" i="2"/>
  <c r="W74" i="2"/>
  <c r="V74" i="2"/>
  <c r="X73" i="2"/>
  <c r="W73" i="2"/>
  <c r="V73" i="2"/>
  <c r="X72" i="2"/>
  <c r="W72" i="2"/>
  <c r="V72" i="2"/>
  <c r="X71" i="2"/>
  <c r="W71" i="2"/>
  <c r="V71" i="2"/>
  <c r="X70" i="2"/>
  <c r="W70" i="2"/>
  <c r="V70" i="2"/>
  <c r="X69" i="2"/>
  <c r="W69" i="2"/>
  <c r="V69" i="2"/>
  <c r="X68" i="2"/>
  <c r="W68" i="2"/>
  <c r="V68" i="2"/>
  <c r="X67" i="2"/>
  <c r="W67" i="2"/>
  <c r="V67" i="2"/>
  <c r="X66" i="2"/>
  <c r="W66" i="2"/>
  <c r="V66" i="2"/>
  <c r="X65" i="2"/>
  <c r="W65" i="2"/>
  <c r="V65" i="2"/>
  <c r="X64" i="2"/>
  <c r="W64" i="2"/>
  <c r="V64" i="2"/>
  <c r="X63" i="2"/>
  <c r="W63" i="2"/>
  <c r="V63" i="2"/>
  <c r="X62" i="2"/>
  <c r="W62" i="2"/>
  <c r="V62" i="2"/>
  <c r="X61" i="2"/>
  <c r="W61" i="2"/>
  <c r="V61" i="2"/>
  <c r="X60" i="2"/>
  <c r="W60" i="2"/>
  <c r="V60" i="2"/>
  <c r="X59" i="2"/>
  <c r="W59" i="2"/>
  <c r="V59" i="2"/>
  <c r="X58" i="2"/>
  <c r="W58" i="2"/>
  <c r="V58" i="2"/>
  <c r="X57" i="2"/>
  <c r="W57" i="2"/>
  <c r="V57" i="2"/>
  <c r="X56" i="2"/>
  <c r="W56" i="2"/>
  <c r="V56" i="2"/>
  <c r="X55" i="2"/>
  <c r="W55" i="2"/>
  <c r="V55" i="2"/>
  <c r="X54" i="2"/>
  <c r="W54" i="2"/>
  <c r="V54" i="2"/>
  <c r="X53" i="2"/>
  <c r="W53" i="2"/>
  <c r="V53" i="2"/>
  <c r="X52" i="2"/>
  <c r="W52" i="2"/>
  <c r="V52" i="2"/>
  <c r="X51" i="2"/>
  <c r="W51" i="2"/>
  <c r="V51" i="2"/>
  <c r="X50" i="2"/>
  <c r="W50" i="2"/>
  <c r="V50" i="2"/>
  <c r="X49" i="2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W43" i="2"/>
  <c r="V43" i="2"/>
  <c r="X42" i="2"/>
  <c r="W42" i="2"/>
  <c r="V42" i="2"/>
  <c r="X41" i="2"/>
  <c r="W41" i="2"/>
  <c r="V41" i="2"/>
  <c r="X40" i="2"/>
  <c r="W40" i="2"/>
  <c r="V40" i="2"/>
  <c r="X39" i="2"/>
  <c r="W39" i="2"/>
  <c r="V39" i="2"/>
  <c r="X38" i="2"/>
  <c r="W38" i="2"/>
  <c r="V38" i="2"/>
  <c r="X37" i="2"/>
  <c r="W37" i="2"/>
  <c r="V37" i="2"/>
  <c r="X36" i="2"/>
  <c r="W36" i="2"/>
  <c r="V36" i="2"/>
  <c r="X35" i="2"/>
  <c r="W35" i="2"/>
  <c r="V35" i="2"/>
  <c r="X34" i="2"/>
  <c r="W34" i="2"/>
  <c r="V34" i="2"/>
  <c r="X33" i="2"/>
  <c r="W33" i="2"/>
  <c r="V33" i="2"/>
  <c r="X32" i="2"/>
  <c r="W32" i="2"/>
  <c r="V32" i="2"/>
  <c r="X31" i="2"/>
  <c r="W31" i="2"/>
  <c r="V31" i="2"/>
  <c r="X30" i="2"/>
  <c r="W30" i="2"/>
  <c r="V30" i="2"/>
  <c r="X29" i="2"/>
  <c r="W29" i="2"/>
  <c r="V29" i="2"/>
  <c r="X28" i="2"/>
  <c r="W28" i="2"/>
  <c r="V28" i="2"/>
  <c r="X27" i="2"/>
  <c r="W27" i="2"/>
  <c r="V27" i="2"/>
  <c r="X26" i="2"/>
  <c r="W26" i="2"/>
  <c r="V26" i="2"/>
  <c r="X25" i="2"/>
  <c r="W25" i="2"/>
  <c r="V25" i="2"/>
  <c r="X24" i="2"/>
  <c r="W24" i="2"/>
  <c r="V24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X15" i="2"/>
  <c r="W15" i="2"/>
  <c r="V15" i="2"/>
  <c r="X14" i="2"/>
  <c r="W14" i="2"/>
  <c r="V14" i="2"/>
  <c r="X13" i="2"/>
  <c r="W13" i="2"/>
  <c r="V13" i="2"/>
  <c r="X12" i="2"/>
  <c r="W12" i="2"/>
  <c r="V12" i="2"/>
  <c r="X11" i="2"/>
  <c r="W11" i="2"/>
  <c r="V11" i="2"/>
  <c r="X10" i="2"/>
  <c r="W10" i="2"/>
  <c r="V10" i="2"/>
  <c r="X9" i="2"/>
  <c r="W9" i="2"/>
  <c r="V9" i="2"/>
  <c r="X8" i="2"/>
  <c r="W8" i="2"/>
  <c r="V8" i="2"/>
  <c r="X7" i="2"/>
  <c r="W7" i="2"/>
  <c r="V7" i="2"/>
  <c r="X6" i="2"/>
  <c r="W6" i="2"/>
  <c r="V6" i="2"/>
  <c r="X5" i="2"/>
  <c r="W5" i="2"/>
  <c r="V5" i="2"/>
  <c r="X4" i="2"/>
  <c r="W4" i="2"/>
  <c r="V4" i="2"/>
  <c r="X3" i="2"/>
  <c r="W3" i="2"/>
  <c r="V3" i="2"/>
</calcChain>
</file>

<file path=xl/sharedStrings.xml><?xml version="1.0" encoding="utf-8"?>
<sst xmlns="http://schemas.openxmlformats.org/spreadsheetml/2006/main" count="28258" uniqueCount="2322">
  <si>
    <t>F10</t>
  </si>
  <si>
    <t>Carboval</t>
  </si>
  <si>
    <t>F20</t>
  </si>
  <si>
    <t>FPC</t>
  </si>
  <si>
    <t>FGP</t>
  </si>
  <si>
    <t>F30</t>
  </si>
  <si>
    <t>F40</t>
  </si>
  <si>
    <t>F60</t>
  </si>
  <si>
    <t>F61</t>
  </si>
  <si>
    <t>FCB</t>
  </si>
  <si>
    <t>FCC</t>
  </si>
  <si>
    <t>FFB</t>
  </si>
  <si>
    <t>FGT</t>
  </si>
  <si>
    <t>FPH</t>
  </si>
  <si>
    <t>Carreta Prancha</t>
  </si>
  <si>
    <t>FSK</t>
  </si>
  <si>
    <t>FTP</t>
  </si>
  <si>
    <t>F50</t>
  </si>
  <si>
    <t>Escritório Central</t>
  </si>
  <si>
    <t>Plano Origem</t>
  </si>
  <si>
    <t>Superintendência</t>
  </si>
  <si>
    <t>Cod Superint</t>
  </si>
  <si>
    <t>Classe de custo</t>
  </si>
  <si>
    <t>Desc. Classe de custo</t>
  </si>
  <si>
    <t>CC</t>
  </si>
  <si>
    <t>CenCsts.resp.</t>
  </si>
  <si>
    <t>MC</t>
  </si>
  <si>
    <t>Área funcional</t>
  </si>
  <si>
    <t>Centro</t>
  </si>
  <si>
    <t>Grp.planej.manutenç.</t>
  </si>
  <si>
    <t>Tipo de Ordem</t>
  </si>
  <si>
    <t>Ordem</t>
  </si>
  <si>
    <t>Cabeçalho da ordem</t>
  </si>
  <si>
    <t>Local de Instalação</t>
  </si>
  <si>
    <t>Codigo do material</t>
  </si>
  <si>
    <t>Descrição do Material</t>
  </si>
  <si>
    <t>Cod Fornecedor</t>
  </si>
  <si>
    <t>Fornecedor</t>
  </si>
  <si>
    <t>Equipamento</t>
  </si>
  <si>
    <t>Familia</t>
  </si>
  <si>
    <t>Responsável</t>
  </si>
  <si>
    <t>PIAM</t>
  </si>
  <si>
    <t>Miudezas</t>
  </si>
  <si>
    <t>MC04</t>
  </si>
  <si>
    <t>Direct Production Costs</t>
  </si>
  <si>
    <t>PM10</t>
  </si>
  <si>
    <t>#</t>
  </si>
  <si>
    <t>Não atribuído</t>
  </si>
  <si>
    <t>MC10</t>
  </si>
  <si>
    <t>Production Support</t>
  </si>
  <si>
    <t>VF13</t>
  </si>
  <si>
    <t>PM08</t>
  </si>
  <si>
    <t>Mat. manut. e reparo</t>
  </si>
  <si>
    <t>Lubrificantes</t>
  </si>
  <si>
    <t>Colheita</t>
  </si>
  <si>
    <t>FCOL</t>
  </si>
  <si>
    <t>Peças sobressalentes</t>
  </si>
  <si>
    <t>SKIDDER</t>
  </si>
  <si>
    <t>GARRA</t>
  </si>
  <si>
    <t>PM01</t>
  </si>
  <si>
    <t>750-MEC-FTGT-GT18</t>
  </si>
  <si>
    <t>FELLER</t>
  </si>
  <si>
    <t>PM02</t>
  </si>
  <si>
    <t>750-MEC-FTFF-FF15</t>
  </si>
  <si>
    <t>Materiais elétricos</t>
  </si>
  <si>
    <t>Manutenção</t>
  </si>
  <si>
    <t>FMAN</t>
  </si>
  <si>
    <t>Manut.Sist.Mecaniz.</t>
  </si>
  <si>
    <t>MC06</t>
  </si>
  <si>
    <t>Variable Maintenance</t>
  </si>
  <si>
    <t>FCAR</t>
  </si>
  <si>
    <t>Serv. prest. p. jur.</t>
  </si>
  <si>
    <t>VF12</t>
  </si>
  <si>
    <t>Carbonização (FR)</t>
  </si>
  <si>
    <t>F390</t>
  </si>
  <si>
    <t>Carreg. Florestal</t>
  </si>
  <si>
    <t>750-MEC-FTTP-TP25</t>
  </si>
  <si>
    <t>Carvoaria Diamante</t>
  </si>
  <si>
    <t>VF17</t>
  </si>
  <si>
    <t>VF15</t>
  </si>
  <si>
    <t>FILTRO COMB DIESEL DZ114677 JOHN DEERE</t>
  </si>
  <si>
    <t>FILTRO AR PRIMÁRIO SU55720 JOHN DEERE</t>
  </si>
  <si>
    <t>750-MEC-FTPC-C043</t>
  </si>
  <si>
    <t xml:space="preserve"> Apoio Produção</t>
  </si>
  <si>
    <t>FAP</t>
  </si>
  <si>
    <t>750-MEC-FTGT-GT16</t>
  </si>
  <si>
    <t>5065771</t>
  </si>
  <si>
    <t>5065774</t>
  </si>
  <si>
    <t>5065776</t>
  </si>
  <si>
    <t>750-MEC-FTPC-C046</t>
  </si>
  <si>
    <t>FILTRO ÓLEO HIDR T19044 JOHN DEERE</t>
  </si>
  <si>
    <t>4232060000</t>
  </si>
  <si>
    <t>4818020000</t>
  </si>
  <si>
    <t>4222010000</t>
  </si>
  <si>
    <t>4222040000</t>
  </si>
  <si>
    <t>4222030000</t>
  </si>
  <si>
    <t>4222050000</t>
  </si>
  <si>
    <t>750-MEC-FTPC-C047</t>
  </si>
  <si>
    <t>750-MEC-FTPC-C030</t>
  </si>
  <si>
    <t>750-MEC-FTSK-SK14</t>
  </si>
  <si>
    <t>6759017000</t>
  </si>
  <si>
    <t>750-MEC-FTPC-C031</t>
  </si>
  <si>
    <t>1880950</t>
  </si>
  <si>
    <t>ÓLEO DESENGRIPANTE SUPER SOLVO RUST PÇ</t>
  </si>
  <si>
    <t>EQUIP.MANUT.CARB.DIA</t>
  </si>
  <si>
    <t>750-PBA-UCVB-5000-0100</t>
  </si>
  <si>
    <t>4323010000</t>
  </si>
  <si>
    <t>Cons.terc.-Variável</t>
  </si>
  <si>
    <t>2212987</t>
  </si>
  <si>
    <t>FILTRO ÓLEO LUBR REF RE509672 JOHN DEERE</t>
  </si>
  <si>
    <t>2253459</t>
  </si>
  <si>
    <t>ELEMT FILTRO COMB RE525523 JD</t>
  </si>
  <si>
    <t>2253466</t>
  </si>
  <si>
    <t>FILTRO AR REF AH148880 JOHN DEERE</t>
  </si>
  <si>
    <t>2253529</t>
  </si>
  <si>
    <t>FILTRO SEPARADOR ÁGUA/ÓLEO AT365869 JOHN</t>
  </si>
  <si>
    <t>2267136</t>
  </si>
  <si>
    <t>FILTRO ÓLEO LUBR REF DZ101884 J DEERE</t>
  </si>
  <si>
    <t>750-MEC-FTCC-CC09</t>
  </si>
  <si>
    <t>5106958</t>
  </si>
  <si>
    <t>ELEMENTO FIL REF 509-5694 CATERPILLAR</t>
  </si>
  <si>
    <t>750-MEC-FTPC-C044</t>
  </si>
  <si>
    <t>P&amp;D</t>
  </si>
  <si>
    <t>FPD</t>
  </si>
  <si>
    <t>CAPEF Infra Estrutu</t>
  </si>
  <si>
    <t>MC18</t>
  </si>
  <si>
    <t>R&amp;D</t>
  </si>
  <si>
    <t>750-MEC-FTCO-CO11</t>
  </si>
  <si>
    <t>5065773</t>
  </si>
  <si>
    <t>FILTRO ÓLEO HIDR RE45864 JOHN DEERE</t>
  </si>
  <si>
    <t>5065775</t>
  </si>
  <si>
    <t>FILTRO AR REF SU29301 JOHN DEERE</t>
  </si>
  <si>
    <t>5065777</t>
  </si>
  <si>
    <t>FILTRO AR REF RE198488 JOHN DEERE</t>
  </si>
  <si>
    <t>5065778</t>
  </si>
  <si>
    <t>FILTRO AR REF RE195491 JOHN DEERE</t>
  </si>
  <si>
    <t>2253467</t>
  </si>
  <si>
    <t>FILTRO AR REF RE63932 JOHN DEERE</t>
  </si>
  <si>
    <t>750-MEC-FTCO-CO12</t>
  </si>
  <si>
    <t>FC-PBA - Reator Carboval Pba - Cons Mnt</t>
  </si>
  <si>
    <t>750-MEC-FTFF-FF14</t>
  </si>
  <si>
    <t>750-MEC-FTSK-SK16</t>
  </si>
  <si>
    <t>750-MEC-FTPC-C027</t>
  </si>
  <si>
    <t>750-MEC-FTPC-C048</t>
  </si>
  <si>
    <t>4222060000</t>
  </si>
  <si>
    <t>Mat. de Construção</t>
  </si>
  <si>
    <t>2257939</t>
  </si>
  <si>
    <t>PNEU 295/80 R22.5 COMUM LISO</t>
  </si>
  <si>
    <t>PM12</t>
  </si>
  <si>
    <t>750-MEC-FTFF-FF12</t>
  </si>
  <si>
    <t>750-MEC-FTFF-FF16</t>
  </si>
  <si>
    <t>Carvoaria Galheiros</t>
  </si>
  <si>
    <t>VF33</t>
  </si>
  <si>
    <t>750-CVO-VF33-C001-FR19</t>
  </si>
  <si>
    <t>2262330</t>
  </si>
  <si>
    <t>ELEMENTO FIL AR COND 353-5058 CATERPILLA</t>
  </si>
  <si>
    <t>2262331</t>
  </si>
  <si>
    <t>ELEMENTO FIL AR COND 365-7606 CATERPILLA</t>
  </si>
  <si>
    <t>5108897</t>
  </si>
  <si>
    <t>FILTRO AR PRIMARIO 526-3121 CATERPILLAR</t>
  </si>
  <si>
    <t>5108899</t>
  </si>
  <si>
    <t>FILTRO AR SECUND REF 5263125 CATERPILLAR</t>
  </si>
  <si>
    <t>Carvoaria Corredor</t>
  </si>
  <si>
    <t>VF18</t>
  </si>
  <si>
    <t>750-MOC-VF18-C002-FR39</t>
  </si>
  <si>
    <t>750-MEC-FTSK-SK15</t>
  </si>
  <si>
    <t>750-MEC-FTCC-CC06</t>
  </si>
  <si>
    <t>750-MEC-FTCM-CM05</t>
  </si>
  <si>
    <t>GARRA PICADORA</t>
  </si>
  <si>
    <t>750-MEC-FTGT-GT14</t>
  </si>
  <si>
    <t>750-MEC-FTPC-C032</t>
  </si>
  <si>
    <t>750-MOC-VF18-C002</t>
  </si>
  <si>
    <t>GARRA PICADORA DIAM</t>
  </si>
  <si>
    <t>750-MEC-FTGP-GP02</t>
  </si>
  <si>
    <t>5092505</t>
  </si>
  <si>
    <t>PARAF REF 08H4852 JOHN DEERE</t>
  </si>
  <si>
    <t>2275702</t>
  </si>
  <si>
    <t>ELEMENTO FIL AR SEC 2R0127177J RACOR VW</t>
  </si>
  <si>
    <t>2275705</t>
  </si>
  <si>
    <t>FILTRO COALESCENTE 2T2616787 VW</t>
  </si>
  <si>
    <t>5071477</t>
  </si>
  <si>
    <t>ELEMENTO FIL ÓLEO DIESEL  07W115436C VW</t>
  </si>
  <si>
    <t>5083149</t>
  </si>
  <si>
    <t>ELEMENTO FILT AR PRIM JZV129620A VW/MAN</t>
  </si>
  <si>
    <t>5083240</t>
  </si>
  <si>
    <t>ELEMENTO FILT COMB JZV201512 VW/MAN</t>
  </si>
  <si>
    <t>5083244</t>
  </si>
  <si>
    <t>ELEMENTO FILT AR SEC 2S2129620A VW/MAN</t>
  </si>
  <si>
    <t>2269162</t>
  </si>
  <si>
    <t>ÓLEO LUBRIF SINTÉTI  LUBRAX AVANTE 10W40</t>
  </si>
  <si>
    <t>FB12 MNT PREVENTIVA FELLER BUNCHER 903M</t>
  </si>
  <si>
    <t>110426814</t>
  </si>
  <si>
    <t>FB15 MNT REV 08000H FELLER BUNCHER 903M</t>
  </si>
  <si>
    <t>110422780</t>
  </si>
  <si>
    <t>SK15 MNT REV 08250H SKIDDER 948L-II J.D</t>
  </si>
  <si>
    <t>110425853</t>
  </si>
  <si>
    <t>SK16 MNT REV 08250H SKIDDER 948L-II</t>
  </si>
  <si>
    <t>110426815</t>
  </si>
  <si>
    <t>FB16 MNT REV 04250H FELLER BUNCHER 903M</t>
  </si>
  <si>
    <t>GT14 SUBSTITUIR MANGUEIRA</t>
  </si>
  <si>
    <t>110376059</t>
  </si>
  <si>
    <t>GT16 SUBSTITUIR CHICOTE ELETRICO</t>
  </si>
  <si>
    <t>110252189</t>
  </si>
  <si>
    <t>CC09 SUBST CINTAS DE ARRASTE</t>
  </si>
  <si>
    <t>750-MEC-FTPC-C038</t>
  </si>
  <si>
    <t>110402578</t>
  </si>
  <si>
    <t>SET - COR - MATEIAIS SETUP</t>
  </si>
  <si>
    <t>750-CVO-VF15-CAPE-PE01</t>
  </si>
  <si>
    <t>VF23</t>
  </si>
  <si>
    <t>750-MEC-FTGT-GT15</t>
  </si>
  <si>
    <t>750-MEC-FTSK-SK17</t>
  </si>
  <si>
    <t>750-PBA-UCVB-5000-0300</t>
  </si>
  <si>
    <t>750-PBA-UCVB-5000-0300-100-100</t>
  </si>
  <si>
    <t>750-PBA-UCVB-5000-0400</t>
  </si>
  <si>
    <t>750-PBA-UCVB-WD01</t>
  </si>
  <si>
    <t>Manut.Mec.Planta</t>
  </si>
  <si>
    <t>4111070000</t>
  </si>
  <si>
    <t>Outros Gases</t>
  </si>
  <si>
    <t>1632523</t>
  </si>
  <si>
    <t>GÁS MISTURA STARGOLD PLUS CIL T10M³ MIG</t>
  </si>
  <si>
    <t>1177265</t>
  </si>
  <si>
    <t>PARAF CAB SEXT M 10X 30MM 28KG/MM2 TOTAL</t>
  </si>
  <si>
    <t>CBVL-MANUTENÇÃO PREVENTIVA NO SECADOR</t>
  </si>
  <si>
    <t>CBVL-MANUT. PREV. SISTEMA CARREGAMENTO</t>
  </si>
  <si>
    <t>110358851</t>
  </si>
  <si>
    <t>Carv.Camp.Aleg. FR3</t>
  </si>
  <si>
    <t>VF22</t>
  </si>
  <si>
    <t>750-MEC-FTTP-TP32</t>
  </si>
  <si>
    <t>2256699</t>
  </si>
  <si>
    <t>FILTRO ÓLEO LUBR 462-1171 CATERPILLAR</t>
  </si>
  <si>
    <t>110429598</t>
  </si>
  <si>
    <t>CA01 TROCAR PSV VALVULA E MANOMETROS</t>
  </si>
  <si>
    <t>750-UCC-0100-0060-0040-005</t>
  </si>
  <si>
    <t>Caminh.Barreladores</t>
  </si>
  <si>
    <t>750-MEC-FCRB-CR01</t>
  </si>
  <si>
    <t>PC51 - AT. DE MANUTENÇÃO EM EQUIPAMENTOS</t>
  </si>
  <si>
    <t>750-MEC-FTPC-C051</t>
  </si>
  <si>
    <t>750-JPO-VF22-C001-FR39</t>
  </si>
  <si>
    <t>750-MOC-VF18-C001-FR19</t>
  </si>
  <si>
    <t>110360403</t>
  </si>
  <si>
    <t>FC02 REATOR 02 - CONSUM MAT MNT 2025</t>
  </si>
  <si>
    <t>750-UCC-0100-0030-0010</t>
  </si>
  <si>
    <t>Carvoaria Pindaíbas</t>
  </si>
  <si>
    <t>Overhead</t>
  </si>
  <si>
    <t>FSGA</t>
  </si>
  <si>
    <t>MC16</t>
  </si>
  <si>
    <t>Executive Management</t>
  </si>
  <si>
    <t>VF43</t>
  </si>
  <si>
    <t>750-CVO-VF43-ED01-SI01-C11</t>
  </si>
  <si>
    <t>110404813</t>
  </si>
  <si>
    <t>SK13 SUBSTITUIR MANETE</t>
  </si>
  <si>
    <t>750-MEC-FTSK-SK13</t>
  </si>
  <si>
    <t>110262675</t>
  </si>
  <si>
    <t>GT18 SUBST CHICOTE DO ROTATOR</t>
  </si>
  <si>
    <t>110328310</t>
  </si>
  <si>
    <t>CO12 SUBSTITUIÇÃO DE FILTROS</t>
  </si>
  <si>
    <t>750-UCC-0100-0030-0060-010</t>
  </si>
  <si>
    <t>750-MEC-FTPC-C050</t>
  </si>
  <si>
    <t>VF15 - MANUTENÇÃO ELETRICA ITAPOÃ</t>
  </si>
  <si>
    <t>110393993</t>
  </si>
  <si>
    <t>SK15 SUBSTITUIR VEDAÇÕES DA TRANSMISSÃO</t>
  </si>
  <si>
    <t>110400976</t>
  </si>
  <si>
    <t>FB12 SUBSTITUIR RESERVATORIO</t>
  </si>
  <si>
    <t>110438457</t>
  </si>
  <si>
    <t>FB16 SUBSTITUIR ROLETES E TURBINA</t>
  </si>
  <si>
    <t>5083248</t>
  </si>
  <si>
    <t>ELEMENTO FILT AR 2R2819429 VW/MAN</t>
  </si>
  <si>
    <t>110403708</t>
  </si>
  <si>
    <t>SK14 SUBSTITUIR MANGUEIRAS</t>
  </si>
  <si>
    <t>216059</t>
  </si>
  <si>
    <t>MONVEP CAMINHOES E ONIBUS LTDA</t>
  </si>
  <si>
    <t>110443074</t>
  </si>
  <si>
    <t>CO10 SUBSTITUIÇÃO DE LAMPADA</t>
  </si>
  <si>
    <t>750-MEC-FTCO-CO10-0030</t>
  </si>
  <si>
    <t>2275017</t>
  </si>
  <si>
    <t>LÂMPADA HALÓGENA   70W  24V H7 PX26D</t>
  </si>
  <si>
    <t>750-MEC-FTTP-TP35</t>
  </si>
  <si>
    <t>750-MEC-FTTP-TP23</t>
  </si>
  <si>
    <t>406454</t>
  </si>
  <si>
    <t>RECANORTE II RECAPAGEM DE PNEUS LTD</t>
  </si>
  <si>
    <t>3021</t>
  </si>
  <si>
    <t>TOLEDO DO BRASIL INDUSTRIA DE BALAN</t>
  </si>
  <si>
    <t>205121</t>
  </si>
  <si>
    <t>AMORIM &amp; MACEDO LTDA</t>
  </si>
  <si>
    <t>750-MEC-FTTP-TP27</t>
  </si>
  <si>
    <t>750-MEC-FTTP-TP29</t>
  </si>
  <si>
    <t>750-MEC-FTPC-C028</t>
  </si>
  <si>
    <t>750-MEC-FTPC-C033</t>
  </si>
  <si>
    <t>750-MEC-FTPC-C045</t>
  </si>
  <si>
    <t>Carreg. Florestal Ca</t>
  </si>
  <si>
    <t>5105968</t>
  </si>
  <si>
    <t>CAMARA DE AR 17.5- 25</t>
  </si>
  <si>
    <t>Carvoaria Extrema</t>
  </si>
  <si>
    <t>750-MOC-VF23-C001-FR19</t>
  </si>
  <si>
    <t>110429638</t>
  </si>
  <si>
    <t>VF23 -MANUTENÇÃO EQUIPAMENTOS PLANTA</t>
  </si>
  <si>
    <t>750-MOC-VF23-C001-0050-005</t>
  </si>
  <si>
    <t>2274277</t>
  </si>
  <si>
    <t>PROTETOR CAMARA AR 17.5-25 TIPO COLAR</t>
  </si>
  <si>
    <t>110372558</t>
  </si>
  <si>
    <t>TP25 - AT. DE MANUTENÇÃO EM EQUIPAMENTOS</t>
  </si>
  <si>
    <t>110372560</t>
  </si>
  <si>
    <t>TP27 - AT. DE MANUTENÇÃO EM EQUIPAMENTOS</t>
  </si>
  <si>
    <t>110372609</t>
  </si>
  <si>
    <t>TP35 - AT. DE MANUTENÇÃO EM EQUIPAMENTOS</t>
  </si>
  <si>
    <t>110364457</t>
  </si>
  <si>
    <t>PC27 - AT. DE MANUTENÇÃO EM EQUIPAMENTOS</t>
  </si>
  <si>
    <t>110364460</t>
  </si>
  <si>
    <t>PC30 - AT. DE MANUTENÇÃO EM EQUIPAMENTOS</t>
  </si>
  <si>
    <t>110372454</t>
  </si>
  <si>
    <t>PC33 - AT. DE MANUTENÇÃO EM EQUIPAMENTOS</t>
  </si>
  <si>
    <t>110372529</t>
  </si>
  <si>
    <t>PC45 - AT. DE MANUTENÇÃO EM EQUIPAMENTOS</t>
  </si>
  <si>
    <t>110372531</t>
  </si>
  <si>
    <t>PC46 - AT. DE MANUTENÇÃO EM EQUIPAMENTOS</t>
  </si>
  <si>
    <t>110372550</t>
  </si>
  <si>
    <t>4232020000</t>
  </si>
  <si>
    <t>Aços e Metais</t>
  </si>
  <si>
    <t>750-CVO-VF43-I001-I001</t>
  </si>
  <si>
    <t>110448209</t>
  </si>
  <si>
    <t>FB15 SUBSTITUIR JOY STICK</t>
  </si>
  <si>
    <t>110295809</t>
  </si>
  <si>
    <t>CM05 SUBSTITUIR FILTROS</t>
  </si>
  <si>
    <t>110295810</t>
  </si>
  <si>
    <t>CO 11 SUBSTITUIR FILTROS</t>
  </si>
  <si>
    <t>2275768</t>
  </si>
  <si>
    <t>MOTOR PARTIDA 24V REF 3545671 CAT K</t>
  </si>
  <si>
    <t>110449483</t>
  </si>
  <si>
    <t>Adequação nos estacionamentos (Esc. CVO)</t>
  </si>
  <si>
    <t>4111030000</t>
  </si>
  <si>
    <t>Gasolina Comum</t>
  </si>
  <si>
    <t>110384512</t>
  </si>
  <si>
    <t>CBVL SISTEMA DE COMBUSTÃO ALCATRAO</t>
  </si>
  <si>
    <t>750-PBA-UCVB-5000-0800-200</t>
  </si>
  <si>
    <t>5095706</t>
  </si>
  <si>
    <t>MOTOR PARTIDA 12V REF DZ104418 J DEERE</t>
  </si>
  <si>
    <t>2261932</t>
  </si>
  <si>
    <t>BATERIA CHUMBO ÁCIDO 12V 100A/H</t>
  </si>
  <si>
    <t>750-UCC-0100-0060-0035</t>
  </si>
  <si>
    <t>5070855</t>
  </si>
  <si>
    <t>FAROL SCORPION GO 420 1800 IM WIDE FLOOD</t>
  </si>
  <si>
    <t>110412446</t>
  </si>
  <si>
    <t>SK14 CILINDRO DA ARTICULAÇÃO</t>
  </si>
  <si>
    <t>110277252</t>
  </si>
  <si>
    <t>GT14 MNT REV 24250H ESCV.GARRA JD 350G</t>
  </si>
  <si>
    <t>5065766</t>
  </si>
  <si>
    <t>ELEMENTO FILT AR PRIM AT330978 J DEERE</t>
  </si>
  <si>
    <t>110448128</t>
  </si>
  <si>
    <t>CBVL- SERVIÇOS DE SOLDA EM CANABRAVA</t>
  </si>
  <si>
    <t>5106944</t>
  </si>
  <si>
    <t>ELEMENTO FIL REF 322-3155 CATERPILLAR</t>
  </si>
  <si>
    <t>5108796</t>
  </si>
  <si>
    <t>FILTRO AR REF 500-0957 CATERPILLAR</t>
  </si>
  <si>
    <t>5108797</t>
  </si>
  <si>
    <t>FILTRO AR REF 580-5439 CATERPILLAR</t>
  </si>
  <si>
    <t xml:space="preserve"> AGR - GAL - MATERIAIS - OUTUBRO</t>
  </si>
  <si>
    <t>5022616</t>
  </si>
  <si>
    <t>TELA TAPUME 1,2X 50M LARANJA VONDER</t>
  </si>
  <si>
    <t>750-UCC-0100-0030-0050</t>
  </si>
  <si>
    <t>110401759</t>
  </si>
  <si>
    <t>PC27 MNT REV 23500H  PA CARR CAT 924KH</t>
  </si>
  <si>
    <t>4212040000</t>
  </si>
  <si>
    <t>Mat. Interm. p/ prod</t>
  </si>
  <si>
    <t>5067772</t>
  </si>
  <si>
    <t>SILICATO SÓDIO ALCALINO 2,35 C-112 20L</t>
  </si>
  <si>
    <t>110450967</t>
  </si>
  <si>
    <t>WS01 TROCAR CELULA CARGA CARREG SKIP</t>
  </si>
  <si>
    <t>750-UCC-0100-0030-0010-025</t>
  </si>
  <si>
    <t>4313010000</t>
  </si>
  <si>
    <t>Serv.Prest.Terceiros</t>
  </si>
  <si>
    <t>110419491</t>
  </si>
  <si>
    <t>CC06 SUBSTITUIÇÃO DE LÂMPADAS E RELÉS</t>
  </si>
  <si>
    <t>464303</t>
  </si>
  <si>
    <t>CAPOTARIA SAO CRISTOVAO LTDA</t>
  </si>
  <si>
    <t>110459195</t>
  </si>
  <si>
    <t>CR01 SUBSTI CORREIAS</t>
  </si>
  <si>
    <t>110377086</t>
  </si>
  <si>
    <t>PC31 MNT REV 24500H  PÁ CARREG CAT 924KH</t>
  </si>
  <si>
    <t>110379274</t>
  </si>
  <si>
    <t>PC45 MNT REV 07000H PÁ CARREG CAT KW4</t>
  </si>
  <si>
    <t>110409450</t>
  </si>
  <si>
    <t>PC47 MNT REV 07000H PÁ CARREG CAT KW4</t>
  </si>
  <si>
    <t>Valor</t>
  </si>
  <si>
    <t>CODIFICADO</t>
  </si>
  <si>
    <t>PROCESSO</t>
  </si>
  <si>
    <t>110447945</t>
  </si>
  <si>
    <t>FB16 MNT REV 04500H FELLER BUNCHER 903M</t>
  </si>
  <si>
    <t>110449342</t>
  </si>
  <si>
    <t>CBVL- MELHORIAS DE CANABRAVA</t>
  </si>
  <si>
    <t>211362</t>
  </si>
  <si>
    <t>IRMAOS SILVA S/A</t>
  </si>
  <si>
    <t>110462071</t>
  </si>
  <si>
    <t>IF03B -PRESSOSTATO LINHA DA VALVULA TOPO</t>
  </si>
  <si>
    <t>110382733</t>
  </si>
  <si>
    <t>PC51 MNT REV 03000H PÁ CARREG CAT KWK</t>
  </si>
  <si>
    <t>110386337</t>
  </si>
  <si>
    <t>PC50 MNT REV 03000H PÁ CARREG CAT KWK</t>
  </si>
  <si>
    <t>110433602</t>
  </si>
  <si>
    <t>PC48 MNT REV 04000H PÁ CARREG CAT KWK</t>
  </si>
  <si>
    <t>1087665</t>
  </si>
  <si>
    <t>CHAPA   4,76X1500X6000MM SAE 1010</t>
  </si>
  <si>
    <t>750-CVO-VF15-CAPE</t>
  </si>
  <si>
    <t>Silvicultura</t>
  </si>
  <si>
    <t>FSIL</t>
  </si>
  <si>
    <t>Manut.de vias</t>
  </si>
  <si>
    <t>110200491</t>
  </si>
  <si>
    <t>PC22 - MANUTENÇÃO NA ARTICULAÇÃO</t>
  </si>
  <si>
    <t>750-MEC-FTPC-C022</t>
  </si>
  <si>
    <t>5096880</t>
  </si>
  <si>
    <t>PINO CIL REF 113-3791 CATERPILLAR</t>
  </si>
  <si>
    <t>Veículos de Apoio</t>
  </si>
  <si>
    <t>FCP</t>
  </si>
  <si>
    <t>110364448</t>
  </si>
  <si>
    <t>CP26 - AT. DE MANUTENÇÃO PREVENTIVA</t>
  </si>
  <si>
    <t>750-MEC-FTCP-CP26</t>
  </si>
  <si>
    <t>110372642</t>
  </si>
  <si>
    <t>CP20 - AT. DE MANUTENÇÃO EM EQUIPAMENTOS</t>
  </si>
  <si>
    <t>750-MEC-FTCP-CP20</t>
  </si>
  <si>
    <t>110372644</t>
  </si>
  <si>
    <t>CP22 - AT. DE MANUTENÇÃO PREVENTIVA</t>
  </si>
  <si>
    <t>750-MEC-FTCP-CP22</t>
  </si>
  <si>
    <t>110443108</t>
  </si>
  <si>
    <t>PC32 SUBST DE LAMPADAS</t>
  </si>
  <si>
    <t>750-MEC-FTCP-CP23</t>
  </si>
  <si>
    <t>1461192</t>
  </si>
  <si>
    <t>LÂMPADA INCANDESC   21W  24V 1141 1P</t>
  </si>
  <si>
    <t>5082103</t>
  </si>
  <si>
    <t>LÂMPADA PINGÃO   5W  24V BASE W.2.1X9,5D</t>
  </si>
  <si>
    <t>110420720</t>
  </si>
  <si>
    <t>CP27 - MANUTENÇÃO EM CAMINHÃO PIPA</t>
  </si>
  <si>
    <t>750-MEC-FTCP-CP27</t>
  </si>
  <si>
    <t>110243828</t>
  </si>
  <si>
    <t>SK15 SUBST PNEU OTR 35.5/R32 SKIDDER 30L</t>
  </si>
  <si>
    <t>5090391</t>
  </si>
  <si>
    <t>PNEU OTR 35.5/R32 SKIDDER FOREST 30L</t>
  </si>
  <si>
    <t>110304812</t>
  </si>
  <si>
    <t>SK17 - SUBSTITUIR PNEUS</t>
  </si>
  <si>
    <t>110304814</t>
  </si>
  <si>
    <t>SK14 - SUBSTITUIR PNEUS</t>
  </si>
  <si>
    <t>110306340</t>
  </si>
  <si>
    <t>SK 15 SUBSTITUIR ROLAMENTO DO GIRO</t>
  </si>
  <si>
    <t>5109750</t>
  </si>
  <si>
    <t>ROLAMENTO REF AT411345 JOHN DEERE</t>
  </si>
  <si>
    <t>5109760</t>
  </si>
  <si>
    <t>CAPA ROLAM REF T307926 JOHN DEERE</t>
  </si>
  <si>
    <t>110320401</t>
  </si>
  <si>
    <t>SK14 - SUBSTITUIR PARAFUSOS DO EIXO</t>
  </si>
  <si>
    <t>5092540</t>
  </si>
  <si>
    <t>ARRUELA LISA REF 24M7657 JOHN DEERE</t>
  </si>
  <si>
    <t>110342969</t>
  </si>
  <si>
    <t>SK14 - SUBSTITUIR PINO CILINDRO PINÇA</t>
  </si>
  <si>
    <t>5109662</t>
  </si>
  <si>
    <t>PINO REF AT410273 JOHN DEERE</t>
  </si>
  <si>
    <t>110403707</t>
  </si>
  <si>
    <t>SK15 SUBSTITUIR PNEUS</t>
  </si>
  <si>
    <t>2274665</t>
  </si>
  <si>
    <t>MANGUEIRA ÁGUA QUENTE T379723 JOHN DEERE</t>
  </si>
  <si>
    <t>5050006</t>
  </si>
  <si>
    <t>MANETE REF AT409977 JOHN DEERE</t>
  </si>
  <si>
    <t>110420570</t>
  </si>
  <si>
    <t>SK 15 SUBSTITUIR CILINDRO HIDRAULICO</t>
  </si>
  <si>
    <t>5094805</t>
  </si>
  <si>
    <t>CILIN HIDR REF AHC18121 JOHN DEERE</t>
  </si>
  <si>
    <t>110458177</t>
  </si>
  <si>
    <t>SK15 SUBSTITUIR SENSORES E BOMBAS</t>
  </si>
  <si>
    <t>750-MEC-FTSK-SK15-0060</t>
  </si>
  <si>
    <t>2253689</t>
  </si>
  <si>
    <t>SENSOR REF RE525016 JOHN DEERE</t>
  </si>
  <si>
    <t>5110245</t>
  </si>
  <si>
    <t>VÁLV RECIRCULACAO GÁS REF DZ123152 J.DEE</t>
  </si>
  <si>
    <t>110281120</t>
  </si>
  <si>
    <t>GT15 SUBST BOMBAS HIDRAULICAS</t>
  </si>
  <si>
    <t>5116343</t>
  </si>
  <si>
    <t>BOMBA HIDR REF 9260885 JOHN DEERE</t>
  </si>
  <si>
    <t>110431061</t>
  </si>
  <si>
    <t>GT19 SUBSTITUIÇÃO DE FILTRO</t>
  </si>
  <si>
    <t>750-MEC-FTGT-GT19</t>
  </si>
  <si>
    <t>5101979</t>
  </si>
  <si>
    <t>ELEMENTO FIL REF 523-4987 CATERPILLAR</t>
  </si>
  <si>
    <t>110423778</t>
  </si>
  <si>
    <t>5045512</t>
  </si>
  <si>
    <t>KIT REPARO CIL HIDR AHC16683 JOHN DEERE</t>
  </si>
  <si>
    <t>110214112</t>
  </si>
  <si>
    <t>FB15 SUBST PEÇAS CABEÇOTE</t>
  </si>
  <si>
    <t>5070075</t>
  </si>
  <si>
    <t>VÁLVULA ALÍVIO REF AT390169 JOHN DEERE</t>
  </si>
  <si>
    <t>110383201</t>
  </si>
  <si>
    <t>FB13 SERVIÇO EMBUCHAMENTO</t>
  </si>
  <si>
    <t>750-MEC-FTFF-FF13</t>
  </si>
  <si>
    <t>5050231</t>
  </si>
  <si>
    <t>JUNTA BORRACHA REF R119384 JOHN DEERE</t>
  </si>
  <si>
    <t>5050278</t>
  </si>
  <si>
    <t>JUNTA MOTOR REF R524822 JOHN DEERE</t>
  </si>
  <si>
    <t>5050284</t>
  </si>
  <si>
    <t>JUNTA MOTOR REF R96934 JOHN DEERE</t>
  </si>
  <si>
    <t>5050326</t>
  </si>
  <si>
    <t>ANEL REF T12275 JOHN DEERE</t>
  </si>
  <si>
    <t>5050441</t>
  </si>
  <si>
    <t>ESCAPAMENTO SILEN REF T266345 JOHN DEERE</t>
  </si>
  <si>
    <t>5052308</t>
  </si>
  <si>
    <t>ARRUELA REF 24M7294 JOHN DEERE</t>
  </si>
  <si>
    <t>5052409</t>
  </si>
  <si>
    <t>ARRUELA REF R73290 JOHN DEERE</t>
  </si>
  <si>
    <t>5091909</t>
  </si>
  <si>
    <t>ROLETE REF AT523835 JOHN DEERE</t>
  </si>
  <si>
    <t>5092101</t>
  </si>
  <si>
    <t>ROLETE REF AT523833 JOHN DEERE</t>
  </si>
  <si>
    <t>110392615</t>
  </si>
  <si>
    <t>FB14 SUBSTITUIR MANGUEIRA</t>
  </si>
  <si>
    <t>5050437</t>
  </si>
  <si>
    <t>MANGOTE ENTRADA TURBINA REF T251247 JD</t>
  </si>
  <si>
    <t>110395015</t>
  </si>
  <si>
    <t>FB14 SUBSTITUIR MOTOR DO VENTILADOR</t>
  </si>
  <si>
    <t>2253670</t>
  </si>
  <si>
    <t>MOTOR REF AT365431 JOHN DEERE</t>
  </si>
  <si>
    <t>2253661</t>
  </si>
  <si>
    <t>RETENTOR REF F432895 JOHN DEERE</t>
  </si>
  <si>
    <t>110412441</t>
  </si>
  <si>
    <t>FB15 SUBSTITUIR TUBO DE SUCÇÃO</t>
  </si>
  <si>
    <t>110412442</t>
  </si>
  <si>
    <t>110415413</t>
  </si>
  <si>
    <t>FB 13 SUBSTITUIÇÃO DE AMORTECEDOR TORÇÃO</t>
  </si>
  <si>
    <t>5051900</t>
  </si>
  <si>
    <t>AMORTECEDOR TORÇÃO REF ATAT535235 JD</t>
  </si>
  <si>
    <t>110423874</t>
  </si>
  <si>
    <t>FB15 SUBSTITUIÇÃO DE BUCHA</t>
  </si>
  <si>
    <t>750-MEC-FTFF-FF15-0080</t>
  </si>
  <si>
    <t>5108827</t>
  </si>
  <si>
    <t>BUCHA REF T388201 JOHN DEERE</t>
  </si>
  <si>
    <t>5111806</t>
  </si>
  <si>
    <t>BUCHA REF T390168 JOHN DEEERE</t>
  </si>
  <si>
    <t>2275682</t>
  </si>
  <si>
    <t>ALTERNADOR 100A 24V RE558676 JOHN DEERE</t>
  </si>
  <si>
    <t>1900919</t>
  </si>
  <si>
    <t>PRODUTO LIMP CONTATO ELETRÔNICO SPRAY</t>
  </si>
  <si>
    <t>110394713</t>
  </si>
  <si>
    <t>GT16 MNT REV 12000H ESCV.KOMATSU PC350LC</t>
  </si>
  <si>
    <t>110404611</t>
  </si>
  <si>
    <t>FB15 MNT REV 07750H FELLER BUNCHER 903M</t>
  </si>
  <si>
    <t>110430829</t>
  </si>
  <si>
    <t>110452257</t>
  </si>
  <si>
    <t>FB12 SUBSTITUIR FARÓIS</t>
  </si>
  <si>
    <t>4232040000</t>
  </si>
  <si>
    <t>Mat. para soldagem</t>
  </si>
  <si>
    <t>110448332</t>
  </si>
  <si>
    <t>CBVL - GP014</t>
  </si>
  <si>
    <t>750-MEC-FTGP-GP01</t>
  </si>
  <si>
    <t>1005243</t>
  </si>
  <si>
    <t>ARAME SOLDA  0,90MM COBREADO MIG-MAG</t>
  </si>
  <si>
    <t>110316468</t>
  </si>
  <si>
    <t>GT18 MANUTENÇÃO, SOLDA EXTRUTURA EQUIP</t>
  </si>
  <si>
    <t>1040618</t>
  </si>
  <si>
    <t>ELETRODO SOLDA E7018 3,25MM - LT 18KG</t>
  </si>
  <si>
    <t>110392448</t>
  </si>
  <si>
    <t>FB16 SUBSTITUIÇÃO DE CONEXÕES E MOLAS</t>
  </si>
  <si>
    <t>110425920</t>
  </si>
  <si>
    <t>CM05 SUBSTITUIÇÃO DE PNEUS</t>
  </si>
  <si>
    <t>2257940</t>
  </si>
  <si>
    <t>PNEU 295/80 R22.5 BORRACHUDO TRAÇÃO</t>
  </si>
  <si>
    <t>110448066</t>
  </si>
  <si>
    <t>CM04 SUBSTITUIR PNEUS</t>
  </si>
  <si>
    <t>750-MEC-FTCM-CM04</t>
  </si>
  <si>
    <t>2267124</t>
  </si>
  <si>
    <t>ELEMENTO FIL AR PRI AT308575 JOHN DEERE</t>
  </si>
  <si>
    <t>110444247</t>
  </si>
  <si>
    <t>SK15 MNT REV 08500H SKIDDER 948L-II J.D</t>
  </si>
  <si>
    <t>2267135</t>
  </si>
  <si>
    <t>ELEMENTO FIL AR SEC TT220747 JOHN DEERE</t>
  </si>
  <si>
    <t>110446333</t>
  </si>
  <si>
    <t>SK16 MNT REV 08500H SKIDDER 948L-II</t>
  </si>
  <si>
    <t>110451814</t>
  </si>
  <si>
    <t>SK17 MNT PREVENT SKIDDER 948L-II J.DEERE</t>
  </si>
  <si>
    <t>110438674</t>
  </si>
  <si>
    <t>SK17 SUBST TENSOR E CORREIA</t>
  </si>
  <si>
    <t>2225286</t>
  </si>
  <si>
    <t>RODA REF AT211041 JOHN DEERE</t>
  </si>
  <si>
    <t>2225288</t>
  </si>
  <si>
    <t>POLIA REF RE505264 JOHN DEERE</t>
  </si>
  <si>
    <t>2273137</t>
  </si>
  <si>
    <t>CORREIA TRANS REF R500090 JOHN DEERE1A00</t>
  </si>
  <si>
    <t>110441708</t>
  </si>
  <si>
    <t>SK14 SUBSTITUIR FILTRO DIESEL</t>
  </si>
  <si>
    <t>5111803</t>
  </si>
  <si>
    <t>JUNTA VEDAÇÃO REF R519398 JOHN DEERE</t>
  </si>
  <si>
    <t>110430853</t>
  </si>
  <si>
    <t>2253603</t>
  </si>
  <si>
    <t>ABRAÇAD REF RE52702 JOHN DEERE</t>
  </si>
  <si>
    <t>5065791</t>
  </si>
  <si>
    <t>ELEM FILTRO PRINC COMB 600-319-3750 KOMA</t>
  </si>
  <si>
    <t>5095381</t>
  </si>
  <si>
    <t>ELEM FILT ÓLEO 6742-01-4540 KOMATSU</t>
  </si>
  <si>
    <t>5095383</t>
  </si>
  <si>
    <t>ELEM FILT HIDRAU 207-60-71183E KOMATSU</t>
  </si>
  <si>
    <t>5095384</t>
  </si>
  <si>
    <t>ELEM FILT AR 600-185-6100E KOMT (INT/EXT</t>
  </si>
  <si>
    <t>5095385</t>
  </si>
  <si>
    <t>FILTRO AR TAMPA 17M-911-3530E KOMATSU</t>
  </si>
  <si>
    <t>5095386</t>
  </si>
  <si>
    <t>FILTRO AR COND REF 208-979-7620 KOMATSU</t>
  </si>
  <si>
    <t>5095388</t>
  </si>
  <si>
    <t>JUNTA VEDAÇÃO REF 6745-11-8810E KOMATSU</t>
  </si>
  <si>
    <t>5098943</t>
  </si>
  <si>
    <t>FILTRO ÓLEO REF 207-970-5121 KOMATSU</t>
  </si>
  <si>
    <t>5098945</t>
  </si>
  <si>
    <t>CORREIA TRANSM POLY V REF 6743-62-3720</t>
  </si>
  <si>
    <t>5098946</t>
  </si>
  <si>
    <t>CORREIA TRANSM POLY V REF 6743-62-3710</t>
  </si>
  <si>
    <t>5098947</t>
  </si>
  <si>
    <t>TENSOR CORREIA REF 6754-61-4111 KOMATSU</t>
  </si>
  <si>
    <t>5098948</t>
  </si>
  <si>
    <t>FILTRO ÓLEO REF 207-60-71182 KOMATSU</t>
  </si>
  <si>
    <t>5098949</t>
  </si>
  <si>
    <t>ELEMENTO FIL REF 22B-60-11160 KOMATSU</t>
  </si>
  <si>
    <t>5098970</t>
  </si>
  <si>
    <t>FILTRO ÓLEO REF 20Y-62-51691 KOMATSU</t>
  </si>
  <si>
    <t>110415208</t>
  </si>
  <si>
    <t>GT16 MNT REV 12250H ESCV.KOMATSU PC350LC</t>
  </si>
  <si>
    <t>5065790</t>
  </si>
  <si>
    <t>PRÉ FILTRO COMBUSTÍVEL 600-319-3610</t>
  </si>
  <si>
    <t>110237338</t>
  </si>
  <si>
    <t>GT18 SUBST COOREIA DO MOTOR</t>
  </si>
  <si>
    <t>5116714</t>
  </si>
  <si>
    <t>CORREIA TRANSM MICRO V REF 298-5872 CAT</t>
  </si>
  <si>
    <t>110325017</t>
  </si>
  <si>
    <t>GT 18 SUBSTITUIR CONECTORES</t>
  </si>
  <si>
    <t>5116715</t>
  </si>
  <si>
    <t>FILTRO RETORNO REF GTMP-2037 SOTREQ</t>
  </si>
  <si>
    <t>110402523</t>
  </si>
  <si>
    <t>GT19 SUBST DE BARRA TECNIL</t>
  </si>
  <si>
    <t>2275945</t>
  </si>
  <si>
    <t>BARRA RED  50,00X3000MM NYLON 6.6/6</t>
  </si>
  <si>
    <t>110430979</t>
  </si>
  <si>
    <t>GT16 SUBSTITUIÇÃO DE FILTRO</t>
  </si>
  <si>
    <t>110442947</t>
  </si>
  <si>
    <t>GT16 SUBSTITUIÇÃO BARRA TECNIL</t>
  </si>
  <si>
    <t>110457879</t>
  </si>
  <si>
    <t>GT18 SUBSTITUIR BARRA TRECNIL</t>
  </si>
  <si>
    <t>750-MEC-FTGT-GT18-0005</t>
  </si>
  <si>
    <t>5094853</t>
  </si>
  <si>
    <t>KIT REPARO CIL REF 13478 POTENZA</t>
  </si>
  <si>
    <t>110457941</t>
  </si>
  <si>
    <t>GT16 SUBSTITUIR FILTRO DIESEL</t>
  </si>
  <si>
    <t>750-MEC-FTGT-GT16-SI01</t>
  </si>
  <si>
    <t>2225270</t>
  </si>
  <si>
    <t>KIT REPARO CIL HIDR AHC19978 JOHN DEERE</t>
  </si>
  <si>
    <t>2253461</t>
  </si>
  <si>
    <t>FILTRO ÓLEO HIDR F061786 JOHN DEERE</t>
  </si>
  <si>
    <t>2253468</t>
  </si>
  <si>
    <t>FILTRO AR REF AT307501 JOHN DEERE</t>
  </si>
  <si>
    <t>5099164</t>
  </si>
  <si>
    <t>MOLA HELIC REF T354853 JOHN DEERE</t>
  </si>
  <si>
    <t>5099165</t>
  </si>
  <si>
    <t>RESPIRO REF T231314 JOHN DEERE</t>
  </si>
  <si>
    <t>2225239</t>
  </si>
  <si>
    <t>TENSOR CORREIA REF RE518097 JOHN DEERE</t>
  </si>
  <si>
    <t>2267445</t>
  </si>
  <si>
    <t>JUNTA REF R527884 JOHN DEERE</t>
  </si>
  <si>
    <t>2273647</t>
  </si>
  <si>
    <t>CORREIA TRANSM MOTOR T364610 JOHN DEERE</t>
  </si>
  <si>
    <t>110447944</t>
  </si>
  <si>
    <t>FB15 MNT REV 08250H FELLER BUNCHER 903M</t>
  </si>
  <si>
    <t>5110248</t>
  </si>
  <si>
    <t>JUNTA REF R502011 JOHN DEERE</t>
  </si>
  <si>
    <t>110402230</t>
  </si>
  <si>
    <t>FB14 SUBSTITUIR FILTRO DO OLEO DO MOTOR</t>
  </si>
  <si>
    <t>5113092</t>
  </si>
  <si>
    <t>FILTRO ÓLEO LUBR REF RE530656 JOHN DEERE</t>
  </si>
  <si>
    <t>110432141</t>
  </si>
  <si>
    <t>FB12 SUBSTITUIR ROLAMENTO</t>
  </si>
  <si>
    <t>2182813</t>
  </si>
  <si>
    <t>ROLAM RÍG ESF RAD 1C 6203 2RS1</t>
  </si>
  <si>
    <t>2225226</t>
  </si>
  <si>
    <t>ROLETE REF AT108629 SUPERIOR BERCO FELLE</t>
  </si>
  <si>
    <t>110460913</t>
  </si>
  <si>
    <t>FB15 SUBSTITUIR ROLAMENTOS</t>
  </si>
  <si>
    <t>750-MEC-FTFF-FF15-0030</t>
  </si>
  <si>
    <t>109087397</t>
  </si>
  <si>
    <t>SK14 MNT REV 21500H SKIDDER 948L JDEERE</t>
  </si>
  <si>
    <t>2272998</t>
  </si>
  <si>
    <t>ÓLEO HIDR TRANSM HY GARD JOHN DEERE BALD</t>
  </si>
  <si>
    <t>5115225</t>
  </si>
  <si>
    <t>ÓLEO HIDR REF JD PLUS 50-II 15W40</t>
  </si>
  <si>
    <t>4232030000</t>
  </si>
  <si>
    <t>Abrasivos</t>
  </si>
  <si>
    <t>2212400</t>
  </si>
  <si>
    <t>DISCO DESBASTE 178,0/ 22,2X 6,4MM A 24</t>
  </si>
  <si>
    <t>5118592</t>
  </si>
  <si>
    <t>LÂMPADA HALOGÊNIO H1 70W</t>
  </si>
  <si>
    <t>110291135</t>
  </si>
  <si>
    <t>CC07 SUBSTITUIR PNEU</t>
  </si>
  <si>
    <t>750-MEC-FTCC-CC07</t>
  </si>
  <si>
    <t>5097019</t>
  </si>
  <si>
    <t>PNEU 275/80 R22.5 BORRACHUDO TRAÇÃO</t>
  </si>
  <si>
    <t>110291136</t>
  </si>
  <si>
    <t>CC08 SUBSTITUIR PNEUS</t>
  </si>
  <si>
    <t>750-MEC-FTCC-CC08</t>
  </si>
  <si>
    <t>110291137</t>
  </si>
  <si>
    <t>CC06 SUBSTITUIR PNEUS</t>
  </si>
  <si>
    <t>110291138</t>
  </si>
  <si>
    <t>CO10 SUBSTITUIR PNEU</t>
  </si>
  <si>
    <t>750-MEC-FTCO-CO10</t>
  </si>
  <si>
    <t>110291139</t>
  </si>
  <si>
    <t>CC09 SUBSTITUIR PNEU</t>
  </si>
  <si>
    <t>110143791</t>
  </si>
  <si>
    <t>CBVL - PREV. BOMBAS NETZSCH NM21 E NM31</t>
  </si>
  <si>
    <t>5084729</t>
  </si>
  <si>
    <t xml:space="preserve"> ANEL VEDA REF 880478 NETZSCH</t>
  </si>
  <si>
    <t>5105284</t>
  </si>
  <si>
    <t>ANEL CENTRÍFUGO REF NMP5066415 NETZSCH</t>
  </si>
  <si>
    <t>5105287</t>
  </si>
  <si>
    <t>EIXO REF NMP 5066794 NETZSCH</t>
  </si>
  <si>
    <t>4121020000</t>
  </si>
  <si>
    <t>Oxigênio</t>
  </si>
  <si>
    <t>110384620</t>
  </si>
  <si>
    <t>CBVL - MANUTENÇÃO PREVENTIVA NO GGQ</t>
  </si>
  <si>
    <t>750-PBA-UCVB-5000-0800</t>
  </si>
  <si>
    <t>1459058</t>
  </si>
  <si>
    <t>GÁS OXIGÊNIO CIL T 10M3 20KG/CM3</t>
  </si>
  <si>
    <t>110429296</t>
  </si>
  <si>
    <t>GGQ GÁS GLP CILINDRO C/ 45KG</t>
  </si>
  <si>
    <t>750-PBA-UCVB-5000-0900-100-100</t>
  </si>
  <si>
    <t>1043390</t>
  </si>
  <si>
    <t>GÁS GLP CILINDRO C/ 45KG</t>
  </si>
  <si>
    <t>110444321</t>
  </si>
  <si>
    <t>PC32 - CAMARA DE AR 17.5- 25</t>
  </si>
  <si>
    <t>750-MEC-FTPC-C032-0030-005</t>
  </si>
  <si>
    <t>5100058</t>
  </si>
  <si>
    <t>LÍQUIDO PENETRANTE PCG 53 CARBOG - AEROS</t>
  </si>
  <si>
    <t>5100070</t>
  </si>
  <si>
    <t>LÍQUIDO REVELADOR DCG S2 CARBOG - AEROS</t>
  </si>
  <si>
    <t>110448291</t>
  </si>
  <si>
    <t>CBVL - MANUTENÇÃO PREV. NOS INTR. FORNO</t>
  </si>
  <si>
    <t>2266854</t>
  </si>
  <si>
    <t>MANG   6 MM PU-6 AZUL TECNOSUL</t>
  </si>
  <si>
    <t>110452278</t>
  </si>
  <si>
    <t>TP32 TESTE ELETRICO</t>
  </si>
  <si>
    <t>1463900</t>
  </si>
  <si>
    <t>RELÉ TEMPO  0    A  60S 24VCC AEG COEL</t>
  </si>
  <si>
    <t>110385517</t>
  </si>
  <si>
    <t>CBVL-RECUPERADOR DE CALOR</t>
  </si>
  <si>
    <t>750-PBA-UCVB-5000-0300-100</t>
  </si>
  <si>
    <t>2188588</t>
  </si>
  <si>
    <t>CONTATOR AUX 2NA+2N 24 VCC 3RH21221BB40</t>
  </si>
  <si>
    <t>110448135</t>
  </si>
  <si>
    <t>GGE02 - Manutenção Grupo Gerador Carb Pb</t>
  </si>
  <si>
    <t>750-PBA-UCVB-7000-0100</t>
  </si>
  <si>
    <t>2185089</t>
  </si>
  <si>
    <t>CONTATOR POTÊNC 3RT2026 + 3RH2911</t>
  </si>
  <si>
    <t>108954961</t>
  </si>
  <si>
    <t>CBVL - CADASTRAR INSUMO DE PLASMA</t>
  </si>
  <si>
    <t>750-PBA-UCVB-5000</t>
  </si>
  <si>
    <t>5095517</t>
  </si>
  <si>
    <t>BOCAL ESAB 9-8218 SL60/SL100</t>
  </si>
  <si>
    <t>110385515</t>
  </si>
  <si>
    <t>2268240</t>
  </si>
  <si>
    <t>ELETRODO SOLDA  2,50MM ASMESFA54 E308L17</t>
  </si>
  <si>
    <t>5092747</t>
  </si>
  <si>
    <t>ELETRODO CORTE PLASMA SL60/100 CUTMASTER</t>
  </si>
  <si>
    <t>5094896</t>
  </si>
  <si>
    <t>BICO CORTE PLASMA 60A 98210 ESAB</t>
  </si>
  <si>
    <t>5095902</t>
  </si>
  <si>
    <t>DIFUSOR CORTE PLASMA REF 730805 ESAB</t>
  </si>
  <si>
    <t>110448131</t>
  </si>
  <si>
    <t>CBVL-MANU. PREV. SISTEMA PENEIRAM TORET</t>
  </si>
  <si>
    <t>2242770</t>
  </si>
  <si>
    <t>ELETRODO SOLDA  3,25MM AWSE7018 ASME SEC</t>
  </si>
  <si>
    <t>108630050</t>
  </si>
  <si>
    <t>AQUISIÇÃO DE CORREIAS - FORNO CARBOVAL</t>
  </si>
  <si>
    <t>2224001</t>
  </si>
  <si>
    <t>CORREIA TRANSM V B-1440 ABNT (B-55)</t>
  </si>
  <si>
    <t>109522044</t>
  </si>
  <si>
    <t>CBVL - APOIO A PRODUÇÃO</t>
  </si>
  <si>
    <t>5097102</t>
  </si>
  <si>
    <t>PARAF CAB SEXT  7/8"-9  X 3" 8.8 AÇO</t>
  </si>
  <si>
    <t>109822935</t>
  </si>
  <si>
    <t>CBVL VE04 SUBST DE PORCAS E PARAFUSOS</t>
  </si>
  <si>
    <t>109835080</t>
  </si>
  <si>
    <t>CBVL SUBST DE PORCAS</t>
  </si>
  <si>
    <t>750-PBA-UCVB-9000-0105</t>
  </si>
  <si>
    <t>1185640</t>
  </si>
  <si>
    <t>PORCA SEXT   M16 DIN 934-8</t>
  </si>
  <si>
    <t>109913095</t>
  </si>
  <si>
    <t>CBVL - MANUT. PREV. SISTEMA PNEUMÁTICO</t>
  </si>
  <si>
    <t>750-PBA-UCVB-5000-1100</t>
  </si>
  <si>
    <t>2216256</t>
  </si>
  <si>
    <t>FILTRO REF 0821303054 BOSCH REXROTH</t>
  </si>
  <si>
    <t>110181733</t>
  </si>
  <si>
    <t>CBVL - MANUTENÇÃO NO RECUPERADOR</t>
  </si>
  <si>
    <t>750-PBA-UCVB-5000-0300-200-115</t>
  </si>
  <si>
    <t>5107021</t>
  </si>
  <si>
    <t>ARRUELA LISA  24/ 13X 2,3MM AÇO CARBON</t>
  </si>
  <si>
    <t>110183186</t>
  </si>
  <si>
    <t>1107283</t>
  </si>
  <si>
    <t>ROLAM ROLO CÔN     1C 32209</t>
  </si>
  <si>
    <t>110384460</t>
  </si>
  <si>
    <t>5087007</t>
  </si>
  <si>
    <t>ARRUELA LISA 5/8" DIN 991</t>
  </si>
  <si>
    <t>1179578</t>
  </si>
  <si>
    <t>PARAF CAB SEXT  5/8"-11 UNC-2AX 3"</t>
  </si>
  <si>
    <t>1185551</t>
  </si>
  <si>
    <t>PORCA SEXT   M10 DIN 934-8</t>
  </si>
  <si>
    <t>1185594</t>
  </si>
  <si>
    <t>PORCA SEXT   M12 DIN 934-8</t>
  </si>
  <si>
    <t>1186167</t>
  </si>
  <si>
    <t>PORCA SEXT  5/8"-11 ANSI B18.2.2 ASTM A</t>
  </si>
  <si>
    <t>110385519</t>
  </si>
  <si>
    <t>CBVL-RESFRIAMENTO</t>
  </si>
  <si>
    <t>750-PBA-UCVB-5000-1300</t>
  </si>
  <si>
    <t>1177346</t>
  </si>
  <si>
    <t>PARAF CAB SEXT M 10X 50MM  8.8 FOSCO</t>
  </si>
  <si>
    <t>2221414</t>
  </si>
  <si>
    <t>SILICONE NEUTRO 5920 LOCTITE 315ºC 300GR</t>
  </si>
  <si>
    <t>110385653</t>
  </si>
  <si>
    <t>CBVL-MANUTENÇÃO NA SONDA DE CARGA</t>
  </si>
  <si>
    <t>5102275</t>
  </si>
  <si>
    <t>RETENTOR AS 40/60X8MM ANEL RECOB VITON</t>
  </si>
  <si>
    <t>110386583</t>
  </si>
  <si>
    <t>CBVL-VE3B</t>
  </si>
  <si>
    <t>750-PBA-UCVB-5000-0800-300-120</t>
  </si>
  <si>
    <t>1153803</t>
  </si>
  <si>
    <t>CORREIA TRANSM V B-1390 ABNT (B-53)</t>
  </si>
  <si>
    <t>110391152</t>
  </si>
  <si>
    <t>CBVL- MANUTENÇÃO PREVENTIVA NO VE04</t>
  </si>
  <si>
    <t>2161061</t>
  </si>
  <si>
    <t>CAIXA ROLAM BIP C/ BASE SNHL 517 TA</t>
  </si>
  <si>
    <t>110430940</t>
  </si>
  <si>
    <t>GGQ CBVL - MANUTENÇÃO PREVENTIVA NO GGQ</t>
  </si>
  <si>
    <t>2197266</t>
  </si>
  <si>
    <t>UNIDADE PREPAR AR FRC G 1/4" D FESTO</t>
  </si>
  <si>
    <t>110440394</t>
  </si>
  <si>
    <t>CBVL - MANUT. PREVENT. NOS VENTILADOR</t>
  </si>
  <si>
    <t>5068337</t>
  </si>
  <si>
    <t>CORREIA TRANSM V B-1435 ABNT (B-54)</t>
  </si>
  <si>
    <t>110440398</t>
  </si>
  <si>
    <t>CBVL - TCA01 MANUTENÇÃO NO RECUPERADOR</t>
  </si>
  <si>
    <t>1177443</t>
  </si>
  <si>
    <t>PARAF CAB SEXT M 12X 30MM  8.8 DIN 933</t>
  </si>
  <si>
    <t>4212030000</t>
  </si>
  <si>
    <t>Tintas, solv. , lack</t>
  </si>
  <si>
    <t>110429633</t>
  </si>
  <si>
    <t>VF18 -MANUTENÇÃO EQUIPAMENTOS PLANTA</t>
  </si>
  <si>
    <t>750-MOC-VF18-C002-0050</t>
  </si>
  <si>
    <t>2245428</t>
  </si>
  <si>
    <t>TINTA ESMALTE SINTÉT PRETO ECO ACET 3,6L</t>
  </si>
  <si>
    <t>110429642</t>
  </si>
  <si>
    <t>VF13 -MANUTENÇÃO EQUIPAMENTOS PLANTA</t>
  </si>
  <si>
    <t>750-CVO-VF13-C002-0050-005</t>
  </si>
  <si>
    <t>110440940</t>
  </si>
  <si>
    <t>GP02 MNT REV 045000H ESCV CAT320FL</t>
  </si>
  <si>
    <t>5106971</t>
  </si>
  <si>
    <t>FILTRO AR PRIMÁRIO 479-8989 CATERPILLAR</t>
  </si>
  <si>
    <t>Carreg. Florestal Di</t>
  </si>
  <si>
    <t>110433559</t>
  </si>
  <si>
    <t>PC20 MNT REV 19500H PÁ CARRG CAT924K ENC</t>
  </si>
  <si>
    <t>750-MEC-FTPC-C020</t>
  </si>
  <si>
    <t>2262333</t>
  </si>
  <si>
    <t>TENSOR CORREIA REF 369-1255 CATERPIL</t>
  </si>
  <si>
    <t>110412502</t>
  </si>
  <si>
    <t>TP23 - BOMBA HIDRAULICO</t>
  </si>
  <si>
    <t>750-MEC-FTTP-TP23-0070-015</t>
  </si>
  <si>
    <t>5108071</t>
  </si>
  <si>
    <t>BOMBA HIDR 2 ESTAG GD5 REF RE223233</t>
  </si>
  <si>
    <t>109941045</t>
  </si>
  <si>
    <t>TP31 - TROCA DO PNEU</t>
  </si>
  <si>
    <t>750-MEC-FTTP-TP31</t>
  </si>
  <si>
    <t>2273139</t>
  </si>
  <si>
    <t>PNEU AGRICOLA 18.4-30 12 LONAS R1</t>
  </si>
  <si>
    <t>110276143</t>
  </si>
  <si>
    <t>TP32 - BOMBA INJETORA</t>
  </si>
  <si>
    <t>5101738</t>
  </si>
  <si>
    <t>BOMBA INJETORA DIESEL REF DZ111308 JOHN</t>
  </si>
  <si>
    <t>110316416</t>
  </si>
  <si>
    <t>TP32 - ALTERNADOR</t>
  </si>
  <si>
    <t>750-MEC-FTTP-TP32-0110</t>
  </si>
  <si>
    <t>5095348</t>
  </si>
  <si>
    <t>ALTERNADOR REF SJ33934 JOHN DEERE</t>
  </si>
  <si>
    <t>110322779</t>
  </si>
  <si>
    <t>TP29 - MANUTENÇÃO NO PEDAL</t>
  </si>
  <si>
    <t>5116294</t>
  </si>
  <si>
    <t>PINO REF SU53360 JOHN DEERE</t>
  </si>
  <si>
    <t>5116297</t>
  </si>
  <si>
    <t>TENSOR REF SU53094 JOHN DEERE</t>
  </si>
  <si>
    <t>5116312</t>
  </si>
  <si>
    <t>PORCA REF 14M7541 JOHN DEERE</t>
  </si>
  <si>
    <t>110322780</t>
  </si>
  <si>
    <t>TP30 - MANUTENÇÃO NO PEDAL</t>
  </si>
  <si>
    <t>750-MEC-FTTP-TP30</t>
  </si>
  <si>
    <t>110390926</t>
  </si>
  <si>
    <t>TP27 - PURIFICADOR DE AR</t>
  </si>
  <si>
    <t>750-MEC-FTTP-TP27-0060</t>
  </si>
  <si>
    <t>5096461</t>
  </si>
  <si>
    <t>PURIFICADOR AR REF SJ34959 JOHN DEERE</t>
  </si>
  <si>
    <t>110390927</t>
  </si>
  <si>
    <t>TP35 - PURIFICADOR DE AR</t>
  </si>
  <si>
    <t>750-MEC-FTTP-TP35-0060</t>
  </si>
  <si>
    <t>110431051</t>
  </si>
  <si>
    <t>TP35 - CABO ESTRANGULADOR</t>
  </si>
  <si>
    <t>750-MEC-FTTP-TP35-0060-045</t>
  </si>
  <si>
    <t>5070098</t>
  </si>
  <si>
    <t>CABO REF SJ38680 JOHN DEERE</t>
  </si>
  <si>
    <t>110431053</t>
  </si>
  <si>
    <t>TP27 - CABO ESTRANGULADOR</t>
  </si>
  <si>
    <t>750-MEC-FTTP-TP27-0060-045</t>
  </si>
  <si>
    <t>110431054</t>
  </si>
  <si>
    <t>TP24 - CABO ESTRANGULADOR</t>
  </si>
  <si>
    <t>750-MEC-FTTP-TP24-0060-045</t>
  </si>
  <si>
    <t>110453909</t>
  </si>
  <si>
    <t>TP27- MAN SISTEMA ELETRICO DE PARTIDA</t>
  </si>
  <si>
    <t>110454013</t>
  </si>
  <si>
    <t>TP26- TROCA DE PNEUS</t>
  </si>
  <si>
    <t>750-MEC-FTTP-TP26</t>
  </si>
  <si>
    <t>110401006</t>
  </si>
  <si>
    <t>PC46 - CAMERA DE RÉ</t>
  </si>
  <si>
    <t>750-MEC-FTPC-C046-0010</t>
  </si>
  <si>
    <t>5104895</t>
  </si>
  <si>
    <t>CÂMERA VÍDEO REF 336-6684 CATERPILLAR</t>
  </si>
  <si>
    <t>110410097</t>
  </si>
  <si>
    <t>IC39 - PINO</t>
  </si>
  <si>
    <t>750-MEC-FICB-IC39-0010</t>
  </si>
  <si>
    <t>2253984</t>
  </si>
  <si>
    <t>RÓTULA REF ED0011 J.SOUZA (GE50-GBR 2RS)</t>
  </si>
  <si>
    <t>110429341</t>
  </si>
  <si>
    <t>PC47 - CILINDRO TILT</t>
  </si>
  <si>
    <t>750-MEC-FTPC-C047-0070-020</t>
  </si>
  <si>
    <t>5094800</t>
  </si>
  <si>
    <t>CILIN HIDR REF 495-6008 CATERPILLAR</t>
  </si>
  <si>
    <t>110346210</t>
  </si>
  <si>
    <t>PC46 MNT REV 06000H PÁ CARREG CAT KW4</t>
  </si>
  <si>
    <t>110424955</t>
  </si>
  <si>
    <t>PC32 MNT REV 26000H  PÁ CARREG CAT 924KH</t>
  </si>
  <si>
    <t>110092637</t>
  </si>
  <si>
    <t>PC30 - TROCA DO ALTERNADOR</t>
  </si>
  <si>
    <t>2275005</t>
  </si>
  <si>
    <t>ALTERNADOR 115A 24/28V 3851812 CATERPILL</t>
  </si>
  <si>
    <t>110273810</t>
  </si>
  <si>
    <t>IG39 - MANUTENÇÃO DE REFORMA IMPLEMENTO</t>
  </si>
  <si>
    <t>750-MEC-FICB-IG39</t>
  </si>
  <si>
    <t>110273843</t>
  </si>
  <si>
    <t>IG41 - MANUTENÇÃO DE REFORMA IMPLEMENTO</t>
  </si>
  <si>
    <t>750-MEC-FICB-IG41</t>
  </si>
  <si>
    <t>110273845</t>
  </si>
  <si>
    <t>IG65 - MANUTENÇÃO DE REFORMA IMPLEMENTO</t>
  </si>
  <si>
    <t>750-MEC-FICB-IG65</t>
  </si>
  <si>
    <t>110296069</t>
  </si>
  <si>
    <t>PC35 - GP BOMBA GR B</t>
  </si>
  <si>
    <t>750-MEC-FTPC-C035</t>
  </si>
  <si>
    <t>5098616</t>
  </si>
  <si>
    <t>BOMBA HIDR ENGR FREIO REF 398-7459 CAT</t>
  </si>
  <si>
    <t>110360428</t>
  </si>
  <si>
    <t>PC43 - ILUMINAÇÃO PA CARREGADEIRA</t>
  </si>
  <si>
    <t>750-MEC-FTPC-C043-0090</t>
  </si>
  <si>
    <t>5112112</t>
  </si>
  <si>
    <t>FAROL REF 988-204B WF NORDIC LIGHTS</t>
  </si>
  <si>
    <t>110360429</t>
  </si>
  <si>
    <t>PC44 - ILUMINAÇÃO PA CARREGADEIRA</t>
  </si>
  <si>
    <t>750-MEC-FTPC-C044-0090</t>
  </si>
  <si>
    <t>110367941</t>
  </si>
  <si>
    <t>PC16 - PNEU</t>
  </si>
  <si>
    <t>750-MEC-FTPC-C016-SI02</t>
  </si>
  <si>
    <t>5108692</t>
  </si>
  <si>
    <t>PNEU OTR  17.5R25 16 LONAS L-3 DIAGONAL</t>
  </si>
  <si>
    <t>110372354</t>
  </si>
  <si>
    <t>IC33 - SUBSTITUIÇÃO DA LÂMINA</t>
  </si>
  <si>
    <t>750-MEC-FICB-IC33</t>
  </si>
  <si>
    <t>2274695</t>
  </si>
  <si>
    <t>LÂMINA 25,4X400X3060MM AÇO HARDOX 450</t>
  </si>
  <si>
    <t>110373899</t>
  </si>
  <si>
    <t>IC27 - SUBSTITUIÇÃO DA LÂMINA</t>
  </si>
  <si>
    <t>750-MEC-FICB-IC27</t>
  </si>
  <si>
    <t>110391074</t>
  </si>
  <si>
    <t>IG54 - REDFORMA DO IMPLEMENTO</t>
  </si>
  <si>
    <t>750-MEC-FICB-IG54-0020</t>
  </si>
  <si>
    <t>2253983</t>
  </si>
  <si>
    <t>BUCHA REF JS0022 J DE SOUZA</t>
  </si>
  <si>
    <t>5069992</t>
  </si>
  <si>
    <t>PINO COM MESA JS0013 J DE SOUZA</t>
  </si>
  <si>
    <t>5069994</t>
  </si>
  <si>
    <t>PINO ARTICULAÇÃO E UNHA JS0017 J DE SOUZ</t>
  </si>
  <si>
    <t>5069995</t>
  </si>
  <si>
    <t>PINO ARTICULAÇÃO E UNHA JS0018 J DE SOUZ</t>
  </si>
  <si>
    <t>5069996</t>
  </si>
  <si>
    <t>PINO ARTICULAÇÃO E UNHA JS0020 J DE SOUZ</t>
  </si>
  <si>
    <t>110391075</t>
  </si>
  <si>
    <t>IG47 - REDFORMA DO IMPLEMENTO</t>
  </si>
  <si>
    <t>750-MEC-FICB-IG47-0020</t>
  </si>
  <si>
    <t>110391077</t>
  </si>
  <si>
    <t>IG64 - REDFORMA DO IMPLEMENTO</t>
  </si>
  <si>
    <t>750-MEC-FICB-IG64-0020</t>
  </si>
  <si>
    <t>110391078</t>
  </si>
  <si>
    <t>IG32 - REDFORMA DO IMPLEMENTO</t>
  </si>
  <si>
    <t>750-MEC-FICB-IG32-0020</t>
  </si>
  <si>
    <t>110391079</t>
  </si>
  <si>
    <t>IG51 - REDFORMA DO IMPLEMENTO</t>
  </si>
  <si>
    <t>750-MEC-FICB-IG51-0020</t>
  </si>
  <si>
    <t>110409877</t>
  </si>
  <si>
    <t>PC22 - ARREFECIMENTO</t>
  </si>
  <si>
    <t>750-MEC-FTPC-C022-SI01-C04</t>
  </si>
  <si>
    <t>5107224</t>
  </si>
  <si>
    <t>CONEXÃO REF 277-2925 CATERPILLAR</t>
  </si>
  <si>
    <t>110411241</t>
  </si>
  <si>
    <t>PC27 - MANUTENÇÃO NO AR CONDICIONADO</t>
  </si>
  <si>
    <t>750-MEC-FTPC-C027-0080-005</t>
  </si>
  <si>
    <t>5084715</t>
  </si>
  <si>
    <t>COMPRESSOR AR COND REF CAT924KW/924KII</t>
  </si>
  <si>
    <t>110411242</t>
  </si>
  <si>
    <t>PC45 - MANUTENÇÃO NO AR CONDICIONADO</t>
  </si>
  <si>
    <t>750-MEC-FTPC-C045-0080-005</t>
  </si>
  <si>
    <t>110411244</t>
  </si>
  <si>
    <t>PC46 - MANUTENÇÃO NO AR CONDICIONADO</t>
  </si>
  <si>
    <t>750-MEC-FTPC-C046-0080-005</t>
  </si>
  <si>
    <t>110420633</t>
  </si>
  <si>
    <t>PC30 - MOTOR DE PARTIDA</t>
  </si>
  <si>
    <t>750-MEC-FTPC-C030-0060-005</t>
  </si>
  <si>
    <t>110433463</t>
  </si>
  <si>
    <t>PC16 - MOTOR DO AR CONDICIONADO</t>
  </si>
  <si>
    <t>750-MEC-FTPC-C016-SI06-C01</t>
  </si>
  <si>
    <t>5092790</t>
  </si>
  <si>
    <t>MOTO VENTILADOR REF 3615586 CAT CJ</t>
  </si>
  <si>
    <t>110448165</t>
  </si>
  <si>
    <t>PC35- JOYSTICK 4 FUNC CAT</t>
  </si>
  <si>
    <t>5047625</t>
  </si>
  <si>
    <t>MANETE JOYSTICK 4 FUNC REF 328-5935 CAT</t>
  </si>
  <si>
    <t>110450677</t>
  </si>
  <si>
    <t>TP30 SUBST MOTOR DE PARTIDA</t>
  </si>
  <si>
    <t>110368065</t>
  </si>
  <si>
    <t xml:space="preserve"> AGR - CAM - INSERIDOS - SETEMBRO</t>
  </si>
  <si>
    <t>5060715</t>
  </si>
  <si>
    <t>CHAPA  12,70X 300X240MM SAE 1020 CORTADA</t>
  </si>
  <si>
    <t>5060716</t>
  </si>
  <si>
    <t>CHAPA  12,70X 300X 640MM SAE1020 CORTADA</t>
  </si>
  <si>
    <t>110409674</t>
  </si>
  <si>
    <t xml:space="preserve"> AGR - CAM - INSERIDOS - OUTUBRO</t>
  </si>
  <si>
    <t>110368075</t>
  </si>
  <si>
    <t xml:space="preserve"> AGR - GAL - INSERIDOS - SETEMBRO</t>
  </si>
  <si>
    <t>110409676</t>
  </si>
  <si>
    <t xml:space="preserve"> AGR - GAL - INSERIDOS - OUTUBRO</t>
  </si>
  <si>
    <t>110373884</t>
  </si>
  <si>
    <t xml:space="preserve"> AGR - EXT - INSERIDOS - SETEMBRO</t>
  </si>
  <si>
    <t>110368066</t>
  </si>
  <si>
    <t xml:space="preserve"> AGR - COR - INSERIDOS - SETEMBRO</t>
  </si>
  <si>
    <t>2213562</t>
  </si>
  <si>
    <t>CORRENTE ELOS  16X 48X3600MM GUNNEBO</t>
  </si>
  <si>
    <t>110409675</t>
  </si>
  <si>
    <t xml:space="preserve"> AGR - COR - INSERIDOS - OUTUBRO</t>
  </si>
  <si>
    <t>110460936</t>
  </si>
  <si>
    <t>BB03 Instalação de bomba NM021 llinha in</t>
  </si>
  <si>
    <t>750-UCC-0100-0040-0040-015</t>
  </si>
  <si>
    <t>5105226</t>
  </si>
  <si>
    <t>BOMBA FUSO REF NM-021BY02S12B NETZSCH</t>
  </si>
  <si>
    <t>110414002</t>
  </si>
  <si>
    <t>FR1407- CAM- RETIR/ INSTAL DE 4 ABAS</t>
  </si>
  <si>
    <t>750-JPO-VF22-C001-1407-030</t>
  </si>
  <si>
    <t>110429663</t>
  </si>
  <si>
    <t>VF22 -MANUTENÇÃO EQUIPAMENTOS PLANTA</t>
  </si>
  <si>
    <t>750-JPO-VF22-C001-0050-005</t>
  </si>
  <si>
    <t>110414007</t>
  </si>
  <si>
    <t>FR436- GAL- RETIR/INSTAL DE 4 ABAS</t>
  </si>
  <si>
    <t>750-CVO-VF33-C001-0436-030</t>
  </si>
  <si>
    <t>110400877</t>
  </si>
  <si>
    <t>ETM01-Ajustar shut conforme concha da PC</t>
  </si>
  <si>
    <t>750-UCC-0100-0020-0005</t>
  </si>
  <si>
    <t>110429646</t>
  </si>
  <si>
    <t>VF33 -MANUTENÇÃO EQUIPAMENTOS PLANTA</t>
  </si>
  <si>
    <t>750-CVO-VF33-C001-EP39</t>
  </si>
  <si>
    <t>110444338</t>
  </si>
  <si>
    <t>PC28 - CAMARA DE AR 17.5- 25</t>
  </si>
  <si>
    <t>750-MEC-FTPC-C028-0030-005</t>
  </si>
  <si>
    <t>110414211</t>
  </si>
  <si>
    <t>110307842</t>
  </si>
  <si>
    <t>PC41 - AT. DE MANUTENÇÃO EM EQUIPAMENTOS</t>
  </si>
  <si>
    <t>750-MEC-FTPC-C041</t>
  </si>
  <si>
    <t>110307845</t>
  </si>
  <si>
    <t>PC42 - AT. DE MANUTENÇÃO EM EQUIPAMENTOS</t>
  </si>
  <si>
    <t>750-MEC-FTPC-C042</t>
  </si>
  <si>
    <t>5051035</t>
  </si>
  <si>
    <t>ARAME SOLDA  1,00MM AWS A5.18 TIPO ER70S</t>
  </si>
  <si>
    <t>1040626</t>
  </si>
  <si>
    <t>ELETRODO SOLDA  4,00MM AWSE 7018 140-200</t>
  </si>
  <si>
    <t>110414008</t>
  </si>
  <si>
    <t>FR416- GAL- RETIRADA DE 4 ABAS</t>
  </si>
  <si>
    <t>750-CVO-VF33-C001-0416-030</t>
  </si>
  <si>
    <t>2257479</t>
  </si>
  <si>
    <t>ARAME SOLDA  1,20MM COBREADO MIG-MAG</t>
  </si>
  <si>
    <t>110414010</t>
  </si>
  <si>
    <t>FR426- GAL- RETIRADA DE 4 ABAS</t>
  </si>
  <si>
    <t>750-CVO-VF33-C001-0426-035</t>
  </si>
  <si>
    <t>110414011</t>
  </si>
  <si>
    <t>FR422- GAL-INSTALAÇÃO 4 ABAS</t>
  </si>
  <si>
    <t>750-CVO-VF33-C001-0422-030</t>
  </si>
  <si>
    <t>1040553</t>
  </si>
  <si>
    <t>ELETRODO SOLDA  2,50MM AWSE 6013 70-100A</t>
  </si>
  <si>
    <t>1040600</t>
  </si>
  <si>
    <t>ELETRODO SOLDA  2,50MM AWSE 7018 75-115A</t>
  </si>
  <si>
    <t>110385570</t>
  </si>
  <si>
    <t>FR1516  - COR - SOLDA TRAVA DE FECHAR L2</t>
  </si>
  <si>
    <t>750-MOC-VF18-C002-1516-FRC</t>
  </si>
  <si>
    <t>Carvoaria Itapoã</t>
  </si>
  <si>
    <t>110429664</t>
  </si>
  <si>
    <t>VF15 -MANUTENÇÃO EQUIPAMENTOS PLANTA</t>
  </si>
  <si>
    <t>750-CVO-VF15-C001-0015-005</t>
  </si>
  <si>
    <t>110372482</t>
  </si>
  <si>
    <t>FR190 - PIN - ADEQUAÇÕES FORNO 672</t>
  </si>
  <si>
    <t>750-CVO-VF13-C001-0672-035</t>
  </si>
  <si>
    <t>110372484</t>
  </si>
  <si>
    <t>FR190 - PIN - ADEQUAÇÕES FORNO 676</t>
  </si>
  <si>
    <t>750-CVO-VF13-C001-0676-035</t>
  </si>
  <si>
    <t>110425023</t>
  </si>
  <si>
    <t>FR689 - PIN - SOLDA NA ALÇA TRAVA PORTA</t>
  </si>
  <si>
    <t>750-CVO-VF13-C001-0689-035</t>
  </si>
  <si>
    <t>110425028</t>
  </si>
  <si>
    <t>FR688 - PIN - SOLDA NA ALÇA TRAVA PORTA</t>
  </si>
  <si>
    <t>750-CVO-VF13-C001-0688-035</t>
  </si>
  <si>
    <t>2253516</t>
  </si>
  <si>
    <t>FILTRO AR MOTOR 256-7902 CATERPILLAR</t>
  </si>
  <si>
    <t>2253891</t>
  </si>
  <si>
    <t>FILTRO AR MOTOR 256-7903 CATERPILLAR</t>
  </si>
  <si>
    <t>2256698</t>
  </si>
  <si>
    <t>FILTRO AR RESPIRO 2735711 CATERPILLAR</t>
  </si>
  <si>
    <t>2258528</t>
  </si>
  <si>
    <t>FILTRO ÓLEO HIDR 465-6505 CATERPILLAR</t>
  </si>
  <si>
    <t>2262291</t>
  </si>
  <si>
    <t>FILTRO ÓLEO TRANSMIS 144-6691 CATERPILLA</t>
  </si>
  <si>
    <t>2262292</t>
  </si>
  <si>
    <t>FILTRO SEPARAD ÁGUA/ÓLEO 391-3764 CATERP</t>
  </si>
  <si>
    <t>2262326</t>
  </si>
  <si>
    <t>FILTRO COMB DIESEL 360-8960 CATERPILLAR</t>
  </si>
  <si>
    <t>2262328</t>
  </si>
  <si>
    <t>FILTRO ÓLEO HIDR 348-1861 CATERPILLAR</t>
  </si>
  <si>
    <t>2262332</t>
  </si>
  <si>
    <t>CORREIA TRANSM V POLY V REF 350-8742 CAT</t>
  </si>
  <si>
    <t>5065551</t>
  </si>
  <si>
    <t>JUNTA TAMPA VÁLVULA 527-1641 CATERPILLAR</t>
  </si>
  <si>
    <t>5065756</t>
  </si>
  <si>
    <t>VÁLVULA REF 224-2263 CATERPILLAR</t>
  </si>
  <si>
    <t>5065764</t>
  </si>
  <si>
    <t>POLIA V  3779255 CATERPILLAR</t>
  </si>
  <si>
    <t>110443146</t>
  </si>
  <si>
    <t>CR01 SUBST DE FILTRO AR CONDICIONADO</t>
  </si>
  <si>
    <t>110424013</t>
  </si>
  <si>
    <t>TP23 SUBST FILTRO HIDRAUL</t>
  </si>
  <si>
    <t>750-MEC-FTTP-TP23-0070</t>
  </si>
  <si>
    <t>109978244</t>
  </si>
  <si>
    <t>TP35 MNT REV 10500H  TRATOR JD5080E</t>
  </si>
  <si>
    <t>109979642</t>
  </si>
  <si>
    <t>TP34 MNT REV 10500H  TRATOR JD5080E</t>
  </si>
  <si>
    <t>750-MEC-FTTP-TP34</t>
  </si>
  <si>
    <t>109996063</t>
  </si>
  <si>
    <t>TP22 MNT REV 12750H  TRATOR JD5080E</t>
  </si>
  <si>
    <t>750-MEC-FTTP-TP22</t>
  </si>
  <si>
    <t>110365299</t>
  </si>
  <si>
    <t>TP25 MNT REV 11000H TRATOR JD5080E</t>
  </si>
  <si>
    <t>5065772</t>
  </si>
  <si>
    <t>FILTRO COMB DIESEL T257865 JOHN DEERE</t>
  </si>
  <si>
    <t>110403645</t>
  </si>
  <si>
    <t>TP24 MNT REV 01500H  TRATOR JD5080E</t>
  </si>
  <si>
    <t>750-MEC-FTTP-TP24</t>
  </si>
  <si>
    <t>110416224</t>
  </si>
  <si>
    <t>TP33 MNT REV 10750H  TRATOR JD5080E</t>
  </si>
  <si>
    <t>750-MEC-FTTP-TP33</t>
  </si>
  <si>
    <t>110433603</t>
  </si>
  <si>
    <t>TP32 MNT REV 06750H  TRATOR JD5080E</t>
  </si>
  <si>
    <t>110438867</t>
  </si>
  <si>
    <t>TP30 MATERIAL MANUTENÇÃO</t>
  </si>
  <si>
    <t>110150700</t>
  </si>
  <si>
    <t>PC44 MNT REV 06500H PÁ CARREG CAT</t>
  </si>
  <si>
    <t>110228032</t>
  </si>
  <si>
    <t>PC42 MNT REV 23000H PÁ CARREG CAT 924KW4</t>
  </si>
  <si>
    <t>5065813</t>
  </si>
  <si>
    <t>ELEM FILTRO OLEO HIDR 421-5481 CATERPILL</t>
  </si>
  <si>
    <t>110265385</t>
  </si>
  <si>
    <t>PC29 MNT REV 21500H PÁ CARRG CAT924K KW4</t>
  </si>
  <si>
    <t>750-MEC-FTPC-C029</t>
  </si>
  <si>
    <t>110369193</t>
  </si>
  <si>
    <t>PC47 MNT REV 06500H PÁ CARREG CAT KW4</t>
  </si>
  <si>
    <t>110385331</t>
  </si>
  <si>
    <t>PC49 MNT REV 00000H PÁ CARREG CAT KWK</t>
  </si>
  <si>
    <t>750-MEC-FTPC-C049</t>
  </si>
  <si>
    <t>110396064</t>
  </si>
  <si>
    <t>PC48 MNT REV 03500H PÁ CARREG CAT KWK</t>
  </si>
  <si>
    <t>110401860</t>
  </si>
  <si>
    <t>PC30 MNT REV 24500H PÁ CARRG CAT924K KW4</t>
  </si>
  <si>
    <t>110424740</t>
  </si>
  <si>
    <t>PC43 MNT REV 09500H PÁ CARREG CAT</t>
  </si>
  <si>
    <t>110424953</t>
  </si>
  <si>
    <t>PC44 MNT REV 09500H PÁ CARREG CAT</t>
  </si>
  <si>
    <t>110432637</t>
  </si>
  <si>
    <t>PC49 - FILTRO DO AR CONDICIONADO</t>
  </si>
  <si>
    <t>750-MEC-FTPC-C049-0080-005</t>
  </si>
  <si>
    <t>110448492</t>
  </si>
  <si>
    <t>PC16 - FILTRO DO AR CONDICIONADO</t>
  </si>
  <si>
    <t>110450964</t>
  </si>
  <si>
    <t>PC44 - FILTRO HIDRÁULICO</t>
  </si>
  <si>
    <t>750-MEC-FTPC-C044-0070</t>
  </si>
  <si>
    <t>1186191</t>
  </si>
  <si>
    <t>PORCA SEXT   1"-8 ANSI B18.2.2 ASTM A</t>
  </si>
  <si>
    <t>2269253</t>
  </si>
  <si>
    <t>BARRA ROSC 1"X 1000MM 8FPP SAE 1020</t>
  </si>
  <si>
    <t>110409863</t>
  </si>
  <si>
    <t>RC01-Troca da junta de vedação</t>
  </si>
  <si>
    <t>750-UCC-0100-0030-0010-095</t>
  </si>
  <si>
    <t>5118097</t>
  </si>
  <si>
    <t>GAXETA REF REFRATH-950 REFRATHEMIQUE</t>
  </si>
  <si>
    <t>5118099</t>
  </si>
  <si>
    <t>GAXETA REF REFRATH-450 REFRATHEMIQUE</t>
  </si>
  <si>
    <t>5118130</t>
  </si>
  <si>
    <t>GAXETA REF REFRATH-250 REFRATHEMIQUE</t>
  </si>
  <si>
    <t>110432282</t>
  </si>
  <si>
    <t>RC02-Substituição junta expansiva</t>
  </si>
  <si>
    <t>750-UCC-0100-0030-0020-095</t>
  </si>
  <si>
    <t>110462597</t>
  </si>
  <si>
    <t>RC03- Troca da vedação</t>
  </si>
  <si>
    <t>750-UCC-0100-0030-0030-095</t>
  </si>
  <si>
    <t>110463391</t>
  </si>
  <si>
    <t>RC02-Troca gaxeta de vedação</t>
  </si>
  <si>
    <t>110348716</t>
  </si>
  <si>
    <t>TR04-Instalar vedação lateral</t>
  </si>
  <si>
    <t>750-UCC-0100-0040-0080</t>
  </si>
  <si>
    <t>1647571</t>
  </si>
  <si>
    <t>LENÇOL BORRACHA  4,7X2000X15000MM 2LONAS</t>
  </si>
  <si>
    <t>110394026</t>
  </si>
  <si>
    <t>RC03-Desinstalação para inspeção</t>
  </si>
  <si>
    <t>110424833</t>
  </si>
  <si>
    <t>SR01- Instalar cortina de borracha</t>
  </si>
  <si>
    <t>750-UCC-0100-0020-0050</t>
  </si>
  <si>
    <t>110413210</t>
  </si>
  <si>
    <t>IMPLTO BARRELADOR REV MENSAL PINDAIBAS</t>
  </si>
  <si>
    <t>750-MEC-FBRF-BPIN</t>
  </si>
  <si>
    <t>5088904</t>
  </si>
  <si>
    <t>MANGOTE  HSL 1.1/2" HIMAFLEX</t>
  </si>
  <si>
    <t>110458104</t>
  </si>
  <si>
    <t xml:space="preserve"> AGR - PIN - MATERIAIS CODIFICADOS</t>
  </si>
  <si>
    <t>750-CVO-VF13-C001-FR19</t>
  </si>
  <si>
    <t>5100029</t>
  </si>
  <si>
    <t>TINTA ESMALTE SINTÉT AZUL FRANC ECO 3,6L</t>
  </si>
  <si>
    <t>2269526</t>
  </si>
  <si>
    <t>ADITIVO ÓLEO HIDRÁULICO 1U-9891 CATERPIL</t>
  </si>
  <si>
    <t>5064857</t>
  </si>
  <si>
    <t>CHAPA  3,17X 680X 730MM SAE 1010</t>
  </si>
  <si>
    <t>5064858</t>
  </si>
  <si>
    <t>CHAPA  3,17X 200X 240MM SAE 1010</t>
  </si>
  <si>
    <t>5072777</t>
  </si>
  <si>
    <t>CHAPA  3,17X 400X 700MM SAE 1010</t>
  </si>
  <si>
    <t>1078925</t>
  </si>
  <si>
    <t>BARRA RED   31,75X 6000MM SAE 1020 LAMIN</t>
  </si>
  <si>
    <t>1087118</t>
  </si>
  <si>
    <t>PERFIL "U"  5,0X50,8X152X 6000MM LAMINAD</t>
  </si>
  <si>
    <t>5066539</t>
  </si>
  <si>
    <t>TUBO RETANG  40X 40X 1,5MM PERFIL JATEAD</t>
  </si>
  <si>
    <t>2270373</t>
  </si>
  <si>
    <t>TUBO QUAD  50,8X 50,8X6000MM METALON</t>
  </si>
  <si>
    <t>5064855</t>
  </si>
  <si>
    <t>CHAPA   4,85X 700X 700MM SAE 1010</t>
  </si>
  <si>
    <t>110411491</t>
  </si>
  <si>
    <t>IF03 INFRA-ESTRU DOS REATORES - MANUTEN</t>
  </si>
  <si>
    <t>2102710</t>
  </si>
  <si>
    <t>BARRA CHATA AÇO 1"X 1/4"X 6000MM</t>
  </si>
  <si>
    <t>110409733</t>
  </si>
  <si>
    <t>AGR - PIN - INSERIDOS OUTUBRO</t>
  </si>
  <si>
    <t>750-CVO-VF13-C002-FR39</t>
  </si>
  <si>
    <t>5064852</t>
  </si>
  <si>
    <t>CHAPA   3,17X 790X 870MM SAE 1010</t>
  </si>
  <si>
    <t>1026925</t>
  </si>
  <si>
    <t>DISCO CORTE 177,8/ 22,23X 3,2MM A30TBFW</t>
  </si>
  <si>
    <t>1547496</t>
  </si>
  <si>
    <t>DISCO DESBASTE 114,3/ 22,225X 4,762MM</t>
  </si>
  <si>
    <t>D.Gerais C. Alegre</t>
  </si>
  <si>
    <t>110403797</t>
  </si>
  <si>
    <t>CAL - DESMONTAGEM TELHADO GALPAO OFICINA</t>
  </si>
  <si>
    <t>750-JPO-VF22-I001-I001-S04</t>
  </si>
  <si>
    <t>1866320</t>
  </si>
  <si>
    <t>BARRA ROSC M16X 1000MM 2,00MM AÇO ZINCAD</t>
  </si>
  <si>
    <t>2161421</t>
  </si>
  <si>
    <t>PORCA SEXT AUTOT M16 DIN 982-8</t>
  </si>
  <si>
    <t>D.Gerais Aldeia</t>
  </si>
  <si>
    <t>VF40</t>
  </si>
  <si>
    <t>110415256</t>
  </si>
  <si>
    <t>VF40 - AVCB - Aldeia</t>
  </si>
  <si>
    <t>750-CVO-VF40-I001</t>
  </si>
  <si>
    <t>5101283</t>
  </si>
  <si>
    <t>TINTA SEMIACET METALATEX ESTRELA DO SUL</t>
  </si>
  <si>
    <t>1907760</t>
  </si>
  <si>
    <t>PERFIL "U" ENRIJECIDO 150X60X6000 MM</t>
  </si>
  <si>
    <t>2103407</t>
  </si>
  <si>
    <t>BARRA RED AÇO  5/8" X 6000 MM</t>
  </si>
  <si>
    <t>110430891</t>
  </si>
  <si>
    <t>INSTALAÇÃO DE PISO E FORRO PVC NA SALAS:</t>
  </si>
  <si>
    <t>Viveiro</t>
  </si>
  <si>
    <t>FVIV</t>
  </si>
  <si>
    <t>Viv.Mudas Extrema</t>
  </si>
  <si>
    <t>110410920</t>
  </si>
  <si>
    <t>VF23 - MANUTENÇÃO ELETRICA EXTREMA</t>
  </si>
  <si>
    <t>750-MOC-VF23-V001</t>
  </si>
  <si>
    <t>DEBTO DIRETO/RP</t>
  </si>
  <si>
    <t>110444311</t>
  </si>
  <si>
    <t>VF23 - SERVIÇO SOLDA LINHA ESTAQUEAMENTO</t>
  </si>
  <si>
    <t>750-MOC-VF23-V001-MAQN-ACE</t>
  </si>
  <si>
    <t>110336692</t>
  </si>
  <si>
    <t>VF23 - MANUTENÇÃO LINHA ESTAQUEAMENTO</t>
  </si>
  <si>
    <t>750-MOC-VF23-V001-MAQN</t>
  </si>
  <si>
    <t>110307609</t>
  </si>
  <si>
    <t>CP21 - AT. DE MANUTENÇÃO EM EQUIPAMENTOS</t>
  </si>
  <si>
    <t>750-MEC-FTCP-CP21</t>
  </si>
  <si>
    <t>26967</t>
  </si>
  <si>
    <t>MARCOS PAULO DE MOURA FRANCO</t>
  </si>
  <si>
    <t>110364330</t>
  </si>
  <si>
    <t>CP13 - AT. DE MANUTENÇÃO EM EQUIPAMENTOS</t>
  </si>
  <si>
    <t>750-MEC-FTCP-CP13</t>
  </si>
  <si>
    <t>600843</t>
  </si>
  <si>
    <t>CARLOS EDNEI ALVES RODRIGUES</t>
  </si>
  <si>
    <t>110364340</t>
  </si>
  <si>
    <t>20549</t>
  </si>
  <si>
    <t>ADALTON MARIA DA TRINDADE - ME</t>
  </si>
  <si>
    <t>110364444</t>
  </si>
  <si>
    <t>CP23 - AT. DE MANUTENÇÃO EM EQUIPAMENTOS</t>
  </si>
  <si>
    <t>110364449</t>
  </si>
  <si>
    <t>CP27 - AT. DE MANUTENÇÃO EM EQUIPAMENTOS</t>
  </si>
  <si>
    <t>110364331</t>
  </si>
  <si>
    <t>CP14 - AT. DE MANUTENÇÃO EM EQUIPAMENTOS</t>
  </si>
  <si>
    <t>750-MEC-FTCP-CP14</t>
  </si>
  <si>
    <t>110364447</t>
  </si>
  <si>
    <t>CP25 - AT. DE MANUTENÇÃO EM EQUIPAMENTOS</t>
  </si>
  <si>
    <t>750-MEC-FTCP-CP25</t>
  </si>
  <si>
    <t>110307617</t>
  </si>
  <si>
    <t>CP28 - AT. DE MANUTENÇÃO EM EQUIPAMENTOS</t>
  </si>
  <si>
    <t>750-MEC-FTCP-CP28</t>
  </si>
  <si>
    <t>110372616</t>
  </si>
  <si>
    <t>110419175</t>
  </si>
  <si>
    <t>CP21 SUBST  MANGOTE</t>
  </si>
  <si>
    <t>110429460</t>
  </si>
  <si>
    <t>CP19 SUBS CRUZETA DO CARDAN</t>
  </si>
  <si>
    <t>750-MEC-FTCP-CP19</t>
  </si>
  <si>
    <t>110429522</t>
  </si>
  <si>
    <t>CP25 TROCA MAQUINA DE VIDRO</t>
  </si>
  <si>
    <t>110429523</t>
  </si>
  <si>
    <t>CP22 SUBS CUICA LD ESQUERDO</t>
  </si>
  <si>
    <t>110429524</t>
  </si>
  <si>
    <t>CP21 TROCA RESERVATORIO</t>
  </si>
  <si>
    <t>110429525</t>
  </si>
  <si>
    <t>CP27 TROCA LANT ESQ/DIR</t>
  </si>
  <si>
    <t>110429528</t>
  </si>
  <si>
    <t>CP14 SUBS SENSOR DE NIVEL DE AGUA</t>
  </si>
  <si>
    <t>110429529</t>
  </si>
  <si>
    <t>CP26 SUBS MAQ DE VIDRO</t>
  </si>
  <si>
    <t>110444391</t>
  </si>
  <si>
    <t>CP22 SUBSTITUIÇÃO DE ÓLEO E PEÇAS</t>
  </si>
  <si>
    <t>750-MEC-FTCP-CP22-SI02</t>
  </si>
  <si>
    <t>110444441</t>
  </si>
  <si>
    <t>CP19 SUBSTITUIÇÃO DE LONA</t>
  </si>
  <si>
    <t>750-MEC-FTCP-CP19-SI02</t>
  </si>
  <si>
    <t>PP1</t>
  </si>
  <si>
    <t>110448056</t>
  </si>
  <si>
    <t>PC22 SUBST MANGUEIRA TERMINAL</t>
  </si>
  <si>
    <t>110372615</t>
  </si>
  <si>
    <t>110372641</t>
  </si>
  <si>
    <t>CP19 - AT. DE MANUTENÇÃO EM EQUIPAMENTOS</t>
  </si>
  <si>
    <t>110372646</t>
  </si>
  <si>
    <t>468732</t>
  </si>
  <si>
    <t>WANDERSON DE LIMA 07843304681</t>
  </si>
  <si>
    <t>110458359</t>
  </si>
  <si>
    <t>CP21 SERV ECUPERAÇÃ PNEU 275/80R22,5</t>
  </si>
  <si>
    <t>110336848</t>
  </si>
  <si>
    <t>GT18 MNT REV 06000H ESCV CAT336FL</t>
  </si>
  <si>
    <t>110247695</t>
  </si>
  <si>
    <t>GT18 MNT REV 05000H ESCV.GARRA CAT 336</t>
  </si>
  <si>
    <t>110433874</t>
  </si>
  <si>
    <t>CM05 SUBSTITUIÇÃO DE FILTROS</t>
  </si>
  <si>
    <t>110383148</t>
  </si>
  <si>
    <t>CM 04 SUBSTITUIÇÃO SPOILER</t>
  </si>
  <si>
    <t>750-MEC-FTCM-CM04-SI03</t>
  </si>
  <si>
    <t>110289700</t>
  </si>
  <si>
    <t>SK15 SUBTITUIR BURRACHA DE ACESSO</t>
  </si>
  <si>
    <t>110291443</t>
  </si>
  <si>
    <t>SK16 SUBTITUIR SENSOR</t>
  </si>
  <si>
    <t>110305380</t>
  </si>
  <si>
    <t>SK15 SUBSTITUIR MOTOR DO ROTATOR</t>
  </si>
  <si>
    <t>110348801</t>
  </si>
  <si>
    <t>SK 17 SUBSTITUIR BLINDAGEM LADO ESQUERDO</t>
  </si>
  <si>
    <t>110391016</t>
  </si>
  <si>
    <t>SK15 SUBSTITUIR SENSOR DE POSIÇÃO</t>
  </si>
  <si>
    <t>110394956</t>
  </si>
  <si>
    <t>SK 14 SUBSTITUIR BOMBA HIDRAULICA</t>
  </si>
  <si>
    <t>110400646</t>
  </si>
  <si>
    <t>SK13 SUBSTITUIR MOTOR HIDRAULICO DA HELI</t>
  </si>
  <si>
    <t>110424952</t>
  </si>
  <si>
    <t>SK15 SUBSTITUIÇÃO CONEXÕES, MANGUEIRAS</t>
  </si>
  <si>
    <t>750-MEC-FTSK-SK15-0070</t>
  </si>
  <si>
    <t>110426054</t>
  </si>
  <si>
    <t>SK 14 SUBSTITUIÇÃO DE CILINDRO HIDRAU</t>
  </si>
  <si>
    <t>750-MEC-FTSK-SK14-SI04-C01</t>
  </si>
  <si>
    <t>110434939</t>
  </si>
  <si>
    <t>SK14 SUBSTITUIÇÃO CONEXÕES, MANGUEIRAS</t>
  </si>
  <si>
    <t>750-MEC-FTSK-SK14-SI03</t>
  </si>
  <si>
    <t>110365747</t>
  </si>
  <si>
    <t>GP02 SUBSTITUIÇÃO DE ANEL ORING</t>
  </si>
  <si>
    <t>110400647</t>
  </si>
  <si>
    <t>GP01 SUBSTITUIR VALVULAS</t>
  </si>
  <si>
    <t>110415465</t>
  </si>
  <si>
    <t>GT14 SUBSTITUIÇÃO DE CHICOTE</t>
  </si>
  <si>
    <t>110420788</t>
  </si>
  <si>
    <t>GT14 SUBSTITUIÇÃO VEDAÇÃO</t>
  </si>
  <si>
    <t>110424902</t>
  </si>
  <si>
    <t>GT14 SUBSTITUIÇÃO CONEXÕES, MANGUEIRAS</t>
  </si>
  <si>
    <t>750-MEC-FTGT-GT14-SI04</t>
  </si>
  <si>
    <t>110424947</t>
  </si>
  <si>
    <t>GP01 SUBSTITUIÇÃO CONEXÕES, MANGUEIRAS</t>
  </si>
  <si>
    <t>110243746</t>
  </si>
  <si>
    <t>GT18 SUBST FILTROS E CORREIA</t>
  </si>
  <si>
    <t>110274054</t>
  </si>
  <si>
    <t>GT15 SUBST  MESA DO IMPLEMENTO GARRA</t>
  </si>
  <si>
    <t>110358850</t>
  </si>
  <si>
    <t>GT15 SUBSTITUIR VALVULAS</t>
  </si>
  <si>
    <t>110368070</t>
  </si>
  <si>
    <t>GT15 SUBSTITUIÇÃO DE FILTROS</t>
  </si>
  <si>
    <t>110368168</t>
  </si>
  <si>
    <t>GT17 SUBSTITUIR VALVULA UNIDIRECIONAL</t>
  </si>
  <si>
    <t>750-MEC-FTGT-GT17</t>
  </si>
  <si>
    <t>110386762</t>
  </si>
  <si>
    <t>GT18 SUBSTITUIR MOTOR DO ROTATOR</t>
  </si>
  <si>
    <t>110403794</t>
  </si>
  <si>
    <t>GT 15 SUBSTITUIR PINO DO ROMPEDOR</t>
  </si>
  <si>
    <t>110415593</t>
  </si>
  <si>
    <t>GT15 SUBST DE CONEXÕES</t>
  </si>
  <si>
    <t>110424916</t>
  </si>
  <si>
    <t>GT17 SUBSTITUIÇÃO CONEXÕES, MANGUEIRAS</t>
  </si>
  <si>
    <t>750-MEC-FTGT-GT17-0005</t>
  </si>
  <si>
    <t>110441946</t>
  </si>
  <si>
    <t>GT16 SUBSTITUIR BICO IJETOR</t>
  </si>
  <si>
    <t>110448156</t>
  </si>
  <si>
    <t>GT16 SUBSTITUIR SENSORES</t>
  </si>
  <si>
    <t>110275159</t>
  </si>
  <si>
    <t>FB13 SUBSTITUIR PINOS, BUCHAS DA MAQ.BAS</t>
  </si>
  <si>
    <t>110329619</t>
  </si>
  <si>
    <t>FB12 SUBSTITUIR PINOS E BUCHAS</t>
  </si>
  <si>
    <t>110336683</t>
  </si>
  <si>
    <t>FB14 SUBSTITUIR KIT REPARO BOMBA D AGUA</t>
  </si>
  <si>
    <t>110415597</t>
  </si>
  <si>
    <t>FB12 SUBIST DE CONEXÕES</t>
  </si>
  <si>
    <t>110448108</t>
  </si>
  <si>
    <t>FB15 SUBSTITUIÇÃO CONEXÕES, MANGUEIRAS</t>
  </si>
  <si>
    <t>109963761</t>
  </si>
  <si>
    <t>SK13 INSPEÇÃO DIÁRIA</t>
  </si>
  <si>
    <t>109963762</t>
  </si>
  <si>
    <t>SK14 INSPEÇÃO DIÁRIA</t>
  </si>
  <si>
    <t>109963763</t>
  </si>
  <si>
    <t>SK15 INSPEÇÃO DIÁRIA</t>
  </si>
  <si>
    <t>109963764</t>
  </si>
  <si>
    <t>SK16 INSPEÇÃO DIÁRIA</t>
  </si>
  <si>
    <t>110419603</t>
  </si>
  <si>
    <t>SK15 CONFEC 5 BACIAS ARMAZENAMENTO ÓLEO</t>
  </si>
  <si>
    <t>109963772</t>
  </si>
  <si>
    <t>GP02 INSPEÇÃO DIARIA</t>
  </si>
  <si>
    <t>110434883</t>
  </si>
  <si>
    <t>109963765</t>
  </si>
  <si>
    <t>GT14 INSPEÇÃO DIÁRIA</t>
  </si>
  <si>
    <t>109963766</t>
  </si>
  <si>
    <t>GT15 INSPEÇÃO DIÁRIA</t>
  </si>
  <si>
    <t>109963767</t>
  </si>
  <si>
    <t>GT16 INSPEÇÃO DIARIA</t>
  </si>
  <si>
    <t>109963768</t>
  </si>
  <si>
    <t>GT17 INSPEÇÃO DIARIA</t>
  </si>
  <si>
    <t>109963770</t>
  </si>
  <si>
    <t>GT18 INSPEÇÃO DIARIA</t>
  </si>
  <si>
    <t>109962697</t>
  </si>
  <si>
    <t>FB12 INSPEÇÃO DIÁRIA</t>
  </si>
  <si>
    <t>109962698</t>
  </si>
  <si>
    <t>FB13 INSPEÇÃO DIÁRIA</t>
  </si>
  <si>
    <t>109962699</t>
  </si>
  <si>
    <t>FB14 INSPEÇÃO DIÁRIA</t>
  </si>
  <si>
    <t>109962700</t>
  </si>
  <si>
    <t>FB15 INSPEÇÃO DIÁRIA</t>
  </si>
  <si>
    <t>110453472</t>
  </si>
  <si>
    <t>FB15 SERVIÇO DE SOLDA</t>
  </si>
  <si>
    <t>4656010000</t>
  </si>
  <si>
    <t>Invest-Mão obra terc</t>
  </si>
  <si>
    <t>110336689</t>
  </si>
  <si>
    <t>SK 15 SUBSTITUIR PNEUS</t>
  </si>
  <si>
    <t>407275</t>
  </si>
  <si>
    <t>RXR LOCACOES LTDA</t>
  </si>
  <si>
    <t>110410937</t>
  </si>
  <si>
    <t>FB14 REFORMAR MOTOR DIESEL 6090HTJ04</t>
  </si>
  <si>
    <t>750-MEC-FTFF-FF14-0020</t>
  </si>
  <si>
    <t>110299675</t>
  </si>
  <si>
    <t>FB14 MNT REV 10750H FELLER BUNCHER 903M</t>
  </si>
  <si>
    <t>26892</t>
  </si>
  <si>
    <t>LEANDRO GERALDO DA SILVA CPF 392.38</t>
  </si>
  <si>
    <t>110275158</t>
  </si>
  <si>
    <t>FB14 SUBSTITUIR MANGUEIRA LIQ.ARREFECINT</t>
  </si>
  <si>
    <t>218697</t>
  </si>
  <si>
    <t>A. A. ASSIS - ME</t>
  </si>
  <si>
    <t>110243877</t>
  </si>
  <si>
    <t>CO10 MELHORIA BOMBA DAGUA</t>
  </si>
  <si>
    <t>110243901</t>
  </si>
  <si>
    <t>CO11 MELHORIA BOMBA DAGUA</t>
  </si>
  <si>
    <t>110243903</t>
  </si>
  <si>
    <t>CO12 MELHORIA BOMBA DAGUA</t>
  </si>
  <si>
    <t>110243863</t>
  </si>
  <si>
    <t>CO10 SUBST BOMBA D'AGUA</t>
  </si>
  <si>
    <t>110365665</t>
  </si>
  <si>
    <t>CO12 SUBSTITUIÇÃO CHAVE SECCIONADORA ROT</t>
  </si>
  <si>
    <t>110376058</t>
  </si>
  <si>
    <t>CO 10 SUBSTITUIR RELE</t>
  </si>
  <si>
    <t>110424957</t>
  </si>
  <si>
    <t>CC07 SUBSTITUIÇÃO CONEXÕES, MANGUEIRAS</t>
  </si>
  <si>
    <t>750-MEC-FTCC-CC07-SI03</t>
  </si>
  <si>
    <t>110424958</t>
  </si>
  <si>
    <t>CC08 SUBSTITUIÇÃO CONEXÕES, MANGUEIRAS</t>
  </si>
  <si>
    <t>750-MEC-FTCC-CC08-0010</t>
  </si>
  <si>
    <t>110440741</t>
  </si>
  <si>
    <t>CC08 REVISÃO GERAL</t>
  </si>
  <si>
    <t>750-MEC-FTCC-CC08-0040</t>
  </si>
  <si>
    <t>110444278</t>
  </si>
  <si>
    <t>CO11 SUBSTITUIR PNEUS</t>
  </si>
  <si>
    <t>110453466</t>
  </si>
  <si>
    <t>CO10 SUBSTITUIR RETROVISOR</t>
  </si>
  <si>
    <t>110453963</t>
  </si>
  <si>
    <t>CC08 SUBSTITUIÇÃO DE RESERVATÓRIO ÁGUA</t>
  </si>
  <si>
    <t>110459392</t>
  </si>
  <si>
    <t>CO07 SUBSTITUIÇÃO DE MANGUEIRA</t>
  </si>
  <si>
    <t>GAR</t>
  </si>
  <si>
    <t>MANUT. INFRAESTRUTUR</t>
  </si>
  <si>
    <t>750-CVO-VF13-I001-I001-S30</t>
  </si>
  <si>
    <t>750-UCC-0100-0030-0010-065</t>
  </si>
  <si>
    <t>750-UCC-0100-0030-0010-120</t>
  </si>
  <si>
    <t>750-UCC-0100-0030-0020-010</t>
  </si>
  <si>
    <t>750-UCC-0100-0030-0020-110</t>
  </si>
  <si>
    <t>750-UCC-0100-0030-0020-120</t>
  </si>
  <si>
    <t>750-UCC-0100-0030-0030-025</t>
  </si>
  <si>
    <t>750-UCC-0100-0030-0030-040</t>
  </si>
  <si>
    <t>750-UCC-0100-0030-0060-005</t>
  </si>
  <si>
    <t>750-UCC-0100-0040-0050</t>
  </si>
  <si>
    <t>750-UCC-0100-0040-0060</t>
  </si>
  <si>
    <t>750-UCC-0100-0020-0080</t>
  </si>
  <si>
    <t>750-UCC-0100-0030-0010-045</t>
  </si>
  <si>
    <t>750-UCC-0100-0030-0010-055</t>
  </si>
  <si>
    <t>750-UCC-0100-0030-0010-060</t>
  </si>
  <si>
    <t>750-UCC-0100-0030-0010-100</t>
  </si>
  <si>
    <t>750-UCC-0100-0030-0020-090</t>
  </si>
  <si>
    <t>750-UCC-0100-0030-0020-100</t>
  </si>
  <si>
    <t>750-UCC-0100-0030-0030-100</t>
  </si>
  <si>
    <t>750-UCC-0100-0030-0040</t>
  </si>
  <si>
    <t>750-UCC-0100-0030-0060</t>
  </si>
  <si>
    <t>750-UCC-0100-0040-0125</t>
  </si>
  <si>
    <t>750-UCC-0100-0060-0010-005</t>
  </si>
  <si>
    <t>750-UCC-0100-0080-0020</t>
  </si>
  <si>
    <t>EQUIP.MANUT.CARBOVAL</t>
  </si>
  <si>
    <t>PM07</t>
  </si>
  <si>
    <t>750-PBA-UCVB-5000-0400-110</t>
  </si>
  <si>
    <t>750-PBA-UCVB-5000-1000</t>
  </si>
  <si>
    <t>750-PBA-UPCV-ED01-SI08</t>
  </si>
  <si>
    <t>750-PBA-LPCV-0015</t>
  </si>
  <si>
    <t>750-PBA-UCVB-5000-0300-200-100</t>
  </si>
  <si>
    <t>750-PBA-UCVB-5000-0800-300</t>
  </si>
  <si>
    <t>750-PBA-UCVB-6000-0100</t>
  </si>
  <si>
    <t>750-PBA-UCVB-6100-SI01</t>
  </si>
  <si>
    <t>750-PBA-UCVB-6100-SI02-C01</t>
  </si>
  <si>
    <t>750-PBA-UCVB-8000</t>
  </si>
  <si>
    <t>750-PBA-UPCV-ED01-SI11-C04</t>
  </si>
  <si>
    <t>750-PBA-UPCV-ENE1-0030</t>
  </si>
  <si>
    <t>750-MEC-FTPC-C034</t>
  </si>
  <si>
    <t>EQUIP.SOLDA E CALDER</t>
  </si>
  <si>
    <t>PM14</t>
  </si>
  <si>
    <t>750-CVO-VF13-C001</t>
  </si>
  <si>
    <t>750-MEC-FTPC-C039</t>
  </si>
  <si>
    <t>750-MEC-FBRF-BITP</t>
  </si>
  <si>
    <t>750-CVO-VF15-C001-0025</t>
  </si>
  <si>
    <t>750-CVO-VF15-C001-0441-035</t>
  </si>
  <si>
    <t>750-CVO-VF15-C001-0464-035</t>
  </si>
  <si>
    <t>750-CVO-VF15-C001-1271-030</t>
  </si>
  <si>
    <t>750-CVO-VF15-C001-1272-055-101</t>
  </si>
  <si>
    <t>750-CVO-VF15-C001-1273-055-101</t>
  </si>
  <si>
    <t>750-CVO-VF15-C001-1279-030</t>
  </si>
  <si>
    <t>750-CVO-VF15-C001-1279-055-101</t>
  </si>
  <si>
    <t>750-CVO-VF15-C001-FR39</t>
  </si>
  <si>
    <t>VF16</t>
  </si>
  <si>
    <t>750-MEC-FBRF-BSTC</t>
  </si>
  <si>
    <t>750-CVO-VF16-C001-0050</t>
  </si>
  <si>
    <t>750-CVO-VF16-C002-0050-005</t>
  </si>
  <si>
    <t>750-MOC-VF18-C002-1500-030</t>
  </si>
  <si>
    <t>750-MOC-VF18-C002-1501-030</t>
  </si>
  <si>
    <t>750-MOC-VF18-C002-1503-030</t>
  </si>
  <si>
    <t>750-MOC-VF18-C002-1505-030</t>
  </si>
  <si>
    <t>750-MOC-VF18-C002-1513-030</t>
  </si>
  <si>
    <t>750-MOC-VF18-C001</t>
  </si>
  <si>
    <t>750-MOC-VF18-C002-1502-030</t>
  </si>
  <si>
    <t>750-MOC-VF18-C002-1521-030</t>
  </si>
  <si>
    <t>750-MOC-VF18-C002-1527-030</t>
  </si>
  <si>
    <t>750-JPO-VF22-C001-1263-030</t>
  </si>
  <si>
    <t>750-JPO-VF22-C001-1409-030</t>
  </si>
  <si>
    <t>750-JPO-VF22-C001-0050</t>
  </si>
  <si>
    <t>750-MOC-VF23-C001</t>
  </si>
  <si>
    <t>750-CVO-VF33-C001-EP19</t>
  </si>
  <si>
    <t>750-MEC-FBRF-BALD</t>
  </si>
  <si>
    <t>750-CVO-VF40-C001-EP39</t>
  </si>
  <si>
    <t>750-MEC-FTTP-TP36</t>
  </si>
  <si>
    <t>750-MEC-FTTP-TP37</t>
  </si>
  <si>
    <t>750-MEC-FTPC-C017</t>
  </si>
  <si>
    <t>750-MEC-FTPC-C052</t>
  </si>
  <si>
    <t>110346278</t>
  </si>
  <si>
    <t>CC06 REALIZAR AS INSPEÇÕES CIV E CIPP</t>
  </si>
  <si>
    <t>26596</t>
  </si>
  <si>
    <t>SINTEV - SISTEMA DE INSPECAO TECNIC</t>
  </si>
  <si>
    <t>110391167</t>
  </si>
  <si>
    <t>CO09 SUSBSTITUIÇÃO DE CARDAN</t>
  </si>
  <si>
    <t>750-MEC-FTCO-CO09</t>
  </si>
  <si>
    <t>5235</t>
  </si>
  <si>
    <t>USIMEG LTDA</t>
  </si>
  <si>
    <t>110438679</t>
  </si>
  <si>
    <t>CBVL CONFECÇÃO FLANGE DUTO QUADRADO</t>
  </si>
  <si>
    <t>110215819</t>
  </si>
  <si>
    <t>VF12 - MANUTENÇÃO ELETRICA - CANABRAVA</t>
  </si>
  <si>
    <t>750-PBA-UCVB-8000-0200</t>
  </si>
  <si>
    <t>110441908</t>
  </si>
  <si>
    <t>PC32 SUBST MANGUEIRA TERMINAL</t>
  </si>
  <si>
    <t>110367131</t>
  </si>
  <si>
    <t>110372452</t>
  </si>
  <si>
    <t>PC32 - AT. DE MANUTENÇÃO EM EQUIPAMENTOS</t>
  </si>
  <si>
    <t>110334817</t>
  </si>
  <si>
    <t>CARB PREV ROTINAS MEC - TRN D</t>
  </si>
  <si>
    <t>110334818</t>
  </si>
  <si>
    <t>CARB PREV ROTINAS ELET - TRN D</t>
  </si>
  <si>
    <t>110366714</t>
  </si>
  <si>
    <t>SKIP CARBOVAL - INSPEÇÃO MECANICA</t>
  </si>
  <si>
    <t>110370728</t>
  </si>
  <si>
    <t>TALHA CARBOVAL - INSPEÇÃO MECANICA</t>
  </si>
  <si>
    <t>110416192</t>
  </si>
  <si>
    <t>110385412</t>
  </si>
  <si>
    <t>CBVL-PENEIRA DE CARVÃO E ATIÇOS</t>
  </si>
  <si>
    <t>110385418</t>
  </si>
  <si>
    <t>CBVL-INSTRUMENTOS DE MEDIÇÃO</t>
  </si>
  <si>
    <t>110385508</t>
  </si>
  <si>
    <t>CBVL-JANELA DE VISITA DO REATOR</t>
  </si>
  <si>
    <t>110385511</t>
  </si>
  <si>
    <t>CBVL-ESTRUTURA DO REATOR</t>
  </si>
  <si>
    <t>110385651</t>
  </si>
  <si>
    <t>CBVL-MANUTENÇÃO DO SKIP</t>
  </si>
  <si>
    <t>110385661</t>
  </si>
  <si>
    <t>CBVL-SALA ELÉTRICA</t>
  </si>
  <si>
    <t>110386495</t>
  </si>
  <si>
    <t>CBVL-SISTEMA DWE DESCARGA</t>
  </si>
  <si>
    <t>110386496</t>
  </si>
  <si>
    <t>CBVL-TROCADOR DE CALOR</t>
  </si>
  <si>
    <t>110386500</t>
  </si>
  <si>
    <t xml:space="preserve">   L-SISTEMA DE DESCARGA</t>
  </si>
  <si>
    <t>110386538</t>
  </si>
  <si>
    <t>CBVL- MANUTENÇÃO PREVENTIVA NO VE01</t>
  </si>
  <si>
    <t>110391164</t>
  </si>
  <si>
    <t>CBVL- MANUTENÇÃO PREVENTIVA NO VE3A</t>
  </si>
  <si>
    <t>110405083</t>
  </si>
  <si>
    <t>CBVL PREVENT. SIST. DE DESCARGA FORNO</t>
  </si>
  <si>
    <t>110429383</t>
  </si>
  <si>
    <t>110429389</t>
  </si>
  <si>
    <t>CBVL -PREV. CIRC. ILUM / TOMADA CARBOVAL</t>
  </si>
  <si>
    <t>110430929</t>
  </si>
  <si>
    <t>110430935</t>
  </si>
  <si>
    <t>CBVL - INSPEÇÃO EQUIP ELETROMEC FORNO</t>
  </si>
  <si>
    <t>110430937</t>
  </si>
  <si>
    <t>CBVL - MANUT. NO SITEM. DE GERAÇÃO DE AR</t>
  </si>
  <si>
    <t>110430938</t>
  </si>
  <si>
    <t>110430939</t>
  </si>
  <si>
    <t>CBVL-MANUT. PREVENT. TORRE RESFRIAMENTO</t>
  </si>
  <si>
    <t>110430961</t>
  </si>
  <si>
    <t>110430963</t>
  </si>
  <si>
    <t>110430968</t>
  </si>
  <si>
    <t>110430970</t>
  </si>
  <si>
    <t>110430973</t>
  </si>
  <si>
    <t>CBVL - MANUTENÇÃO NOS POÇOS ARTESIANOS</t>
  </si>
  <si>
    <t>110430977</t>
  </si>
  <si>
    <t>110433598</t>
  </si>
  <si>
    <t>CBVL SERVIÇO SOLDA EM DUTO QUADRADO</t>
  </si>
  <si>
    <t>110433784</t>
  </si>
  <si>
    <t>CBVL - APOIO A MANUTENÇÃO</t>
  </si>
  <si>
    <t>110440396</t>
  </si>
  <si>
    <t>110440522</t>
  </si>
  <si>
    <t>110440524</t>
  </si>
  <si>
    <t>110440527</t>
  </si>
  <si>
    <t>110440530</t>
  </si>
  <si>
    <t>110440533</t>
  </si>
  <si>
    <t>110440535</t>
  </si>
  <si>
    <t>110440536</t>
  </si>
  <si>
    <t>CBVL-MANUT. PREV./ AJUS SIST. BOMBA RECI</t>
  </si>
  <si>
    <t>110440538</t>
  </si>
  <si>
    <t>110448133</t>
  </si>
  <si>
    <t>110448138</t>
  </si>
  <si>
    <t>110448296</t>
  </si>
  <si>
    <t>110448390</t>
  </si>
  <si>
    <t>110448393</t>
  </si>
  <si>
    <t>CBVL-MANUT. PREVENT. TROCADOR DE CALOR</t>
  </si>
  <si>
    <t>110448399</t>
  </si>
  <si>
    <t>110462383</t>
  </si>
  <si>
    <t>CBVL-MANUT. PREV. VÁLVULAS MODULADORAS</t>
  </si>
  <si>
    <t>110425876</t>
  </si>
  <si>
    <t>CA04 - VAZAMENTO ÓLEO UNIDADE SECADOR</t>
  </si>
  <si>
    <t>750-PBA-UCVB-6000-0100-100</t>
  </si>
  <si>
    <t>200284</t>
  </si>
  <si>
    <t>GERAIS COMPRESSORES LTDA</t>
  </si>
  <si>
    <t>110374845</t>
  </si>
  <si>
    <t>CARB PREV ROTINAS MEC - TRN C</t>
  </si>
  <si>
    <t>29892</t>
  </si>
  <si>
    <t>KAEFER RIP SERVICOS INDUSTRIAIS LTD</t>
  </si>
  <si>
    <t>110374846</t>
  </si>
  <si>
    <t>110247833</t>
  </si>
  <si>
    <t>110291541</t>
  </si>
  <si>
    <t>110291547</t>
  </si>
  <si>
    <t>110291554</t>
  </si>
  <si>
    <t>110328366</t>
  </si>
  <si>
    <t>110328377</t>
  </si>
  <si>
    <t>110328378</t>
  </si>
  <si>
    <t>110328379</t>
  </si>
  <si>
    <t>110328406</t>
  </si>
  <si>
    <t>110358847</t>
  </si>
  <si>
    <t>110385415</t>
  </si>
  <si>
    <t>218917</t>
  </si>
  <si>
    <t>PRUFTECHNIK MGS COMERCIO E SERVICOS</t>
  </si>
  <si>
    <t>110430926</t>
  </si>
  <si>
    <t>110336658</t>
  </si>
  <si>
    <t>PC39 SUBST E REFOR PEÇAS DO BANCO</t>
  </si>
  <si>
    <t>110438870</t>
  </si>
  <si>
    <t>FR395 - EXT - CONSTRUÇÃO DE PORTAS</t>
  </si>
  <si>
    <t>750-MOC-VF23-C001-0395-035</t>
  </si>
  <si>
    <t>28677</t>
  </si>
  <si>
    <t>POLIFAZ SERVICOS &amp; TRANSPORTES LTDA</t>
  </si>
  <si>
    <t>110438864</t>
  </si>
  <si>
    <t>FR323 - COR - CONSTRUÇÃO DE PISO</t>
  </si>
  <si>
    <t>750-MOC-VF18-C001-0323-040</t>
  </si>
  <si>
    <t>110438865</t>
  </si>
  <si>
    <t>FR288 - COR - CONSTRUÇÃO DE PORTAS</t>
  </si>
  <si>
    <t>750-MOC-VF18-C001-0288-030</t>
  </si>
  <si>
    <t>110438866</t>
  </si>
  <si>
    <t>FR1524 - COR - CONSTRUÇÃO DE PORTAS</t>
  </si>
  <si>
    <t>750-MOC-VF18-C002-1524-030</t>
  </si>
  <si>
    <t>110438868</t>
  </si>
  <si>
    <t>FR291 - COR - RECONST TOTAL CHAMINÉ</t>
  </si>
  <si>
    <t>750-MOC-VF18-C001-0291-045</t>
  </si>
  <si>
    <t>110441969</t>
  </si>
  <si>
    <t>FR323- COR - CONSTRUÇÃO DE RAMPA FORNO</t>
  </si>
  <si>
    <t>110441852</t>
  </si>
  <si>
    <t>FR301- COR - CONSTRUÇÃO BARRADO PORTA</t>
  </si>
  <si>
    <t>750-MOC-VF18-C001-0301-035</t>
  </si>
  <si>
    <t>110441853</t>
  </si>
  <si>
    <t>FR283- COR - CONSTRUÇÃO BARRADO PORTA</t>
  </si>
  <si>
    <t>750-MOC-VF18-C001-0283-035</t>
  </si>
  <si>
    <t>110438869</t>
  </si>
  <si>
    <t>FR373 - EXT - CONSTRUÇÃO DE PORTAS</t>
  </si>
  <si>
    <t>750-MOC-VF23-C001-0373-035</t>
  </si>
  <si>
    <t>110214253</t>
  </si>
  <si>
    <t>GP01 SUBST BOMBA E LIMPADOR</t>
  </si>
  <si>
    <t>110308646</t>
  </si>
  <si>
    <t>PC46 MNT REV 05500H PÁ CARREG CAT KW4</t>
  </si>
  <si>
    <t>110319332</t>
  </si>
  <si>
    <t>PC31 MNT REV 24000H  PÁ CARREG CAT 924KH</t>
  </si>
  <si>
    <t>110330550</t>
  </si>
  <si>
    <t>PC47 MNT REV 06000H PÁ CARREG CAT KW4</t>
  </si>
  <si>
    <t>110339111</t>
  </si>
  <si>
    <t>PC32 MNT REV 25000H  PÁ CARREG CAT 924KH</t>
  </si>
  <si>
    <t>110341898</t>
  </si>
  <si>
    <t>PC27 MNT REV 23000H  PA CARR CAT 924KH</t>
  </si>
  <si>
    <t>110342067</t>
  </si>
  <si>
    <t>PC30 MNT REV 24000H PÁ CARRG CAT924K KW4</t>
  </si>
  <si>
    <t>110344613</t>
  </si>
  <si>
    <t>PC43 MNT REV 08500H PÁ CARREG CAT</t>
  </si>
  <si>
    <t>110347474</t>
  </si>
  <si>
    <t>PC44 MNT REV 08500H PÁ CARREG CAT</t>
  </si>
  <si>
    <t>110176792</t>
  </si>
  <si>
    <t>PC43 - SUBST FILTROS</t>
  </si>
  <si>
    <t>110232666</t>
  </si>
  <si>
    <t>PC47 - MANGUEIRA SISTEMA LUBRIFICAÇÃO</t>
  </si>
  <si>
    <t>110366859</t>
  </si>
  <si>
    <t>PC43 SUBST MANGUEIRA E TERMINAL</t>
  </si>
  <si>
    <t>110419177</t>
  </si>
  <si>
    <t>PC50 SUBST MANGUEIRA TERMINAL</t>
  </si>
  <si>
    <t>110338090</t>
  </si>
  <si>
    <t>VF22 - MANUTENÇÃO ELETRICA NA PLANTA</t>
  </si>
  <si>
    <t>750-JPO-VF22-C001-R001</t>
  </si>
  <si>
    <t>110358685</t>
  </si>
  <si>
    <t>VF33 - MANUTENÇÃO ELETRICA GALHEIROS</t>
  </si>
  <si>
    <t>750-CVO-VF33-C001</t>
  </si>
  <si>
    <t>110291490</t>
  </si>
  <si>
    <t>VF18 - MANUTENÇÃO ELETRICA - CORREDOR</t>
  </si>
  <si>
    <t>110373928</t>
  </si>
  <si>
    <t>VF18 - MANUTENÇÃO ELETRICA CORREDOR</t>
  </si>
  <si>
    <t>110429564</t>
  </si>
  <si>
    <t>110355080</t>
  </si>
  <si>
    <t>QG03 TROCAR CACHOMBO DO IGNITOR</t>
  </si>
  <si>
    <t>750-UCC-0100-0030-0030-090-015</t>
  </si>
  <si>
    <t>110273927</t>
  </si>
  <si>
    <t>IF03B-SUBSTITUIR PLUGS DE TOMADAS</t>
  </si>
  <si>
    <t>110375202</t>
  </si>
  <si>
    <t>GP02 ADEQUAÇÃO BOMBA LIMPEZA</t>
  </si>
  <si>
    <t>110449404</t>
  </si>
  <si>
    <t>GP02 SUBSTITUIÇÃO CONEXÕES, MANGUEIRAS</t>
  </si>
  <si>
    <t>110411443</t>
  </si>
  <si>
    <t>TP34 - MANUTENÇÃO HIDRAULICO</t>
  </si>
  <si>
    <t>750-MEC-FTTP-TP34-0070</t>
  </si>
  <si>
    <t>110429342</t>
  </si>
  <si>
    <t>TP30 - TERMOSTATO</t>
  </si>
  <si>
    <t>750-MEC-FTTP-TP30-0060-010</t>
  </si>
  <si>
    <t>109879878</t>
  </si>
  <si>
    <t>TP30 MNT REV 07000H  TRATOR JD5080E</t>
  </si>
  <si>
    <t>110306484</t>
  </si>
  <si>
    <t>110372602</t>
  </si>
  <si>
    <t>TP31 - AT. DE MANUTENÇÃO EM EQUIPAMENTOS</t>
  </si>
  <si>
    <t>110377708</t>
  </si>
  <si>
    <t>TP26 - BORRACHA DA CABINE</t>
  </si>
  <si>
    <t>750-MEC-FTTP-TP26-0010</t>
  </si>
  <si>
    <t>110390929</t>
  </si>
  <si>
    <t>TP27 - CINTO DE SEGURANÇA</t>
  </si>
  <si>
    <t>750-MEC-FTTP-TP27-0010</t>
  </si>
  <si>
    <t>110413793</t>
  </si>
  <si>
    <t>TP29 - MANUTENÇÃO NA CAIXA</t>
  </si>
  <si>
    <t>750-MEC-FTTP-TP29-0020-015</t>
  </si>
  <si>
    <t>110431057</t>
  </si>
  <si>
    <t>TP29 - CILINDRO OPERADO A GÁS</t>
  </si>
  <si>
    <t>750-MEC-FTTP-TP29-0010</t>
  </si>
  <si>
    <t>110453630</t>
  </si>
  <si>
    <t>PC35 - MANUTENÇÃO NO SISTEMA ELETRICO</t>
  </si>
  <si>
    <t>750-MEC-FTPC-C035-0110-005</t>
  </si>
  <si>
    <t>110256899</t>
  </si>
  <si>
    <t>PC27 - GP LÂMPADA - BASI</t>
  </si>
  <si>
    <t>110256900</t>
  </si>
  <si>
    <t>PC30 - GP LÂMPADA - BASI</t>
  </si>
  <si>
    <t>110312737</t>
  </si>
  <si>
    <t>PC47 SUBST MANGUEIRA E TERMINAL</t>
  </si>
  <si>
    <t>110336855</t>
  </si>
  <si>
    <t>PC41 SUBST E REFOR PEÇAS DO BANCO</t>
  </si>
  <si>
    <t>110340730</t>
  </si>
  <si>
    <t>110356015</t>
  </si>
  <si>
    <t>PC35 - TANQUE HIDRÁULICO</t>
  </si>
  <si>
    <t>750-MEC-FTPC-C035-0070-010</t>
  </si>
  <si>
    <t>110373888</t>
  </si>
  <si>
    <t>PC31 SUBST MANGUEIRA E TERMINAL</t>
  </si>
  <si>
    <t>110375395</t>
  </si>
  <si>
    <t>PC44 - FAROL DIANTEIRO</t>
  </si>
  <si>
    <t>110390928</t>
  </si>
  <si>
    <t>TP35 - ASSENTO</t>
  </si>
  <si>
    <t>750-MEC-FTTP-TP35-0010</t>
  </si>
  <si>
    <t>110419176</t>
  </si>
  <si>
    <t>PC47 SUBST MANGUEIRA TERMINAL</t>
  </si>
  <si>
    <t>110419179</t>
  </si>
  <si>
    <t>IC31 SUBST MANGUEIRA TERMINAL</t>
  </si>
  <si>
    <t>750-MEC-FICB-IC31</t>
  </si>
  <si>
    <t>110429682</t>
  </si>
  <si>
    <t>PC52 SUBST TERMINAL</t>
  </si>
  <si>
    <t>110438561</t>
  </si>
  <si>
    <t>IG65 SUBST MANGUEIRA TERMINAL</t>
  </si>
  <si>
    <t>110448054</t>
  </si>
  <si>
    <t>PC35 SUBST MANGUEIRA TERMINAL</t>
  </si>
  <si>
    <t>110448055</t>
  </si>
  <si>
    <t>PC44 SUBST MANGUEIRA TERMINAL</t>
  </si>
  <si>
    <t>110450673</t>
  </si>
  <si>
    <t>PC49 SUBST  ENGATE</t>
  </si>
  <si>
    <t>110450674</t>
  </si>
  <si>
    <t>PC38 SUBST MANGUEIRA TERMINAL</t>
  </si>
  <si>
    <t>110346356</t>
  </si>
  <si>
    <t>AGR - GAL - INSERIDOS - AGOSTO</t>
  </si>
  <si>
    <t>110373169</t>
  </si>
  <si>
    <t>IMPLTO BARRELADOR REV MENSAL CORREDOR</t>
  </si>
  <si>
    <t>750-MEC-FBRF-BCOR</t>
  </si>
  <si>
    <t>110328438</t>
  </si>
  <si>
    <t>RC03 Troca junta do recuperador</t>
  </si>
  <si>
    <t>110303722</t>
  </si>
  <si>
    <t>Adequação de tubulações em bombas</t>
  </si>
  <si>
    <t>750-UCC-0100-0040-0040</t>
  </si>
  <si>
    <t>110349911</t>
  </si>
  <si>
    <t>ST04 Montar chave boia sistema captação</t>
  </si>
  <si>
    <t>Carvoaria Santa Cruz</t>
  </si>
  <si>
    <t>110330732</t>
  </si>
  <si>
    <t>MANUTENCAO DE ESTRADAS E ACEIROS</t>
  </si>
  <si>
    <t>750-CVO-VF16-C002</t>
  </si>
  <si>
    <t>110411455</t>
  </si>
  <si>
    <t>AGR - ITA - MATERIAIS SETUP - SETEMBRO</t>
  </si>
  <si>
    <t>4424010000</t>
  </si>
  <si>
    <t>Maq. Inst. e equip.</t>
  </si>
  <si>
    <t>Carv.Itapoã - FRS390</t>
  </si>
  <si>
    <t>110452173</t>
  </si>
  <si>
    <t>TRANSPORTE DE MATERIAIS DMT = OU &lt;03 KM</t>
  </si>
  <si>
    <t>750-CVO-VF15-C001-0020</t>
  </si>
  <si>
    <t>405539</t>
  </si>
  <si>
    <t>ALUMATEL CONSTRUCOES E TERRAPLENAGE</t>
  </si>
  <si>
    <t>110452171</t>
  </si>
  <si>
    <t>MOTONIVELADORA</t>
  </si>
  <si>
    <t>750-CVO-VF16-C002-0050</t>
  </si>
  <si>
    <t>110364454</t>
  </si>
  <si>
    <t>PC17 - AT. DE MANUTENÇÃO EM EQUIPAMENTOS</t>
  </si>
  <si>
    <t>110364455</t>
  </si>
  <si>
    <t>PC20 - AT. DE MANUTENÇÃO EM EQUIPAMENTOS</t>
  </si>
  <si>
    <t>110369279</t>
  </si>
  <si>
    <t>CR01 MANUT MACANICA GERAL</t>
  </si>
  <si>
    <t>110307865</t>
  </si>
  <si>
    <t>TP24 - AT. DE MANUTENÇÃO EM EQUIPAMENTOS</t>
  </si>
  <si>
    <t>110311568</t>
  </si>
  <si>
    <t>110372553</t>
  </si>
  <si>
    <t>TP22 - AT. DE MANUTENÇÃO EM EQUIPAMENTOS</t>
  </si>
  <si>
    <t>110372555</t>
  </si>
  <si>
    <t>TP23 - AT. DE MANUTENÇÃO EM EQUIPAMENTOS</t>
  </si>
  <si>
    <t>110372556</t>
  </si>
  <si>
    <t>110372559</t>
  </si>
  <si>
    <t>TP26 - AT. DE MANUTENÇÃO EM EQUIPAMENTOS</t>
  </si>
  <si>
    <t>110372601</t>
  </si>
  <si>
    <t>TP29 - AT. DE MANUTENÇÃO EM EQUIPAMENTOS</t>
  </si>
  <si>
    <t>110372603</t>
  </si>
  <si>
    <t xml:space="preserve"> TP32 - AT. DE MANUTENÇÃO EM EQUIPAMENTO</t>
  </si>
  <si>
    <t>110372605</t>
  </si>
  <si>
    <t>TP36 - AT. DE MANUTENÇÃO EM EQUIPAMENTOS</t>
  </si>
  <si>
    <t>110372607</t>
  </si>
  <si>
    <t>TP33 - AT. DE MANUTENÇÃO EM EQUIPAMENTOS</t>
  </si>
  <si>
    <t>110372608</t>
  </si>
  <si>
    <t>TP34 - AT. DE MANUTENÇÃO EM EQUIPAMENTOS</t>
  </si>
  <si>
    <t>110372611</t>
  </si>
  <si>
    <t xml:space="preserve"> TP30- AT. DE MANUTENÇÃO EM EQUIPAMENTOS</t>
  </si>
  <si>
    <t>110372612</t>
  </si>
  <si>
    <t>TP37 - AT. DE MANUTENÇÃO EM EQUIPAMENTOS</t>
  </si>
  <si>
    <t>110307788</t>
  </si>
  <si>
    <t>110307790</t>
  </si>
  <si>
    <t>PC29 - AT. DE MANUTENÇÃO EM EQUIPAMENTOS</t>
  </si>
  <si>
    <t>110307797</t>
  </si>
  <si>
    <t>PC35 - AT. DE MANUTENÇÃO EM EQUIPAMENTOS</t>
  </si>
  <si>
    <t>110307800</t>
  </si>
  <si>
    <t>PC39 - AT. DE MANUTENÇÃO EM EQUIPAMENTOS</t>
  </si>
  <si>
    <t>110307846</t>
  </si>
  <si>
    <t>PC43 - AT. DE MANUTENÇÃO EM EQUIPAMENTOS</t>
  </si>
  <si>
    <t>110307854</t>
  </si>
  <si>
    <t>PC48 - AT. DE MANUTENÇÃO EM EQUIPAMENTOS</t>
  </si>
  <si>
    <t>110307855</t>
  </si>
  <si>
    <t>PC49 - AT. DE MANUTENÇÃO EM EQUIPAMENTOS</t>
  </si>
  <si>
    <t>110364458</t>
  </si>
  <si>
    <t>PC28 - AT. DE MANUTENÇÃO EM EQUIPAMENTOS</t>
  </si>
  <si>
    <t>110364459</t>
  </si>
  <si>
    <t>110364502</t>
  </si>
  <si>
    <t>PC31 - AT. DE MANUTENÇÃO EM EQUIPAMENTOS</t>
  </si>
  <si>
    <t>110372456</t>
  </si>
  <si>
    <t>PC34 - AT. DE MANUTENÇÃO EM EQUIPAMENTOS</t>
  </si>
  <si>
    <t>110372457</t>
  </si>
  <si>
    <t>110372460</t>
  </si>
  <si>
    <t>PC38 - AT. DE MANUTENÇÃO EM EQUIPAMENTOS</t>
  </si>
  <si>
    <t>110372521</t>
  </si>
  <si>
    <t>110372522</t>
  </si>
  <si>
    <t>110372524</t>
  </si>
  <si>
    <t>110372526</t>
  </si>
  <si>
    <t>110372528</t>
  </si>
  <si>
    <t>PC44 - AT. DE MANUTENÇÃO EM EQUIPAMENTOS</t>
  </si>
  <si>
    <t>110372532</t>
  </si>
  <si>
    <t>PC47 - AT. DE MANUTENÇÃO EM EQUIPAMENTOS</t>
  </si>
  <si>
    <t>110372534</t>
  </si>
  <si>
    <t>110372537</t>
  </si>
  <si>
    <t>110372538</t>
  </si>
  <si>
    <t>PC50 - AT. DE MANUTENÇÃO EM EQUIPAMENTOS</t>
  </si>
  <si>
    <t>110372552</t>
  </si>
  <si>
    <t>PC52 - AT. DE MANUTENÇÃO EM EQUIPAMENTOS</t>
  </si>
  <si>
    <t>110434885</t>
  </si>
  <si>
    <t>CBVL - PC34</t>
  </si>
  <si>
    <t>110272537</t>
  </si>
  <si>
    <t>VF15 - MANUTENÇÃO EQUIPAMENTOS PLANTA</t>
  </si>
  <si>
    <t>110435000</t>
  </si>
  <si>
    <t>FR1271 - ITA - SOLDA NA ALÇA TRAVA PORTA</t>
  </si>
  <si>
    <t>110435063</t>
  </si>
  <si>
    <t>FR1279 - ITA - SOLDA NA ALÇA TRAVA PORTA</t>
  </si>
  <si>
    <t>110435066</t>
  </si>
  <si>
    <t>FR1279 - ITA - RET QUEIMA FUMAÇA CHAMINÉ</t>
  </si>
  <si>
    <t>110435068</t>
  </si>
  <si>
    <t>FR1272 - ITA - RET QUEIMA FUMAÇA CHAMINÉ</t>
  </si>
  <si>
    <t>110435069</t>
  </si>
  <si>
    <t>FR1273 - ITA - RET QUEIMA FUMAÇA CHAMINÉ</t>
  </si>
  <si>
    <t>110369502</t>
  </si>
  <si>
    <t>FR1263 - CAM - RETIRADA /INSTALAÇ 4 ABAS</t>
  </si>
  <si>
    <t>110413989</t>
  </si>
  <si>
    <t>FR1409 - CAM - RETIR/INST 4 ABAS PORTAS</t>
  </si>
  <si>
    <t>110417341</t>
  </si>
  <si>
    <t>VF22 REPARO PROTEÇÃO BETONEIRA C.ALEGRE</t>
  </si>
  <si>
    <t>Carvoaria Aldeia</t>
  </si>
  <si>
    <t>110413217</t>
  </si>
  <si>
    <t>IMPLTO BARRELADOR MNT PREVENT ALDEIA</t>
  </si>
  <si>
    <t>110429647</t>
  </si>
  <si>
    <t>VF40 -MANUTENÇÃO EQUIPAMENTOS PLANTA</t>
  </si>
  <si>
    <t>110346544</t>
  </si>
  <si>
    <t>VF33 - MANUTENÇÃO EQUIPAMENTOS PLANTA</t>
  </si>
  <si>
    <t>110416680</t>
  </si>
  <si>
    <t>VF23 - MANUTENÇÃO PENEIRA</t>
  </si>
  <si>
    <t>110409736</t>
  </si>
  <si>
    <t>AGR - EXT - INSERIDOS - OUTUBRO</t>
  </si>
  <si>
    <t>110369507</t>
  </si>
  <si>
    <t>FR1503 - COR - RETIRADA /INSTALAÇ 4 ABAS</t>
  </si>
  <si>
    <t>110414004</t>
  </si>
  <si>
    <t>FR1501 -COR- RETIR/INSTAL DE 4 ABAS</t>
  </si>
  <si>
    <t>110414005</t>
  </si>
  <si>
    <t>FR1513-COR-RETIR/INSTAL DE 4 ABAS 390</t>
  </si>
  <si>
    <t>110414006</t>
  </si>
  <si>
    <t>FR1505- COR- RETIR/INSTAL DE 4 ABAS</t>
  </si>
  <si>
    <t>110415219</t>
  </si>
  <si>
    <t>FR1500 - COR- RETIR/INST 4 ABAS PORTAS</t>
  </si>
  <si>
    <t>110307863</t>
  </si>
  <si>
    <t>VF18 - Confecção de carrinhos de barro</t>
  </si>
  <si>
    <t>110417352</t>
  </si>
  <si>
    <t>VF18 - Serviço de solda plataforma 04</t>
  </si>
  <si>
    <t>110417353</t>
  </si>
  <si>
    <t>INSTALAÇÃO DE TRAVA ESTRUTURA DA PENEIRA</t>
  </si>
  <si>
    <t>110417358</t>
  </si>
  <si>
    <t>SERVIÇO DE SOLDA BARRELADOR</t>
  </si>
  <si>
    <t>110417359</t>
  </si>
  <si>
    <t>INSTALAÇÃO DE TUBO NAS FERRAMENTAS</t>
  </si>
  <si>
    <t>110417355</t>
  </si>
  <si>
    <t>SERVIÇO DE SOLDA EM GURADA CORPO</t>
  </si>
  <si>
    <t>110417356</t>
  </si>
  <si>
    <t>SERVIÇO DE SOLDA MOSQUETÃO</t>
  </si>
  <si>
    <t>110417357</t>
  </si>
  <si>
    <t>SERVIÇO DE SOLDA BORBOLETA DO FORNO</t>
  </si>
  <si>
    <t>110423723</t>
  </si>
  <si>
    <t>FR1502 - COR - SOLDA NA ALÇA TRAVA PORTA</t>
  </si>
  <si>
    <t>110423730</t>
  </si>
  <si>
    <t>FR15121- COR - SOLDA NA ALÇA TRAVA PORT</t>
  </si>
  <si>
    <t>110423733</t>
  </si>
  <si>
    <t>FR1527 - COR - SOLDA NA ALÇA TRAVA PORT</t>
  </si>
  <si>
    <t>110393876</t>
  </si>
  <si>
    <t>VG01-Válvula gaveta travada</t>
  </si>
  <si>
    <t>110404731</t>
  </si>
  <si>
    <t>EP01-Mancal de cartucho travado</t>
  </si>
  <si>
    <t>110409866</t>
  </si>
  <si>
    <t>TR02-Tambor de acionamento eixo quebrado</t>
  </si>
  <si>
    <t>110433639</t>
  </si>
  <si>
    <t>RC02-Troca junta da coifa superior</t>
  </si>
  <si>
    <t>110433737</t>
  </si>
  <si>
    <t>TR03 - TRANSP CORREIA 03 DESARMANDO DISJ</t>
  </si>
  <si>
    <t>110438589</t>
  </si>
  <si>
    <t>VT03 - VALVULA DO TOPO TRAVADA</t>
  </si>
  <si>
    <t>110438659</t>
  </si>
  <si>
    <t>TR04 - TRANSP CORREIA 04</t>
  </si>
  <si>
    <t>110440546</t>
  </si>
  <si>
    <t>IL02 - FALHA NO MEDIDOR DE PRESSÃO TOPO</t>
  </si>
  <si>
    <t>110440768</t>
  </si>
  <si>
    <t>BS02 -BASCULADOR DO SKIP 02</t>
  </si>
  <si>
    <t>110440774</t>
  </si>
  <si>
    <t>IL02 - MEDIDOR DE VAZÃO CORIOLIS</t>
  </si>
  <si>
    <t>110441899</t>
  </si>
  <si>
    <t>EP02-Exaustor travado</t>
  </si>
  <si>
    <t>110441919</t>
  </si>
  <si>
    <t>RC02-Retrirar vazamento</t>
  </si>
  <si>
    <t>110441984</t>
  </si>
  <si>
    <t>TR03 - FALHA TRANSP CORREIA 03</t>
  </si>
  <si>
    <t>110449509</t>
  </si>
  <si>
    <t>IL01 - MEDIDOR DE VAZÃO DE GÁS F16-01</t>
  </si>
  <si>
    <t>110453498</t>
  </si>
  <si>
    <t>VL02 - FALHA VENTILADOR DILUIÇÃO 02</t>
  </si>
  <si>
    <t>110453505</t>
  </si>
  <si>
    <t>TR04 -FALHA TRANSP CORREIA 04</t>
  </si>
  <si>
    <t>110458235</t>
  </si>
  <si>
    <t>IL01 -MEDIDOR DE VAZÃO DE GÁS FIT-F16-01</t>
  </si>
  <si>
    <t>110458236</t>
  </si>
  <si>
    <t>IL01 - INSTRUMENT REATOR FCV-F16-04</t>
  </si>
  <si>
    <t>110460884</t>
  </si>
  <si>
    <t>WS03 - BALANÇA DO SKIP 02</t>
  </si>
  <si>
    <t>110462243</t>
  </si>
  <si>
    <t>IL01 - CALIBRAÇÃO DA FIT-F16 REATOR 01</t>
  </si>
  <si>
    <t>110462246</t>
  </si>
  <si>
    <t>IL01 - AVALIAR VÁLVULA FCV-F16-03</t>
  </si>
  <si>
    <t>110463448</t>
  </si>
  <si>
    <t>EP02-Rolamento danificado</t>
  </si>
  <si>
    <t>110333053</t>
  </si>
  <si>
    <t>ST04 - INSTALAR BOIA DE NÍVEL</t>
  </si>
  <si>
    <t>110346641</t>
  </si>
  <si>
    <t>GGQ02- Inspeção da lança piloto</t>
  </si>
  <si>
    <t>110373843</t>
  </si>
  <si>
    <t>UH01- Instalar combate a incêndio</t>
  </si>
  <si>
    <t>110393880</t>
  </si>
  <si>
    <t>VA01R-Desinstalação para inspeção</t>
  </si>
  <si>
    <t>110394021</t>
  </si>
  <si>
    <t>VA01L-Desinstalação para inspeção</t>
  </si>
  <si>
    <t>110398968</t>
  </si>
  <si>
    <t>ELT01 - PRENSAR TERMINAIS</t>
  </si>
  <si>
    <t>110406409</t>
  </si>
  <si>
    <t>ELT01 -LIGAR  BOMBA DE PRESSÃO</t>
  </si>
  <si>
    <t>110406412</t>
  </si>
  <si>
    <t>ELT01 - MANUTENÇÃO MAQUINA DE SOLDA</t>
  </si>
  <si>
    <t>110424836</t>
  </si>
  <si>
    <t>SR02-Instalar cortina de borracha</t>
  </si>
  <si>
    <t>110441891</t>
  </si>
  <si>
    <t>PAT05-Instalação de Válvula</t>
  </si>
  <si>
    <t>110441906</t>
  </si>
  <si>
    <t>TC03-Abrir e fechar para limpeza</t>
  </si>
  <si>
    <t>110441964</t>
  </si>
  <si>
    <t>TC02-Retrirar vazamento</t>
  </si>
  <si>
    <t>110441972</t>
  </si>
  <si>
    <t>TC01-Abrir e fechar para limpeza</t>
  </si>
  <si>
    <t>110443140</t>
  </si>
  <si>
    <t>SN01 -  SENSOR INDICADOR DE POSIÇÃO</t>
  </si>
  <si>
    <t>110460888</t>
  </si>
  <si>
    <t>ELT01 - REPARO ILUMINAÇÃO DO PRÉDIO</t>
  </si>
  <si>
    <t>110462196</t>
  </si>
  <si>
    <t>IF03A -MANUTENÇÃO EM TOMADAS DE SERVIÇO</t>
  </si>
  <si>
    <t>110333681</t>
  </si>
  <si>
    <t>IMPLTO BARRELADOR REV MENSAL STA CRUZ</t>
  </si>
  <si>
    <t>110413212</t>
  </si>
  <si>
    <t>110346588</t>
  </si>
  <si>
    <t>VF16 - MANUTENÇÃO EQUIPAMENTOS PLANTA</t>
  </si>
  <si>
    <t>110429643</t>
  </si>
  <si>
    <t>VF16 -MANUTENÇÃO EQUIPAMENTOS PLANTA</t>
  </si>
  <si>
    <t>110413211</t>
  </si>
  <si>
    <t>IMPLTO BARRELADOR REV MENSAL ITAPOÃ</t>
  </si>
  <si>
    <t>110375328</t>
  </si>
  <si>
    <t>AGR - ITA - INSERIDOS - SETEMBRO</t>
  </si>
  <si>
    <t>110438803</t>
  </si>
  <si>
    <t>FR441 - ITA - MANUT FECHADURA PORTA</t>
  </si>
  <si>
    <t>110438804</t>
  </si>
  <si>
    <t>FR464 - ITA - MANUT FECHADURA PORTA</t>
  </si>
  <si>
    <t>110266778</t>
  </si>
  <si>
    <t>CENTRAL DE BETONEIRA</t>
  </si>
  <si>
    <t>110019277</t>
  </si>
  <si>
    <t>VF13 CONFECCÇÃO DE CARRINHO DE VEDAÇÃO</t>
  </si>
  <si>
    <t>110357601</t>
  </si>
  <si>
    <t>PEV01 APLICAR ÓLEO NO LUBRIFIL PNEUMAT</t>
  </si>
  <si>
    <t>750-UCC-0100-0030-0010-150</t>
  </si>
  <si>
    <t>4323010001</t>
  </si>
  <si>
    <t>Leasing-Conser.Cons.</t>
  </si>
  <si>
    <t>109865843</t>
  </si>
  <si>
    <t>S.ESTAÇÃO PRINC 138KV - GERADOR CONT</t>
  </si>
  <si>
    <t>750-UCC-0100-0065-0010</t>
  </si>
  <si>
    <t>110417319</t>
  </si>
  <si>
    <t>TP23 REFORMAR PNEUS 12.4X24</t>
  </si>
  <si>
    <t>110192901</t>
  </si>
  <si>
    <t>110192917</t>
  </si>
  <si>
    <t>110306449</t>
  </si>
  <si>
    <t>110307789</t>
  </si>
  <si>
    <t>217358</t>
  </si>
  <si>
    <t>TORNEADORA PINHEIRENSE LTDA - ME</t>
  </si>
  <si>
    <t>110307847</t>
  </si>
  <si>
    <t>110307852</t>
  </si>
  <si>
    <t>110338330</t>
  </si>
  <si>
    <t>IG33 - TROCA DO CILLINDRO DA GARRA</t>
  </si>
  <si>
    <t>750-MEC-FICB-IG33</t>
  </si>
  <si>
    <t>600604</t>
  </si>
  <si>
    <t>RICARDO FRANCISCO DE OLIVEIRA</t>
  </si>
  <si>
    <t>110368089</t>
  </si>
  <si>
    <t>110404843</t>
  </si>
  <si>
    <t>PC35 SUBST MANGUEIRA E TERMINAL</t>
  </si>
  <si>
    <t>110409612</t>
  </si>
  <si>
    <t>PC31 REFORMAR PNEUS CARRG MED 17.5R25</t>
  </si>
  <si>
    <t>110434780</t>
  </si>
  <si>
    <t>IC41 SERVIÇO REFORMA GARRA</t>
  </si>
  <si>
    <t>750-MEC-FICB-IC41</t>
  </si>
  <si>
    <t>110434841</t>
  </si>
  <si>
    <t>IC39 SERVIÇO REFORMA GARRA</t>
  </si>
  <si>
    <t>750-MEC-FICB-IC39</t>
  </si>
  <si>
    <t>110346546</t>
  </si>
  <si>
    <t>110346353</t>
  </si>
  <si>
    <t>AGR - CAM - INSERIDOS - AGOSTO</t>
  </si>
  <si>
    <t>110368123</t>
  </si>
  <si>
    <t xml:space="preserve"> AGR - CAM - TRANSPORTE - SETEMBRO</t>
  </si>
  <si>
    <t>110409668</t>
  </si>
  <si>
    <t xml:space="preserve"> AGR - CAM - TRANSP MATERIAIS - OUTUBRO</t>
  </si>
  <si>
    <t>110333684</t>
  </si>
  <si>
    <t>IMPLTO BARRELADOR REV MENSAL CAMP ALEGRE</t>
  </si>
  <si>
    <t>750-MEC-FBRF-BCAL</t>
  </si>
  <si>
    <t>110346478</t>
  </si>
  <si>
    <t>VF22- MANUTENÇÃO EQUIPAMENTOS PLANTA</t>
  </si>
  <si>
    <t>110292405</t>
  </si>
  <si>
    <t>110333686</t>
  </si>
  <si>
    <t>110368126</t>
  </si>
  <si>
    <t xml:space="preserve"> AGR - GAL - TRANSPORTE - SETEMBRO</t>
  </si>
  <si>
    <t>CA01</t>
  </si>
  <si>
    <t>110300081</t>
  </si>
  <si>
    <t>B.RD06 GAL CALIBRAR BALANC ROD. PROC</t>
  </si>
  <si>
    <t>750-CVO-VF33-C001-B001</t>
  </si>
  <si>
    <t>110329588</t>
  </si>
  <si>
    <t>VF33 - CONFECÇÃO CALHA ESCOAMENTO</t>
  </si>
  <si>
    <t>110329590</t>
  </si>
  <si>
    <t>VF33 -CONFECCÃO PONTO APOIO BARRELADOR</t>
  </si>
  <si>
    <t>110333685</t>
  </si>
  <si>
    <t>IMPLTO BARRELADOR MNT PREVENT GALHEIROS</t>
  </si>
  <si>
    <t>750-MEC-FBRF-BGAL</t>
  </si>
  <si>
    <t>110346354</t>
  </si>
  <si>
    <t>AGR - COR - INSERIDOS - AGOSTO</t>
  </si>
  <si>
    <t>110368125</t>
  </si>
  <si>
    <t xml:space="preserve"> AGR - COR - TRANSPORTE - SETEMBRO</t>
  </si>
  <si>
    <t>110409670</t>
  </si>
  <si>
    <t xml:space="preserve"> AGR - COR - TRANSP MATERIAIS - OUTUBRO</t>
  </si>
  <si>
    <t>110441820</t>
  </si>
  <si>
    <t>B.RD05 CRD Reparar modulo incad peso</t>
  </si>
  <si>
    <t>750-MOC-VF18-C001-B001</t>
  </si>
  <si>
    <t>110346479</t>
  </si>
  <si>
    <t>VF18- MANUTENÇÃO EQUIPAMENTOS PLANTA</t>
  </si>
  <si>
    <t>750-MOC-VF18-C001-0050</t>
  </si>
  <si>
    <t>110375333</t>
  </si>
  <si>
    <t>AGR - COR - INSERIDOS - SETEMBRO</t>
  </si>
  <si>
    <t>203098</t>
  </si>
  <si>
    <t>GERAFORCA LOCACAO E COMERCIO DE EQU</t>
  </si>
  <si>
    <t>110329617</t>
  </si>
  <si>
    <t>FC02 REATOR CARBOVAL. CUSTEAR TRANSP INT</t>
  </si>
  <si>
    <t>750-UCC-0100-0030-0020</t>
  </si>
  <si>
    <t>110402577</t>
  </si>
  <si>
    <t>SET - STA - MATEIAIS SETUP</t>
  </si>
  <si>
    <t>750-CVO-VF16-C002-FR39</t>
  </si>
  <si>
    <t>110346587</t>
  </si>
  <si>
    <t>VF13 - MANUTENÇÃO EQUIPAMENTOS PLANTA</t>
  </si>
  <si>
    <t>750-CVO-VF13-C001-0050</t>
  </si>
  <si>
    <t>110375330</t>
  </si>
  <si>
    <t>AGR - PIN - INSERIDOS - SETEMBRO</t>
  </si>
  <si>
    <t>D.Gerais Corredor</t>
  </si>
  <si>
    <t>110441714</t>
  </si>
  <si>
    <t>VF18 - Manutenção em canaleta</t>
  </si>
  <si>
    <t>750-MOC-VF18-I001-0005</t>
  </si>
  <si>
    <t>D.Gerais Extrema</t>
  </si>
  <si>
    <t>110431010</t>
  </si>
  <si>
    <t>VF23 - Poço artesiano (Manutenção)</t>
  </si>
  <si>
    <t>750-MOC-VF23-I001-A002</t>
  </si>
  <si>
    <t>464644</t>
  </si>
  <si>
    <t>B &amp; E COMERCIO E SERVICOS EIRELI</t>
  </si>
  <si>
    <t>D.Gerais Pindaíbas</t>
  </si>
  <si>
    <t>110432607</t>
  </si>
  <si>
    <t>VF13 - Manutenções poço artesiano</t>
  </si>
  <si>
    <t>750-CVO-VF13-I001-A002</t>
  </si>
  <si>
    <t>D.Gerais Itapoã</t>
  </si>
  <si>
    <t>110355181</t>
  </si>
  <si>
    <t>VF15 - Cosntrução de cercamento oficina</t>
  </si>
  <si>
    <t>750-CVO-VF15-I001-I001-OF1</t>
  </si>
  <si>
    <t>110266817</t>
  </si>
  <si>
    <t>VF15 - MANUTENÇÃO ELETRICA - ITAPOÃ</t>
  </si>
  <si>
    <t>750-CVO-VF15-I001-I001-S01</t>
  </si>
  <si>
    <t>D.Gerais Canabrava</t>
  </si>
  <si>
    <t>110266804</t>
  </si>
  <si>
    <t>750-PBA-UPCV-ED01-0005</t>
  </si>
  <si>
    <t>110430864</t>
  </si>
  <si>
    <t>VF23 - Manutenções</t>
  </si>
  <si>
    <t>750-MOC-VF23-I001-I001</t>
  </si>
  <si>
    <t>Unidade Preparação</t>
  </si>
  <si>
    <t>110376309</t>
  </si>
  <si>
    <t>VF12 - Estação de tratamento de água</t>
  </si>
  <si>
    <t>750-PBA-UPCV-ED01-SI05</t>
  </si>
  <si>
    <t>D.Gerais Pé do Morro</t>
  </si>
  <si>
    <t>VF28</t>
  </si>
  <si>
    <t>110225519</t>
  </si>
  <si>
    <t>VF28 PMO - REPARAR PONTE ACESSO</t>
  </si>
  <si>
    <t>750-MOC-VF28-I001-E004</t>
  </si>
  <si>
    <t>110431013</t>
  </si>
  <si>
    <t>MANUTENÇÃO DE ESTRADAS,ACEIROS E CAMALHÕ</t>
  </si>
  <si>
    <t>750-MOC-VF18-I001-E003</t>
  </si>
  <si>
    <t>D.Gerais Diamante</t>
  </si>
  <si>
    <t>110431014</t>
  </si>
  <si>
    <t>MANUTENÇÃO DE ESTRADAS ACEIROS E CAMALHÕ</t>
  </si>
  <si>
    <t>750-CVO-VF17-I001-E003</t>
  </si>
  <si>
    <t>110452120</t>
  </si>
  <si>
    <t>750-JPO-VF22-I001-E003</t>
  </si>
  <si>
    <t>405372</t>
  </si>
  <si>
    <t>NORTE MINEIRA TRANSPORTES LTDA</t>
  </si>
  <si>
    <t>110451978</t>
  </si>
  <si>
    <t>750-MOC-VF28-I001-E003</t>
  </si>
  <si>
    <t>110451960</t>
  </si>
  <si>
    <t>750-MOC-VF23-I001-E003</t>
  </si>
  <si>
    <t>110451952</t>
  </si>
  <si>
    <t>MOBILIZACAO DE MAQUINAS</t>
  </si>
  <si>
    <t>750-CVO-VF13-I001-E003</t>
  </si>
  <si>
    <t>D.Gerais Santa Cruz</t>
  </si>
  <si>
    <t>110255941</t>
  </si>
  <si>
    <t>VF16 SCZ - INSTALAR VERTEDOURO CAP ÁGUA</t>
  </si>
  <si>
    <t>750-CVO-VF16-I001-A001</t>
  </si>
  <si>
    <t>110452166</t>
  </si>
  <si>
    <t>750-CVO-VF16-I001-E003</t>
  </si>
  <si>
    <t>110452168</t>
  </si>
  <si>
    <t>Laborat.de qualidade</t>
  </si>
  <si>
    <t>110430971</t>
  </si>
  <si>
    <t>CBVL - MANUT. PREV. EQUIP. LABORATÓRIO</t>
  </si>
  <si>
    <t>110448137</t>
  </si>
  <si>
    <t>109174698</t>
  </si>
  <si>
    <t>SPDA TRIENAL - FAZ PINDAÍBAS</t>
  </si>
  <si>
    <t>110429385</t>
  </si>
  <si>
    <t>CBVL - PREV. CIRC ILUMINAÇÃO/ TOMADA UPC</t>
  </si>
  <si>
    <t>110440395</t>
  </si>
  <si>
    <t>110430932</t>
  </si>
  <si>
    <t>CBVL -PREV. SIST COMBATE INCÊNDIO CANAB.</t>
  </si>
  <si>
    <t>110440399</t>
  </si>
  <si>
    <t>110441999</t>
  </si>
  <si>
    <t>IF07 - BANHEIRO MASCULINO ESC.</t>
  </si>
  <si>
    <t>110411975</t>
  </si>
  <si>
    <t>CBVL - TESTE MENSAL NO SPCI</t>
  </si>
  <si>
    <t>4848010000</t>
  </si>
  <si>
    <t>Contrib. Entid. clas</t>
  </si>
  <si>
    <t>110234236</t>
  </si>
  <si>
    <t>VF15 ITA - INSTALAR VERTEDOURO CAP ÁGUA</t>
  </si>
  <si>
    <t>750-CVO-VF15-I001-A001</t>
  </si>
  <si>
    <t>110356076</t>
  </si>
  <si>
    <t>LCQ LAB REPARA BALANÇAS ID200</t>
  </si>
  <si>
    <t>750-PBA-LPCV-0015-0035</t>
  </si>
  <si>
    <t>110430816</t>
  </si>
  <si>
    <t>VF13 - Manutenções prediais</t>
  </si>
  <si>
    <t>750-CVO-VF13-I001-I001-S04-100</t>
  </si>
  <si>
    <t>D.Gerais Galheiros</t>
  </si>
  <si>
    <t>110385472</t>
  </si>
  <si>
    <t>VF33 - Adequação - AVCB</t>
  </si>
  <si>
    <t>750-CVO-VF33-I001-I001</t>
  </si>
  <si>
    <t>407381</t>
  </si>
  <si>
    <t>INFRALINK SERVICOS DE INFRA-ESTRUTU</t>
  </si>
  <si>
    <t>110430866</t>
  </si>
  <si>
    <t>VF33 - Manutenções infra</t>
  </si>
  <si>
    <t>750-CVO-VF33-I001-I001-S01-100</t>
  </si>
  <si>
    <t>110430820</t>
  </si>
  <si>
    <t>VF40 - Manutenções prediais (Aldeia)</t>
  </si>
  <si>
    <t>750-CVO-VF40-I001-I001</t>
  </si>
  <si>
    <t>110430818</t>
  </si>
  <si>
    <t>VF12 - Manutenções prediais - Canabrava</t>
  </si>
  <si>
    <t>750-PBA-UPCV-ED01-SI13-C01</t>
  </si>
  <si>
    <t>110373930</t>
  </si>
  <si>
    <t>110429569</t>
  </si>
  <si>
    <t>110074307</t>
  </si>
  <si>
    <t>CORTE DA ESTRUTURA DO ANTIGO VIVEIRO NO</t>
  </si>
  <si>
    <t>600951</t>
  </si>
  <si>
    <t>IRMAOS SILVA FORRO PVC E DIVISORIAS</t>
  </si>
  <si>
    <t>110436989</t>
  </si>
  <si>
    <t>VF43 - Melhoria - Faixa de pedestre</t>
  </si>
  <si>
    <t>600938</t>
  </si>
  <si>
    <t>CITYMIX CONCRETO LTDA</t>
  </si>
  <si>
    <t>110373931</t>
  </si>
  <si>
    <t>VF43 - MANUTENÇÃO ELETRICA MATRIZ</t>
  </si>
  <si>
    <t>750-CVO-VF43-I001</t>
  </si>
  <si>
    <t>110432258</t>
  </si>
  <si>
    <t>VF43 - Reposição da porta (Portaria)</t>
  </si>
  <si>
    <t>750-CVO-VF43-ED01-SI01-C09-110</t>
  </si>
  <si>
    <t>110253614</t>
  </si>
  <si>
    <t>Locação de equipamento para limpeza das</t>
  </si>
  <si>
    <t>750-CVO-VF43-ED01-SI01</t>
  </si>
  <si>
    <t>110347585</t>
  </si>
  <si>
    <t>VF43 - Banheiro conjugado com refeitório</t>
  </si>
  <si>
    <t>750-CVO-VF43-ED01-SI01-C06-130</t>
  </si>
  <si>
    <t>110387865</t>
  </si>
  <si>
    <t>VF43 - Manutenção (aquário)</t>
  </si>
  <si>
    <t>750-CVO-VF43-ED01-SI01-C02-110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</si>
</sst>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8"/>
      <color rgb="FF00000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/>
    </xf>
    <xf numFmtId="49" fontId="20" fillId="33" borderId="0" xfId="0" applyNumberFormat="1" applyFont="1" applyFill="1" applyAlignment="1">
      <alignment horizontal="center" vertical="center" wrapText="1"/>
    </xf>
    <xf numFmtId="49" fontId="20" fillId="34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17" fontId="20" fillId="33" borderId="0" xfId="0" applyNumberFormat="1" applyFont="1" applyFill="1" applyAlignment="1">
      <alignment horizontal="center" vertical="center" wrapText="1"/>
    </xf>
    <xf numFmtId="0" fontId="0" fillId="0" borderId="0" xfId="0" applyFill="1"/>
  </cellXfs>
  <cellStyles count="64">
    <cellStyle name="20% - Ênfase1" xfId="19" builtinId="30" customBuiltin="1"/>
    <cellStyle name="20% - Ênfase1 2" xfId="46" xr:uid="{00000000-0005-0000-0000-000001000000}"/>
    <cellStyle name="20% - Ênfase2" xfId="23" builtinId="34" customBuiltin="1"/>
    <cellStyle name="20% - Ênfase2 2" xfId="49" xr:uid="{00000000-0005-0000-0000-000003000000}"/>
    <cellStyle name="20% - Ênfase3" xfId="27" builtinId="38" customBuiltin="1"/>
    <cellStyle name="20% - Ênfase3 2" xfId="52" xr:uid="{00000000-0005-0000-0000-000005000000}"/>
    <cellStyle name="20% - Ênfase4" xfId="31" builtinId="42" customBuiltin="1"/>
    <cellStyle name="20% - Ênfase4 2" xfId="55" xr:uid="{00000000-0005-0000-0000-000007000000}"/>
    <cellStyle name="20% - Ênfase5" xfId="35" builtinId="46" customBuiltin="1"/>
    <cellStyle name="20% - Ênfase5 2" xfId="58" xr:uid="{00000000-0005-0000-0000-000009000000}"/>
    <cellStyle name="20% - Ênfase6" xfId="39" builtinId="50" customBuiltin="1"/>
    <cellStyle name="20% - Ênfase6 2" xfId="61" xr:uid="{00000000-0005-0000-0000-00000B000000}"/>
    <cellStyle name="40% - Ênfase1" xfId="20" builtinId="31" customBuiltin="1"/>
    <cellStyle name="40% - Ênfase1 2" xfId="47" xr:uid="{00000000-0005-0000-0000-00000D000000}"/>
    <cellStyle name="40% - Ênfase2" xfId="24" builtinId="35" customBuiltin="1"/>
    <cellStyle name="40% - Ênfase2 2" xfId="50" xr:uid="{00000000-0005-0000-0000-00000F000000}"/>
    <cellStyle name="40% - Ênfase3" xfId="28" builtinId="39" customBuiltin="1"/>
    <cellStyle name="40% - Ênfase3 2" xfId="53" xr:uid="{00000000-0005-0000-0000-000011000000}"/>
    <cellStyle name="40% - Ênfase4" xfId="32" builtinId="43" customBuiltin="1"/>
    <cellStyle name="40% - Ênfase4 2" xfId="56" xr:uid="{00000000-0005-0000-0000-000013000000}"/>
    <cellStyle name="40% - Ênfase5" xfId="36" builtinId="47" customBuiltin="1"/>
    <cellStyle name="40% - Ênfase5 2" xfId="59" xr:uid="{00000000-0005-0000-0000-000015000000}"/>
    <cellStyle name="40% - Ênfase6" xfId="40" builtinId="51" customBuiltin="1"/>
    <cellStyle name="40% - Ênfase6 2" xfId="62" xr:uid="{00000000-0005-0000-0000-000017000000}"/>
    <cellStyle name="60% - Ênfase1" xfId="21" builtinId="32" customBuiltin="1"/>
    <cellStyle name="60% - Ênfase1 2" xfId="48" xr:uid="{00000000-0005-0000-0000-000019000000}"/>
    <cellStyle name="60% - Ênfase2" xfId="25" builtinId="36" customBuiltin="1"/>
    <cellStyle name="60% - Ênfase2 2" xfId="51" xr:uid="{00000000-0005-0000-0000-00001B000000}"/>
    <cellStyle name="60% - Ênfase3" xfId="29" builtinId="40" customBuiltin="1"/>
    <cellStyle name="60% - Ênfase3 2" xfId="54" xr:uid="{00000000-0005-0000-0000-00001D000000}"/>
    <cellStyle name="60% - Ênfase4" xfId="33" builtinId="44" customBuiltin="1"/>
    <cellStyle name="60% - Ênfase4 2" xfId="57" xr:uid="{00000000-0005-0000-0000-00001F000000}"/>
    <cellStyle name="60% - Ênfase5" xfId="37" builtinId="48" customBuiltin="1"/>
    <cellStyle name="60% - Ênfase5 2" xfId="60" xr:uid="{00000000-0005-0000-0000-000021000000}"/>
    <cellStyle name="60% - Ênfase6" xfId="41" builtinId="52" customBuiltin="1"/>
    <cellStyle name="60% - Ênfase6 2" xfId="63" xr:uid="{00000000-0005-0000-0000-000023000000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a 2" xfId="44" xr:uid="{00000000-0005-0000-0000-000032000000}"/>
    <cellStyle name="Neutro" xfId="8" builtinId="28" customBuiltin="1"/>
    <cellStyle name="Normal" xfId="0" builtinId="0"/>
    <cellStyle name="Normal 2" xfId="42" xr:uid="{00000000-0005-0000-0000-000034000000}"/>
    <cellStyle name="Nota" xfId="15" builtinId="10" customBuiltin="1"/>
    <cellStyle name="Nota 2" xfId="45" xr:uid="{00000000-0005-0000-0000-000036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3" xr:uid="{00000000-0005-0000-0000-00003F000000}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fael.Brandao\Downloads\Pr&#233;via%20PIAM%20-%2031_10.xlsx" TargetMode="External"/><Relationship Id="rId1" Type="http://schemas.openxmlformats.org/officeDocument/2006/relationships/externalLinkPath" Target="file:///C:\Users\Rafael.Brandao\Downloads\Pr&#233;via%20PIAM%20-%2031_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VIA PIAM"/>
      <sheetName val="BD"/>
      <sheetName val="Info"/>
    </sheetNames>
    <sheetDataSet>
      <sheetData sheetId="0"/>
      <sheetData sheetId="1"/>
      <sheetData sheetId="2">
        <row r="1">
          <cell r="A1" t="str">
            <v>F10</v>
          </cell>
          <cell r="B1" t="str">
            <v>Carboval</v>
          </cell>
        </row>
        <row r="2">
          <cell r="A2" t="str">
            <v>F20</v>
          </cell>
          <cell r="B2" t="str">
            <v>Infra - prédios</v>
          </cell>
          <cell r="E2">
            <v>7090170</v>
          </cell>
          <cell r="F2" t="str">
            <v>Carboval Canabrava</v>
          </cell>
        </row>
        <row r="3">
          <cell r="A3" t="str">
            <v>FPC</v>
          </cell>
          <cell r="B3" t="str">
            <v>Carregadeira</v>
          </cell>
          <cell r="E3">
            <v>7091770</v>
          </cell>
          <cell r="F3" t="str">
            <v>Carboval Diamante</v>
          </cell>
        </row>
        <row r="4">
          <cell r="A4" t="str">
            <v>FGP</v>
          </cell>
          <cell r="B4" t="str">
            <v>Garra Picadora</v>
          </cell>
          <cell r="E4">
            <v>7098131</v>
          </cell>
          <cell r="F4" t="str">
            <v>Carregadeira Plantas</v>
          </cell>
        </row>
        <row r="5">
          <cell r="A5" t="str">
            <v>F30</v>
          </cell>
          <cell r="B5" t="str">
            <v>Fornos / Carbonização (Setup)</v>
          </cell>
          <cell r="E5">
            <v>7098135</v>
          </cell>
          <cell r="F5" t="str">
            <v>Carregadeira Canabrava</v>
          </cell>
        </row>
        <row r="6">
          <cell r="A6" t="str">
            <v>F40</v>
          </cell>
          <cell r="B6" t="str">
            <v>Equipamentos Carbonização</v>
          </cell>
          <cell r="E6">
            <v>7090505</v>
          </cell>
          <cell r="F6" t="str">
            <v>Vias</v>
          </cell>
        </row>
        <row r="7">
          <cell r="A7" t="str">
            <v>F60</v>
          </cell>
          <cell r="B7" t="str">
            <v>Fornos Retangulares - Engenharia e Obras</v>
          </cell>
          <cell r="E7">
            <v>7090170</v>
          </cell>
          <cell r="F7" t="str">
            <v>Carregadeira Canabrava</v>
          </cell>
        </row>
        <row r="8">
          <cell r="A8" t="str">
            <v>F61</v>
          </cell>
          <cell r="B8" t="str">
            <v>Pátio</v>
          </cell>
          <cell r="E8">
            <v>7098134</v>
          </cell>
          <cell r="F8" t="str">
            <v>Carregadeira Diamante</v>
          </cell>
        </row>
        <row r="9">
          <cell r="A9" t="str">
            <v>FCB</v>
          </cell>
          <cell r="B9" t="str">
            <v>Caminhão Barrelador</v>
          </cell>
          <cell r="E9">
            <v>7098525</v>
          </cell>
          <cell r="F9" t="str">
            <v>Garra Picadora Canabrava</v>
          </cell>
        </row>
        <row r="10">
          <cell r="A10" t="str">
            <v>FCC</v>
          </cell>
          <cell r="B10" t="str">
            <v>Comboio e Oficina</v>
          </cell>
          <cell r="E10">
            <v>7098527</v>
          </cell>
          <cell r="F10" t="str">
            <v>Garra Picadora Diamante</v>
          </cell>
        </row>
        <row r="11">
          <cell r="A11" t="str">
            <v>FCP</v>
          </cell>
          <cell r="B11" t="str">
            <v>Caminhão Pipa</v>
          </cell>
          <cell r="E11">
            <v>7098520</v>
          </cell>
          <cell r="F11" t="str">
            <v>Garra Traçadora</v>
          </cell>
        </row>
        <row r="12">
          <cell r="A12" t="str">
            <v>FFB</v>
          </cell>
          <cell r="B12" t="str">
            <v>Feller</v>
          </cell>
        </row>
        <row r="13">
          <cell r="A13" t="str">
            <v>GAR</v>
          </cell>
          <cell r="B13" t="str">
            <v>Garra Traçadora</v>
          </cell>
        </row>
        <row r="14">
          <cell r="A14" t="str">
            <v>FGT</v>
          </cell>
          <cell r="B14" t="str">
            <v>Garra Traçadora</v>
          </cell>
        </row>
        <row r="15">
          <cell r="A15" t="str">
            <v>FPH</v>
          </cell>
          <cell r="B15" t="str">
            <v>Carreta Prancha</v>
          </cell>
        </row>
        <row r="16">
          <cell r="A16" t="str">
            <v>FSK</v>
          </cell>
          <cell r="B16" t="str">
            <v>Skidder</v>
          </cell>
        </row>
        <row r="17">
          <cell r="A17" t="str">
            <v>FTP</v>
          </cell>
          <cell r="B17" t="str">
            <v>Trator Pneu</v>
          </cell>
        </row>
        <row r="18">
          <cell r="A18" t="str">
            <v>FPM</v>
          </cell>
          <cell r="B18" t="str">
            <v>COMB</v>
          </cell>
        </row>
        <row r="19">
          <cell r="A19" t="str">
            <v>FCC</v>
          </cell>
          <cell r="B19" t="str">
            <v>COMB</v>
          </cell>
        </row>
        <row r="20">
          <cell r="A20" t="str">
            <v>PP1</v>
          </cell>
          <cell r="B20" t="str">
            <v>Vias</v>
          </cell>
        </row>
        <row r="21">
          <cell r="A21" t="str">
            <v>F50</v>
          </cell>
          <cell r="B21" t="str">
            <v>Energia e Utilidades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88"/>
  <sheetViews>
    <sheetView showGridLines="0" tabSelected="1" topLeftCell="E1" workbookViewId="0">
      <pane ySplit="1" topLeftCell="A3" activePane="bottomLeft" state="frozen"/>
      <selection activeCell="N1" sqref="N1"/>
      <selection pane="bottomLeft" activeCell="Q10" sqref="Q10"/>
    </sheetView>
  </sheetViews>
  <sheetFormatPr defaultRowHeight="14.5" x14ac:dyDescent="0.35"/>
  <cols>
    <col min="1" max="1" width="10.7265625" customWidth="1"/>
    <col min="2" max="2" width="13" customWidth="1"/>
    <col min="3" max="3" width="9.453125" customWidth="1"/>
    <col min="4" max="4" width="13.453125" customWidth="1"/>
    <col min="5" max="5" width="20.453125" customWidth="1"/>
    <col min="6" max="6" width="8" customWidth="1"/>
    <col min="7" max="7" width="21.54296875" bestFit="1" customWidth="1"/>
    <col min="8" max="8" width="5.7265625" customWidth="1"/>
    <col min="9" max="9" width="22" customWidth="1"/>
    <col min="10" max="10" width="5.54296875" customWidth="1"/>
    <col min="11" max="11" width="14.453125" customWidth="1"/>
    <col min="12" max="12" width="18" customWidth="1"/>
    <col min="13" max="13" width="11" customWidth="1"/>
    <col min="14" max="14" width="42.26953125" bestFit="1" customWidth="1"/>
    <col min="15" max="16" width="31.1796875" customWidth="1"/>
    <col min="17" max="17" width="15.7265625" customWidth="1"/>
    <col min="18" max="18" width="43.54296875" customWidth="1"/>
    <col min="19" max="19" width="9" customWidth="1"/>
    <col min="20" max="20" width="34.26953125" customWidth="1"/>
    <col min="21" max="21" width="14.81640625" style="4" customWidth="1"/>
    <col min="22" max="22" width="12.54296875" customWidth="1"/>
    <col min="23" max="24" width="39" customWidth="1"/>
  </cols>
  <sheetData>
    <row r="1" spans="1:24" s="1" customFormat="1" ht="21" x14ac:dyDescent="0.3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384</v>
      </c>
      <c r="Q1" s="2" t="s">
        <v>34</v>
      </c>
      <c r="R1" s="2" t="s">
        <v>35</v>
      </c>
      <c r="S1" s="2" t="s">
        <v>36</v>
      </c>
      <c r="T1" s="2" t="s">
        <v>37</v>
      </c>
      <c r="U1" s="5" t="s">
        <v>382</v>
      </c>
      <c r="V1" s="3" t="s">
        <v>38</v>
      </c>
      <c r="W1" s="3" t="s">
        <v>39</v>
      </c>
      <c r="X1" s="3" t="s">
        <v>40</v>
      </c>
    </row>
    <row r="3" spans="1:24" x14ac:dyDescent="0.35">
      <c r="A3" t="s">
        <v>41</v>
      </c>
      <c r="B3" t="s">
        <v>1286</v>
      </c>
      <c r="C3" t="s">
        <v>1287</v>
      </c>
      <c r="D3" t="s">
        <v>96</v>
      </c>
      <c r="E3" t="s">
        <v>64</v>
      </c>
      <c r="F3">
        <v>7090420</v>
      </c>
      <c r="G3" t="s">
        <v>1288</v>
      </c>
      <c r="H3" t="s">
        <v>43</v>
      </c>
      <c r="I3" t="s">
        <v>44</v>
      </c>
      <c r="J3" t="s">
        <v>208</v>
      </c>
      <c r="K3" t="s">
        <v>17</v>
      </c>
      <c r="L3" t="s">
        <v>45</v>
      </c>
      <c r="M3" t="s">
        <v>1289</v>
      </c>
      <c r="N3" t="s">
        <v>1290</v>
      </c>
      <c r="O3" t="s">
        <v>1291</v>
      </c>
      <c r="P3" t="s">
        <v>1292</v>
      </c>
      <c r="Q3" t="s">
        <v>46</v>
      </c>
      <c r="R3" t="s">
        <v>47</v>
      </c>
      <c r="S3" t="s">
        <v>46</v>
      </c>
      <c r="T3" t="s">
        <v>46</v>
      </c>
      <c r="U3" s="4">
        <v>2840.5</v>
      </c>
      <c r="V3" t="str">
        <f>RIGHT(O3,4)</f>
        <v>V001</v>
      </c>
      <c r="W3" t="str">
        <f>VLOOKUP(K3,[1]Info!A$1:B$21,2,0)</f>
        <v>Energia e Utilidades</v>
      </c>
      <c r="X3" t="str">
        <f>IF(M3="109595132","Material de Limpeza-Não Avaliar",IF(AND(K3="F20",M3&lt;&gt;109595132),IF(RIGHT(F3,2)="70","Infraestrutura de Planta","Prédios e Instalações"),IF(K3="FPC",VLOOKUP(F3,[1]Info!$E$2:$F$11,2,0),IF(K3="FGP",VLOOKUP(F3,[1]Info!$E$9:$F$10,2,0),IF(K3="F10",VLOOKUP(F3,[1]Info!$E$2:$F$3,2,0),VLOOKUP(K3,[1]Info!$A$1:$B$21,2,0))))))</f>
        <v>Energia e Utilidades</v>
      </c>
    </row>
    <row r="4" spans="1:24" x14ac:dyDescent="0.35">
      <c r="A4" t="s">
        <v>41</v>
      </c>
      <c r="B4" t="s">
        <v>1286</v>
      </c>
      <c r="C4" t="s">
        <v>1287</v>
      </c>
      <c r="D4" t="s">
        <v>100</v>
      </c>
      <c r="E4" t="s">
        <v>65</v>
      </c>
      <c r="F4">
        <v>7090420</v>
      </c>
      <c r="G4" t="s">
        <v>1288</v>
      </c>
      <c r="H4" t="s">
        <v>43</v>
      </c>
      <c r="I4" t="s">
        <v>44</v>
      </c>
      <c r="J4" t="s">
        <v>208</v>
      </c>
      <c r="K4" t="s">
        <v>6</v>
      </c>
      <c r="L4" t="s">
        <v>51</v>
      </c>
      <c r="M4" t="s">
        <v>1293</v>
      </c>
      <c r="N4" t="s">
        <v>1294</v>
      </c>
      <c r="O4" t="s">
        <v>1295</v>
      </c>
      <c r="P4" t="s">
        <v>1292</v>
      </c>
      <c r="Q4" t="s">
        <v>46</v>
      </c>
      <c r="R4" t="s">
        <v>47</v>
      </c>
      <c r="S4" t="s">
        <v>46</v>
      </c>
      <c r="T4" t="s">
        <v>46</v>
      </c>
      <c r="U4" s="4">
        <v>1506.9</v>
      </c>
      <c r="V4" t="str">
        <f t="shared" ref="V4:V67" si="0">RIGHT(O4,4)</f>
        <v>-ACE</v>
      </c>
      <c r="W4" t="str">
        <f>VLOOKUP(K4,[1]Info!A$1:B$21,2,0)</f>
        <v>Equipamentos Carbonização</v>
      </c>
      <c r="X4" t="str">
        <f>IF(M4="109595132","Material de Limpeza-Não Avaliar",IF(AND(K4="F20",M4&lt;&gt;109595132),IF(RIGHT(F4,2)="70","Infraestrutura de Planta","Prédios e Instalações"),IF(K4="FPC",VLOOKUP(F4,[1]Info!$E$2:$F$11,2,0),IF(K4="FGP",VLOOKUP(F4,[1]Info!$E$9:$F$10,2,0),IF(K4="F10",VLOOKUP(F4,[1]Info!$E$2:$F$3,2,0),VLOOKUP(K4,[1]Info!$A$1:$B$21,2,0))))))</f>
        <v>Equipamentos Carbonização</v>
      </c>
    </row>
    <row r="5" spans="1:24" x14ac:dyDescent="0.35">
      <c r="A5" t="s">
        <v>41</v>
      </c>
      <c r="B5" t="s">
        <v>1286</v>
      </c>
      <c r="C5" t="s">
        <v>1287</v>
      </c>
      <c r="D5" t="s">
        <v>106</v>
      </c>
      <c r="E5" t="s">
        <v>107</v>
      </c>
      <c r="F5">
        <v>7090420</v>
      </c>
      <c r="G5" t="s">
        <v>1288</v>
      </c>
      <c r="H5" t="s">
        <v>43</v>
      </c>
      <c r="I5" t="s">
        <v>44</v>
      </c>
      <c r="J5" t="s">
        <v>208</v>
      </c>
      <c r="K5" t="s">
        <v>2</v>
      </c>
      <c r="L5" t="s">
        <v>59</v>
      </c>
      <c r="M5" t="s">
        <v>1296</v>
      </c>
      <c r="N5" t="s">
        <v>1297</v>
      </c>
      <c r="O5" t="s">
        <v>1298</v>
      </c>
      <c r="P5" t="s">
        <v>1292</v>
      </c>
      <c r="Q5" t="s">
        <v>46</v>
      </c>
      <c r="R5" t="s">
        <v>47</v>
      </c>
      <c r="S5" t="s">
        <v>282</v>
      </c>
      <c r="T5" t="s">
        <v>283</v>
      </c>
      <c r="U5" s="4">
        <v>5944.42</v>
      </c>
      <c r="V5" t="str">
        <f t="shared" si="0"/>
        <v>MAQN</v>
      </c>
      <c r="W5" t="str">
        <f>VLOOKUP(K5,[1]Info!A$1:B$21,2,0)</f>
        <v>Infra - prédios</v>
      </c>
      <c r="X5" t="str">
        <f>IF(M5="109595132","Material de Limpeza-Não Avaliar",IF(AND(K5="F20",M5&lt;&gt;109595132),IF(RIGHT(F5,2)="70","Infraestrutura de Planta","Prédios e Instalações"),IF(K5="FPC",VLOOKUP(F5,[1]Info!$E$2:$F$11,2,0),IF(K5="FGP",VLOOKUP(F5,[1]Info!$E$9:$F$10,2,0),IF(K5="F10",VLOOKUP(F5,[1]Info!$E$2:$F$3,2,0),VLOOKUP(K5,[1]Info!$A$1:$B$21,2,0))))))</f>
        <v>Prédios e Instalações</v>
      </c>
    </row>
    <row r="6" spans="1:24" x14ac:dyDescent="0.35">
      <c r="A6" t="s">
        <v>41</v>
      </c>
      <c r="B6" t="s">
        <v>402</v>
      </c>
      <c r="C6" t="s">
        <v>403</v>
      </c>
      <c r="D6" t="s">
        <v>92</v>
      </c>
      <c r="E6" t="s">
        <v>71</v>
      </c>
      <c r="F6">
        <v>7098020</v>
      </c>
      <c r="G6" t="s">
        <v>410</v>
      </c>
      <c r="H6" t="s">
        <v>48</v>
      </c>
      <c r="I6" t="s">
        <v>49</v>
      </c>
      <c r="J6" t="s">
        <v>50</v>
      </c>
      <c r="K6" t="s">
        <v>411</v>
      </c>
      <c r="L6" t="s">
        <v>51</v>
      </c>
      <c r="M6" t="s">
        <v>1299</v>
      </c>
      <c r="N6" t="s">
        <v>1300</v>
      </c>
      <c r="O6" t="s">
        <v>1301</v>
      </c>
      <c r="P6" t="s">
        <v>1292</v>
      </c>
      <c r="Q6" t="s">
        <v>46</v>
      </c>
      <c r="R6" t="s">
        <v>47</v>
      </c>
      <c r="S6" t="s">
        <v>1302</v>
      </c>
      <c r="T6" t="s">
        <v>1303</v>
      </c>
      <c r="U6" s="4">
        <v>531</v>
      </c>
      <c r="V6" t="str">
        <f t="shared" si="0"/>
        <v>CP21</v>
      </c>
      <c r="W6" t="str">
        <f>VLOOKUP(K6,[1]Info!A$1:B$21,2,0)</f>
        <v>Caminhão Pipa</v>
      </c>
      <c r="X6" t="str">
        <f>IF(M6="109595132","Material de Limpeza-Não Avaliar",IF(AND(K6="F20",M6&lt;&gt;109595132),IF(RIGHT(F6,2)="70","Infraestrutura de Planta","Prédios e Instalações"),IF(K6="FPC",VLOOKUP(F6,[1]Info!$E$2:$F$11,2,0),IF(K6="FGP",VLOOKUP(F6,[1]Info!$E$9:$F$10,2,0),IF(K6="F10",VLOOKUP(F6,[1]Info!$E$2:$F$3,2,0),VLOOKUP(K6,[1]Info!$A$1:$B$21,2,0))))))</f>
        <v>Caminhão Pipa</v>
      </c>
    </row>
    <row r="7" spans="1:24" x14ac:dyDescent="0.35">
      <c r="A7" t="s">
        <v>41</v>
      </c>
      <c r="B7" t="s">
        <v>402</v>
      </c>
      <c r="C7" t="s">
        <v>403</v>
      </c>
      <c r="D7" t="s">
        <v>92</v>
      </c>
      <c r="E7" t="s">
        <v>71</v>
      </c>
      <c r="F7">
        <v>7098020</v>
      </c>
      <c r="G7" t="s">
        <v>410</v>
      </c>
      <c r="H7" t="s">
        <v>48</v>
      </c>
      <c r="I7" t="s">
        <v>49</v>
      </c>
      <c r="J7" t="s">
        <v>50</v>
      </c>
      <c r="K7" t="s">
        <v>411</v>
      </c>
      <c r="L7" t="s">
        <v>51</v>
      </c>
      <c r="M7" t="s">
        <v>1304</v>
      </c>
      <c r="N7" t="s">
        <v>1305</v>
      </c>
      <c r="O7" t="s">
        <v>1306</v>
      </c>
      <c r="P7" t="s">
        <v>1292</v>
      </c>
      <c r="Q7" t="s">
        <v>46</v>
      </c>
      <c r="R7" t="s">
        <v>47</v>
      </c>
      <c r="S7" t="s">
        <v>1307</v>
      </c>
      <c r="T7" t="s">
        <v>1308</v>
      </c>
      <c r="U7" s="4">
        <v>1000</v>
      </c>
      <c r="V7" t="str">
        <f t="shared" si="0"/>
        <v>CP13</v>
      </c>
      <c r="W7" t="str">
        <f>VLOOKUP(K7,[1]Info!A$1:B$21,2,0)</f>
        <v>Caminhão Pipa</v>
      </c>
      <c r="X7" t="str">
        <f>IF(M7="109595132","Material de Limpeza-Não Avaliar",IF(AND(K7="F20",M7&lt;&gt;109595132),IF(RIGHT(F7,2)="70","Infraestrutura de Planta","Prédios e Instalações"),IF(K7="FPC",VLOOKUP(F7,[1]Info!$E$2:$F$11,2,0),IF(K7="FGP",VLOOKUP(F7,[1]Info!$E$9:$F$10,2,0),IF(K7="F10",VLOOKUP(F7,[1]Info!$E$2:$F$3,2,0),VLOOKUP(K7,[1]Info!$A$1:$B$21,2,0))))))</f>
        <v>Caminhão Pipa</v>
      </c>
    </row>
    <row r="8" spans="1:24" x14ac:dyDescent="0.35">
      <c r="A8" t="s">
        <v>41</v>
      </c>
      <c r="B8" t="s">
        <v>402</v>
      </c>
      <c r="C8" t="s">
        <v>403</v>
      </c>
      <c r="D8" t="s">
        <v>92</v>
      </c>
      <c r="E8" t="s">
        <v>71</v>
      </c>
      <c r="F8">
        <v>7098020</v>
      </c>
      <c r="G8" t="s">
        <v>410</v>
      </c>
      <c r="H8" t="s">
        <v>48</v>
      </c>
      <c r="I8" t="s">
        <v>49</v>
      </c>
      <c r="J8" t="s">
        <v>50</v>
      </c>
      <c r="K8" t="s">
        <v>411</v>
      </c>
      <c r="L8" t="s">
        <v>51</v>
      </c>
      <c r="M8" t="s">
        <v>1309</v>
      </c>
      <c r="N8" t="s">
        <v>1300</v>
      </c>
      <c r="O8" t="s">
        <v>1301</v>
      </c>
      <c r="P8" t="s">
        <v>1292</v>
      </c>
      <c r="Q8" t="s">
        <v>46</v>
      </c>
      <c r="R8" t="s">
        <v>47</v>
      </c>
      <c r="S8" t="s">
        <v>1310</v>
      </c>
      <c r="T8" t="s">
        <v>1311</v>
      </c>
      <c r="U8" s="4">
        <v>4274.7</v>
      </c>
      <c r="V8" t="str">
        <f t="shared" si="0"/>
        <v>CP21</v>
      </c>
      <c r="W8" t="str">
        <f>VLOOKUP(K8,[1]Info!A$1:B$21,2,0)</f>
        <v>Caminhão Pipa</v>
      </c>
      <c r="X8" t="str">
        <f>IF(M8="109595132","Material de Limpeza-Não Avaliar",IF(AND(K8="F20",M8&lt;&gt;109595132),IF(RIGHT(F8,2)="70","Infraestrutura de Planta","Prédios e Instalações"),IF(K8="FPC",VLOOKUP(F8,[1]Info!$E$2:$F$11,2,0),IF(K8="FGP",VLOOKUP(F8,[1]Info!$E$9:$F$10,2,0),IF(K8="F10",VLOOKUP(F8,[1]Info!$E$2:$F$3,2,0),VLOOKUP(K8,[1]Info!$A$1:$B$21,2,0))))))</f>
        <v>Caminhão Pipa</v>
      </c>
    </row>
    <row r="9" spans="1:24" x14ac:dyDescent="0.35">
      <c r="A9" t="s">
        <v>41</v>
      </c>
      <c r="B9" t="s">
        <v>402</v>
      </c>
      <c r="C9" t="s">
        <v>403</v>
      </c>
      <c r="D9" t="s">
        <v>92</v>
      </c>
      <c r="E9" t="s">
        <v>71</v>
      </c>
      <c r="F9">
        <v>7098020</v>
      </c>
      <c r="G9" t="s">
        <v>410</v>
      </c>
      <c r="H9" t="s">
        <v>48</v>
      </c>
      <c r="I9" t="s">
        <v>49</v>
      </c>
      <c r="J9" t="s">
        <v>50</v>
      </c>
      <c r="K9" t="s">
        <v>411</v>
      </c>
      <c r="L9" t="s">
        <v>51</v>
      </c>
      <c r="M9" t="s">
        <v>1312</v>
      </c>
      <c r="N9" t="s">
        <v>1313</v>
      </c>
      <c r="O9" t="s">
        <v>423</v>
      </c>
      <c r="P9" t="s">
        <v>1292</v>
      </c>
      <c r="Q9" t="s">
        <v>46</v>
      </c>
      <c r="R9" t="s">
        <v>47</v>
      </c>
      <c r="S9" t="s">
        <v>1307</v>
      </c>
      <c r="T9" t="s">
        <v>1308</v>
      </c>
      <c r="U9" s="4">
        <v>860</v>
      </c>
      <c r="V9" t="str">
        <f t="shared" si="0"/>
        <v>CP23</v>
      </c>
      <c r="W9" t="str">
        <f>VLOOKUP(K9,[1]Info!A$1:B$21,2,0)</f>
        <v>Caminhão Pipa</v>
      </c>
      <c r="X9" t="str">
        <f>IF(M9="109595132","Material de Limpeza-Não Avaliar",IF(AND(K9="F20",M9&lt;&gt;109595132),IF(RIGHT(F9,2)="70","Infraestrutura de Planta","Prédios e Instalações"),IF(K9="FPC",VLOOKUP(F9,[1]Info!$E$2:$F$11,2,0),IF(K9="FGP",VLOOKUP(F9,[1]Info!$E$9:$F$10,2,0),IF(K9="F10",VLOOKUP(F9,[1]Info!$E$2:$F$3,2,0),VLOOKUP(K9,[1]Info!$A$1:$B$21,2,0))))))</f>
        <v>Caminhão Pipa</v>
      </c>
    </row>
    <row r="10" spans="1:24" x14ac:dyDescent="0.35">
      <c r="A10" t="s">
        <v>41</v>
      </c>
      <c r="B10" t="s">
        <v>402</v>
      </c>
      <c r="C10" t="s">
        <v>403</v>
      </c>
      <c r="D10" t="s">
        <v>92</v>
      </c>
      <c r="E10" t="s">
        <v>71</v>
      </c>
      <c r="F10">
        <v>7098020</v>
      </c>
      <c r="G10" t="s">
        <v>410</v>
      </c>
      <c r="H10" t="s">
        <v>48</v>
      </c>
      <c r="I10" t="s">
        <v>49</v>
      </c>
      <c r="J10" t="s">
        <v>50</v>
      </c>
      <c r="K10" t="s">
        <v>411</v>
      </c>
      <c r="L10" t="s">
        <v>51</v>
      </c>
      <c r="M10" t="s">
        <v>1314</v>
      </c>
      <c r="N10" t="s">
        <v>1315</v>
      </c>
      <c r="O10" t="s">
        <v>430</v>
      </c>
      <c r="P10" t="s">
        <v>1292</v>
      </c>
      <c r="Q10" t="s">
        <v>46</v>
      </c>
      <c r="R10" t="s">
        <v>47</v>
      </c>
      <c r="S10" t="s">
        <v>1307</v>
      </c>
      <c r="T10" t="s">
        <v>1308</v>
      </c>
      <c r="U10" s="4">
        <v>1000</v>
      </c>
      <c r="V10" t="str">
        <f t="shared" si="0"/>
        <v>CP27</v>
      </c>
      <c r="W10" t="str">
        <f>VLOOKUP(K10,[1]Info!A$1:B$21,2,0)</f>
        <v>Caminhão Pipa</v>
      </c>
      <c r="X10" t="str">
        <f>IF(M10="109595132","Material de Limpeza-Não Avaliar",IF(AND(K10="F20",M10&lt;&gt;109595132),IF(RIGHT(F10,2)="70","Infraestrutura de Planta","Prédios e Instalações"),IF(K10="FPC",VLOOKUP(F10,[1]Info!$E$2:$F$11,2,0),IF(K10="FGP",VLOOKUP(F10,[1]Info!$E$9:$F$10,2,0),IF(K10="F10",VLOOKUP(F10,[1]Info!$E$2:$F$3,2,0),VLOOKUP(K10,[1]Info!$A$1:$B$21,2,0))))))</f>
        <v>Caminhão Pipa</v>
      </c>
    </row>
    <row r="11" spans="1:24" x14ac:dyDescent="0.35">
      <c r="A11" t="s">
        <v>41</v>
      </c>
      <c r="B11" t="s">
        <v>402</v>
      </c>
      <c r="C11" t="s">
        <v>403</v>
      </c>
      <c r="D11" t="s">
        <v>93</v>
      </c>
      <c r="E11" t="s">
        <v>56</v>
      </c>
      <c r="F11">
        <v>7090505</v>
      </c>
      <c r="G11" t="s">
        <v>404</v>
      </c>
      <c r="H11" t="s">
        <v>48</v>
      </c>
      <c r="I11" t="s">
        <v>49</v>
      </c>
      <c r="J11" t="s">
        <v>50</v>
      </c>
      <c r="K11" t="s">
        <v>3</v>
      </c>
      <c r="L11" t="s">
        <v>51</v>
      </c>
      <c r="M11" t="s">
        <v>405</v>
      </c>
      <c r="N11" t="s">
        <v>406</v>
      </c>
      <c r="O11" t="s">
        <v>407</v>
      </c>
      <c r="P11" t="s">
        <v>383</v>
      </c>
      <c r="Q11" t="s">
        <v>408</v>
      </c>
      <c r="R11" t="s">
        <v>409</v>
      </c>
      <c r="S11" t="s">
        <v>46</v>
      </c>
      <c r="T11" t="s">
        <v>46</v>
      </c>
      <c r="U11" s="4">
        <v>2287.15</v>
      </c>
      <c r="V11" t="str">
        <f t="shared" si="0"/>
        <v>C022</v>
      </c>
      <c r="W11" t="str">
        <f>VLOOKUP(K11,[1]Info!A$1:B$21,2,0)</f>
        <v>Carregadeira</v>
      </c>
      <c r="X11" t="str">
        <f>IF(M11="109595132","Material de Limpeza-Não Avaliar",IF(AND(K11="F20",M11&lt;&gt;109595132),IF(RIGHT(F11,2)="70","Infraestrutura de Planta","Prédios e Instalações"),IF(K11="FPC",VLOOKUP(F11,[1]Info!$E$2:$F$11,2,0),IF(K11="FGP",VLOOKUP(F11,[1]Info!$E$9:$F$10,2,0),IF(K11="F10",VLOOKUP(F11,[1]Info!$E$2:$F$3,2,0),VLOOKUP(K11,[1]Info!$A$1:$B$21,2,0))))))</f>
        <v>Vias</v>
      </c>
    </row>
    <row r="12" spans="1:24" x14ac:dyDescent="0.35">
      <c r="A12" t="s">
        <v>41</v>
      </c>
      <c r="B12" t="s">
        <v>402</v>
      </c>
      <c r="C12" t="s">
        <v>403</v>
      </c>
      <c r="D12" t="s">
        <v>91</v>
      </c>
      <c r="E12" t="s">
        <v>42</v>
      </c>
      <c r="F12">
        <v>7098020</v>
      </c>
      <c r="G12" t="s">
        <v>410</v>
      </c>
      <c r="H12" t="s">
        <v>48</v>
      </c>
      <c r="I12" t="s">
        <v>49</v>
      </c>
      <c r="J12" t="s">
        <v>50</v>
      </c>
      <c r="K12" t="s">
        <v>411</v>
      </c>
      <c r="L12" t="s">
        <v>51</v>
      </c>
      <c r="M12" t="s">
        <v>412</v>
      </c>
      <c r="N12" t="s">
        <v>413</v>
      </c>
      <c r="O12" t="s">
        <v>414</v>
      </c>
      <c r="P12" t="s">
        <v>383</v>
      </c>
      <c r="Q12" t="s">
        <v>176</v>
      </c>
      <c r="R12" t="s">
        <v>177</v>
      </c>
      <c r="S12" t="s">
        <v>46</v>
      </c>
      <c r="T12" t="s">
        <v>46</v>
      </c>
      <c r="U12" s="4">
        <v>209.19</v>
      </c>
      <c r="V12" t="str">
        <f t="shared" si="0"/>
        <v>CP26</v>
      </c>
      <c r="W12" t="str">
        <f>VLOOKUP(K12,[1]Info!A$1:B$21,2,0)</f>
        <v>Caminhão Pipa</v>
      </c>
      <c r="X12" t="str">
        <f>IF(M12="109595132","Material de Limpeza-Não Avaliar",IF(AND(K12="F20",M12&lt;&gt;109595132),IF(RIGHT(F12,2)="70","Infraestrutura de Planta","Prédios e Instalações"),IF(K12="FPC",VLOOKUP(F12,[1]Info!$E$2:$F$11,2,0),IF(K12="FGP",VLOOKUP(F12,[1]Info!$E$9:$F$10,2,0),IF(K12="F10",VLOOKUP(F12,[1]Info!$E$2:$F$3,2,0),VLOOKUP(K12,[1]Info!$A$1:$B$21,2,0))))))</f>
        <v>Caminhão Pipa</v>
      </c>
    </row>
    <row r="13" spans="1:24" x14ac:dyDescent="0.35">
      <c r="A13" t="s">
        <v>41</v>
      </c>
      <c r="B13" t="s">
        <v>402</v>
      </c>
      <c r="C13" t="s">
        <v>403</v>
      </c>
      <c r="D13" t="s">
        <v>91</v>
      </c>
      <c r="E13" t="s">
        <v>42</v>
      </c>
      <c r="F13">
        <v>7098020</v>
      </c>
      <c r="G13" t="s">
        <v>410</v>
      </c>
      <c r="H13" t="s">
        <v>48</v>
      </c>
      <c r="I13" t="s">
        <v>49</v>
      </c>
      <c r="J13" t="s">
        <v>50</v>
      </c>
      <c r="K13" t="s">
        <v>411</v>
      </c>
      <c r="L13" t="s">
        <v>51</v>
      </c>
      <c r="M13" t="s">
        <v>415</v>
      </c>
      <c r="N13" t="s">
        <v>416</v>
      </c>
      <c r="O13" t="s">
        <v>417</v>
      </c>
      <c r="P13" t="s">
        <v>383</v>
      </c>
      <c r="Q13" t="s">
        <v>176</v>
      </c>
      <c r="R13" t="s">
        <v>177</v>
      </c>
      <c r="S13" t="s">
        <v>46</v>
      </c>
      <c r="T13" t="s">
        <v>46</v>
      </c>
      <c r="U13" s="4">
        <v>208.24</v>
      </c>
      <c r="V13" t="str">
        <f t="shared" si="0"/>
        <v>CP20</v>
      </c>
      <c r="W13" t="str">
        <f>VLOOKUP(K13,[1]Info!A$1:B$21,2,0)</f>
        <v>Caminhão Pipa</v>
      </c>
      <c r="X13" t="str">
        <f>IF(M13="109595132","Material de Limpeza-Não Avaliar",IF(AND(K13="F20",M13&lt;&gt;109595132),IF(RIGHT(F13,2)="70","Infraestrutura de Planta","Prédios e Instalações"),IF(K13="FPC",VLOOKUP(F13,[1]Info!$E$2:$F$11,2,0),IF(K13="FGP",VLOOKUP(F13,[1]Info!$E$9:$F$10,2,0),IF(K13="F10",VLOOKUP(F13,[1]Info!$E$2:$F$3,2,0),VLOOKUP(K13,[1]Info!$A$1:$B$21,2,0))))))</f>
        <v>Caminhão Pipa</v>
      </c>
    </row>
    <row r="14" spans="1:24" x14ac:dyDescent="0.35">
      <c r="A14" t="s">
        <v>41</v>
      </c>
      <c r="B14" t="s">
        <v>402</v>
      </c>
      <c r="C14" t="s">
        <v>403</v>
      </c>
      <c r="D14" t="s">
        <v>91</v>
      </c>
      <c r="E14" t="s">
        <v>42</v>
      </c>
      <c r="F14">
        <v>7098020</v>
      </c>
      <c r="G14" t="s">
        <v>410</v>
      </c>
      <c r="H14" t="s">
        <v>48</v>
      </c>
      <c r="I14" t="s">
        <v>49</v>
      </c>
      <c r="J14" t="s">
        <v>50</v>
      </c>
      <c r="K14" t="s">
        <v>411</v>
      </c>
      <c r="L14" t="s">
        <v>51</v>
      </c>
      <c r="M14" t="s">
        <v>418</v>
      </c>
      <c r="N14" t="s">
        <v>419</v>
      </c>
      <c r="O14" t="s">
        <v>420</v>
      </c>
      <c r="P14" t="s">
        <v>383</v>
      </c>
      <c r="Q14" t="s">
        <v>176</v>
      </c>
      <c r="R14" t="s">
        <v>177</v>
      </c>
      <c r="S14" t="s">
        <v>46</v>
      </c>
      <c r="T14" t="s">
        <v>46</v>
      </c>
      <c r="U14" s="4">
        <v>209.19</v>
      </c>
      <c r="V14" t="str">
        <f t="shared" si="0"/>
        <v>CP22</v>
      </c>
      <c r="W14" t="str">
        <f>VLOOKUP(K14,[1]Info!A$1:B$21,2,0)</f>
        <v>Caminhão Pipa</v>
      </c>
      <c r="X14" t="str">
        <f>IF(M14="109595132","Material de Limpeza-Não Avaliar",IF(AND(K14="F20",M14&lt;&gt;109595132),IF(RIGHT(F14,2)="70","Infraestrutura de Planta","Prédios e Instalações"),IF(K14="FPC",VLOOKUP(F14,[1]Info!$E$2:$F$11,2,0),IF(K14="FGP",VLOOKUP(F14,[1]Info!$E$9:$F$10,2,0),IF(K14="F10",VLOOKUP(F14,[1]Info!$E$2:$F$3,2,0),VLOOKUP(K14,[1]Info!$A$1:$B$21,2,0))))))</f>
        <v>Caminhão Pipa</v>
      </c>
    </row>
    <row r="15" spans="1:24" x14ac:dyDescent="0.35">
      <c r="A15" t="s">
        <v>41</v>
      </c>
      <c r="B15" t="s">
        <v>402</v>
      </c>
      <c r="C15" t="s">
        <v>403</v>
      </c>
      <c r="D15" t="s">
        <v>96</v>
      </c>
      <c r="E15" t="s">
        <v>64</v>
      </c>
      <c r="F15">
        <v>7098020</v>
      </c>
      <c r="G15" t="s">
        <v>410</v>
      </c>
      <c r="H15" t="s">
        <v>48</v>
      </c>
      <c r="I15" t="s">
        <v>49</v>
      </c>
      <c r="J15" t="s">
        <v>50</v>
      </c>
      <c r="K15" t="s">
        <v>411</v>
      </c>
      <c r="L15" t="s">
        <v>51</v>
      </c>
      <c r="M15" t="s">
        <v>1304</v>
      </c>
      <c r="N15" t="s">
        <v>1305</v>
      </c>
      <c r="O15" t="s">
        <v>1306</v>
      </c>
      <c r="P15" t="s">
        <v>1292</v>
      </c>
      <c r="Q15" t="s">
        <v>46</v>
      </c>
      <c r="R15" t="s">
        <v>47</v>
      </c>
      <c r="S15" t="s">
        <v>46</v>
      </c>
      <c r="T15" t="s">
        <v>46</v>
      </c>
      <c r="U15" s="4">
        <v>953.72</v>
      </c>
      <c r="V15" t="str">
        <f t="shared" si="0"/>
        <v>CP13</v>
      </c>
      <c r="W15" t="str">
        <f>VLOOKUP(K15,[1]Info!A$1:B$21,2,0)</f>
        <v>Caminhão Pipa</v>
      </c>
      <c r="X15" t="str">
        <f>IF(M15="109595132","Material de Limpeza-Não Avaliar",IF(AND(K15="F20",M15&lt;&gt;109595132),IF(RIGHT(F15,2)="70","Infraestrutura de Planta","Prédios e Instalações"),IF(K15="FPC",VLOOKUP(F15,[1]Info!$E$2:$F$11,2,0),IF(K15="FGP",VLOOKUP(F15,[1]Info!$E$9:$F$10,2,0),IF(K15="F10",VLOOKUP(F15,[1]Info!$E$2:$F$3,2,0),VLOOKUP(K15,[1]Info!$A$1:$B$21,2,0))))))</f>
        <v>Caminhão Pipa</v>
      </c>
    </row>
    <row r="16" spans="1:24" x14ac:dyDescent="0.35">
      <c r="A16" t="s">
        <v>41</v>
      </c>
      <c r="B16" t="s">
        <v>402</v>
      </c>
      <c r="C16" t="s">
        <v>403</v>
      </c>
      <c r="D16" t="s">
        <v>96</v>
      </c>
      <c r="E16" t="s">
        <v>64</v>
      </c>
      <c r="F16">
        <v>7098020</v>
      </c>
      <c r="G16" t="s">
        <v>410</v>
      </c>
      <c r="H16" t="s">
        <v>48</v>
      </c>
      <c r="I16" t="s">
        <v>49</v>
      </c>
      <c r="J16" t="s">
        <v>50</v>
      </c>
      <c r="K16" t="s">
        <v>411</v>
      </c>
      <c r="L16" t="s">
        <v>51</v>
      </c>
      <c r="M16" t="s">
        <v>1316</v>
      </c>
      <c r="N16" t="s">
        <v>1317</v>
      </c>
      <c r="O16" t="s">
        <v>1318</v>
      </c>
      <c r="P16" t="s">
        <v>1292</v>
      </c>
      <c r="Q16" t="s">
        <v>46</v>
      </c>
      <c r="R16" t="s">
        <v>47</v>
      </c>
      <c r="S16" t="s">
        <v>46</v>
      </c>
      <c r="T16" t="s">
        <v>46</v>
      </c>
      <c r="U16" s="4">
        <v>953.57</v>
      </c>
      <c r="V16" t="str">
        <f t="shared" si="0"/>
        <v>CP14</v>
      </c>
      <c r="W16" t="str">
        <f>VLOOKUP(K16,[1]Info!A$1:B$21,2,0)</f>
        <v>Caminhão Pipa</v>
      </c>
      <c r="X16" t="str">
        <f>IF(M16="109595132","Material de Limpeza-Não Avaliar",IF(AND(K16="F20",M16&lt;&gt;109595132),IF(RIGHT(F16,2)="70","Infraestrutura de Planta","Prédios e Instalações"),IF(K16="FPC",VLOOKUP(F16,[1]Info!$E$2:$F$11,2,0),IF(K16="FGP",VLOOKUP(F16,[1]Info!$E$9:$F$10,2,0),IF(K16="F10",VLOOKUP(F16,[1]Info!$E$2:$F$3,2,0),VLOOKUP(K16,[1]Info!$A$1:$B$21,2,0))))))</f>
        <v>Caminhão Pipa</v>
      </c>
    </row>
    <row r="17" spans="1:24" x14ac:dyDescent="0.35">
      <c r="A17" t="s">
        <v>41</v>
      </c>
      <c r="B17" t="s">
        <v>402</v>
      </c>
      <c r="C17" t="s">
        <v>403</v>
      </c>
      <c r="D17" t="s">
        <v>96</v>
      </c>
      <c r="E17" t="s">
        <v>64</v>
      </c>
      <c r="F17">
        <v>7098020</v>
      </c>
      <c r="G17" t="s">
        <v>410</v>
      </c>
      <c r="H17" t="s">
        <v>48</v>
      </c>
      <c r="I17" t="s">
        <v>49</v>
      </c>
      <c r="J17" t="s">
        <v>50</v>
      </c>
      <c r="K17" t="s">
        <v>411</v>
      </c>
      <c r="L17" t="s">
        <v>51</v>
      </c>
      <c r="M17" t="s">
        <v>1309</v>
      </c>
      <c r="N17" t="s">
        <v>1300</v>
      </c>
      <c r="O17" t="s">
        <v>1301</v>
      </c>
      <c r="P17" t="s">
        <v>1292</v>
      </c>
      <c r="Q17" t="s">
        <v>46</v>
      </c>
      <c r="R17" t="s">
        <v>47</v>
      </c>
      <c r="S17" t="s">
        <v>46</v>
      </c>
      <c r="T17" t="s">
        <v>46</v>
      </c>
      <c r="U17" s="4">
        <v>786.6</v>
      </c>
      <c r="V17" t="str">
        <f t="shared" si="0"/>
        <v>CP21</v>
      </c>
      <c r="W17" t="str">
        <f>VLOOKUP(K17,[1]Info!A$1:B$21,2,0)</f>
        <v>Caminhão Pipa</v>
      </c>
      <c r="X17" t="str">
        <f>IF(M17="109595132","Material de Limpeza-Não Avaliar",IF(AND(K17="F20",M17&lt;&gt;109595132),IF(RIGHT(F17,2)="70","Infraestrutura de Planta","Prédios e Instalações"),IF(K17="FPC",VLOOKUP(F17,[1]Info!$E$2:$F$11,2,0),IF(K17="FGP",VLOOKUP(F17,[1]Info!$E$9:$F$10,2,0),IF(K17="F10",VLOOKUP(F17,[1]Info!$E$2:$F$3,2,0),VLOOKUP(K17,[1]Info!$A$1:$B$21,2,0))))))</f>
        <v>Caminhão Pipa</v>
      </c>
    </row>
    <row r="18" spans="1:24" x14ac:dyDescent="0.35">
      <c r="A18" t="s">
        <v>41</v>
      </c>
      <c r="B18" t="s">
        <v>402</v>
      </c>
      <c r="C18" t="s">
        <v>403</v>
      </c>
      <c r="D18" t="s">
        <v>96</v>
      </c>
      <c r="E18" t="s">
        <v>64</v>
      </c>
      <c r="F18">
        <v>7098020</v>
      </c>
      <c r="G18" t="s">
        <v>410</v>
      </c>
      <c r="H18" t="s">
        <v>48</v>
      </c>
      <c r="I18" t="s">
        <v>49</v>
      </c>
      <c r="J18" t="s">
        <v>50</v>
      </c>
      <c r="K18" t="s">
        <v>411</v>
      </c>
      <c r="L18" t="s">
        <v>51</v>
      </c>
      <c r="M18" t="s">
        <v>1319</v>
      </c>
      <c r="N18" t="s">
        <v>1320</v>
      </c>
      <c r="O18" t="s">
        <v>1321</v>
      </c>
      <c r="P18" t="s">
        <v>1292</v>
      </c>
      <c r="Q18" t="s">
        <v>46</v>
      </c>
      <c r="R18" t="s">
        <v>47</v>
      </c>
      <c r="S18" t="s">
        <v>46</v>
      </c>
      <c r="T18" t="s">
        <v>46</v>
      </c>
      <c r="U18" s="4">
        <v>953.57</v>
      </c>
      <c r="V18" t="str">
        <f t="shared" si="0"/>
        <v>CP25</v>
      </c>
      <c r="W18" t="str">
        <f>VLOOKUP(K18,[1]Info!A$1:B$21,2,0)</f>
        <v>Caminhão Pipa</v>
      </c>
      <c r="X18" t="str">
        <f>IF(M18="109595132","Material de Limpeza-Não Avaliar",IF(AND(K18="F20",M18&lt;&gt;109595132),IF(RIGHT(F18,2)="70","Infraestrutura de Planta","Prédios e Instalações"),IF(K18="FPC",VLOOKUP(F18,[1]Info!$E$2:$F$11,2,0),IF(K18="FGP",VLOOKUP(F18,[1]Info!$E$9:$F$10,2,0),IF(K18="F10",VLOOKUP(F18,[1]Info!$E$2:$F$3,2,0),VLOOKUP(K18,[1]Info!$A$1:$B$21,2,0))))))</f>
        <v>Caminhão Pipa</v>
      </c>
    </row>
    <row r="19" spans="1:24" x14ac:dyDescent="0.35">
      <c r="A19" t="s">
        <v>41</v>
      </c>
      <c r="B19" t="s">
        <v>402</v>
      </c>
      <c r="C19" t="s">
        <v>403</v>
      </c>
      <c r="D19" t="s">
        <v>96</v>
      </c>
      <c r="E19" t="s">
        <v>64</v>
      </c>
      <c r="F19">
        <v>7098020</v>
      </c>
      <c r="G19" t="s">
        <v>410</v>
      </c>
      <c r="H19" t="s">
        <v>48</v>
      </c>
      <c r="I19" t="s">
        <v>49</v>
      </c>
      <c r="J19" t="s">
        <v>50</v>
      </c>
      <c r="K19" t="s">
        <v>411</v>
      </c>
      <c r="L19" t="s">
        <v>51</v>
      </c>
      <c r="M19" t="s">
        <v>412</v>
      </c>
      <c r="N19" t="s">
        <v>413</v>
      </c>
      <c r="O19" t="s">
        <v>414</v>
      </c>
      <c r="P19" t="s">
        <v>1292</v>
      </c>
      <c r="Q19" t="s">
        <v>46</v>
      </c>
      <c r="R19" t="s">
        <v>47</v>
      </c>
      <c r="S19" t="s">
        <v>46</v>
      </c>
      <c r="T19" t="s">
        <v>46</v>
      </c>
      <c r="U19" s="4">
        <v>786.57</v>
      </c>
      <c r="V19" t="str">
        <f t="shared" si="0"/>
        <v>CP26</v>
      </c>
      <c r="W19" t="str">
        <f>VLOOKUP(K19,[1]Info!A$1:B$21,2,0)</f>
        <v>Caminhão Pipa</v>
      </c>
      <c r="X19" t="str">
        <f>IF(M19="109595132","Material de Limpeza-Não Avaliar",IF(AND(K19="F20",M19&lt;&gt;109595132),IF(RIGHT(F19,2)="70","Infraestrutura de Planta","Prédios e Instalações"),IF(K19="FPC",VLOOKUP(F19,[1]Info!$E$2:$F$11,2,0),IF(K19="FGP",VLOOKUP(F19,[1]Info!$E$9:$F$10,2,0),IF(K19="F10",VLOOKUP(F19,[1]Info!$E$2:$F$3,2,0),VLOOKUP(K19,[1]Info!$A$1:$B$21,2,0))))))</f>
        <v>Caminhão Pipa</v>
      </c>
    </row>
    <row r="20" spans="1:24" x14ac:dyDescent="0.35">
      <c r="A20" t="s">
        <v>41</v>
      </c>
      <c r="B20" t="s">
        <v>402</v>
      </c>
      <c r="C20" t="s">
        <v>403</v>
      </c>
      <c r="D20" t="s">
        <v>96</v>
      </c>
      <c r="E20" t="s">
        <v>64</v>
      </c>
      <c r="F20">
        <v>7098020</v>
      </c>
      <c r="G20" t="s">
        <v>410</v>
      </c>
      <c r="H20" t="s">
        <v>48</v>
      </c>
      <c r="I20" t="s">
        <v>49</v>
      </c>
      <c r="J20" t="s">
        <v>50</v>
      </c>
      <c r="K20" t="s">
        <v>411</v>
      </c>
      <c r="L20" t="s">
        <v>51</v>
      </c>
      <c r="M20" t="s">
        <v>421</v>
      </c>
      <c r="N20" t="s">
        <v>422</v>
      </c>
      <c r="O20" t="s">
        <v>423</v>
      </c>
      <c r="P20" t="s">
        <v>383</v>
      </c>
      <c r="Q20" t="s">
        <v>424</v>
      </c>
      <c r="R20" t="s">
        <v>425</v>
      </c>
      <c r="S20" t="s">
        <v>46</v>
      </c>
      <c r="T20" t="s">
        <v>46</v>
      </c>
      <c r="U20" s="4">
        <v>11.58</v>
      </c>
      <c r="V20" t="str">
        <f t="shared" si="0"/>
        <v>CP23</v>
      </c>
      <c r="W20" t="str">
        <f>VLOOKUP(K20,[1]Info!A$1:B$21,2,0)</f>
        <v>Caminhão Pipa</v>
      </c>
      <c r="X20" t="str">
        <f>IF(M20="109595132","Material de Limpeza-Não Avaliar",IF(AND(K20="F20",M20&lt;&gt;109595132),IF(RIGHT(F20,2)="70","Infraestrutura de Planta","Prédios e Instalações"),IF(K20="FPC",VLOOKUP(F20,[1]Info!$E$2:$F$11,2,0),IF(K20="FGP",VLOOKUP(F20,[1]Info!$E$9:$F$10,2,0),IF(K20="F10",VLOOKUP(F20,[1]Info!$E$2:$F$3,2,0),VLOOKUP(K20,[1]Info!$A$1:$B$21,2,0))))))</f>
        <v>Caminhão Pipa</v>
      </c>
    </row>
    <row r="21" spans="1:24" x14ac:dyDescent="0.35">
      <c r="A21" t="s">
        <v>41</v>
      </c>
      <c r="B21" t="s">
        <v>402</v>
      </c>
      <c r="C21" t="s">
        <v>403</v>
      </c>
      <c r="D21" t="s">
        <v>96</v>
      </c>
      <c r="E21" t="s">
        <v>64</v>
      </c>
      <c r="F21">
        <v>7098020</v>
      </c>
      <c r="G21" t="s">
        <v>410</v>
      </c>
      <c r="H21" t="s">
        <v>48</v>
      </c>
      <c r="I21" t="s">
        <v>49</v>
      </c>
      <c r="J21" t="s">
        <v>50</v>
      </c>
      <c r="K21" t="s">
        <v>411</v>
      </c>
      <c r="L21" t="s">
        <v>51</v>
      </c>
      <c r="M21" t="s">
        <v>421</v>
      </c>
      <c r="N21" t="s">
        <v>422</v>
      </c>
      <c r="O21" t="s">
        <v>423</v>
      </c>
      <c r="P21" t="s">
        <v>383</v>
      </c>
      <c r="Q21" t="s">
        <v>426</v>
      </c>
      <c r="R21" t="s">
        <v>427</v>
      </c>
      <c r="S21" t="s">
        <v>46</v>
      </c>
      <c r="T21" t="s">
        <v>46</v>
      </c>
      <c r="U21" s="4">
        <v>22.94</v>
      </c>
      <c r="V21" t="str">
        <f t="shared" si="0"/>
        <v>CP23</v>
      </c>
      <c r="W21" t="str">
        <f>VLOOKUP(K21,[1]Info!A$1:B$21,2,0)</f>
        <v>Caminhão Pipa</v>
      </c>
      <c r="X21" t="str">
        <f>IF(M21="109595132","Material de Limpeza-Não Avaliar",IF(AND(K21="F20",M21&lt;&gt;109595132),IF(RIGHT(F21,2)="70","Infraestrutura de Planta","Prédios e Instalações"),IF(K21="FPC",VLOOKUP(F21,[1]Info!$E$2:$F$11,2,0),IF(K21="FGP",VLOOKUP(F21,[1]Info!$E$9:$F$10,2,0),IF(K21="F10",VLOOKUP(F21,[1]Info!$E$2:$F$3,2,0),VLOOKUP(K21,[1]Info!$A$1:$B$21,2,0))))))</f>
        <v>Caminhão Pipa</v>
      </c>
    </row>
    <row r="22" spans="1:24" x14ac:dyDescent="0.35">
      <c r="A22" t="s">
        <v>41</v>
      </c>
      <c r="B22" t="s">
        <v>402</v>
      </c>
      <c r="C22" t="s">
        <v>403</v>
      </c>
      <c r="D22" t="s">
        <v>94</v>
      </c>
      <c r="E22" t="s">
        <v>52</v>
      </c>
      <c r="F22">
        <v>7098020</v>
      </c>
      <c r="G22" t="s">
        <v>410</v>
      </c>
      <c r="H22" t="s">
        <v>48</v>
      </c>
      <c r="I22" t="s">
        <v>49</v>
      </c>
      <c r="J22" t="s">
        <v>50</v>
      </c>
      <c r="K22" t="s">
        <v>411</v>
      </c>
      <c r="L22" t="s">
        <v>51</v>
      </c>
      <c r="M22" t="s">
        <v>1299</v>
      </c>
      <c r="N22" t="s">
        <v>1300</v>
      </c>
      <c r="O22" t="s">
        <v>1301</v>
      </c>
      <c r="P22" t="s">
        <v>1292</v>
      </c>
      <c r="Q22" t="s">
        <v>46</v>
      </c>
      <c r="R22" t="s">
        <v>47</v>
      </c>
      <c r="S22" t="s">
        <v>46</v>
      </c>
      <c r="T22" t="s">
        <v>46</v>
      </c>
      <c r="U22" s="4">
        <v>6028.76</v>
      </c>
      <c r="V22" t="str">
        <f t="shared" si="0"/>
        <v>CP21</v>
      </c>
      <c r="W22" t="str">
        <f>VLOOKUP(K22,[1]Info!A$1:B$21,2,0)</f>
        <v>Caminhão Pipa</v>
      </c>
      <c r="X22" t="str">
        <f>IF(M22="109595132","Material de Limpeza-Não Avaliar",IF(AND(K22="F20",M22&lt;&gt;109595132),IF(RIGHT(F22,2)="70","Infraestrutura de Planta","Prédios e Instalações"),IF(K22="FPC",VLOOKUP(F22,[1]Info!$E$2:$F$11,2,0),IF(K22="FGP",VLOOKUP(F22,[1]Info!$E$9:$F$10,2,0),IF(K22="F10",VLOOKUP(F22,[1]Info!$E$2:$F$3,2,0),VLOOKUP(K22,[1]Info!$A$1:$B$21,2,0))))))</f>
        <v>Caminhão Pipa</v>
      </c>
    </row>
    <row r="23" spans="1:24" x14ac:dyDescent="0.35">
      <c r="A23" t="s">
        <v>41</v>
      </c>
      <c r="B23" t="s">
        <v>402</v>
      </c>
      <c r="C23" t="s">
        <v>403</v>
      </c>
      <c r="D23" t="s">
        <v>94</v>
      </c>
      <c r="E23" t="s">
        <v>52</v>
      </c>
      <c r="F23">
        <v>7098020</v>
      </c>
      <c r="G23" t="s">
        <v>410</v>
      </c>
      <c r="H23" t="s">
        <v>48</v>
      </c>
      <c r="I23" t="s">
        <v>49</v>
      </c>
      <c r="J23" t="s">
        <v>50</v>
      </c>
      <c r="K23" t="s">
        <v>411</v>
      </c>
      <c r="L23" t="s">
        <v>51</v>
      </c>
      <c r="M23" t="s">
        <v>1322</v>
      </c>
      <c r="N23" t="s">
        <v>1323</v>
      </c>
      <c r="O23" t="s">
        <v>1324</v>
      </c>
      <c r="P23" t="s">
        <v>1292</v>
      </c>
      <c r="Q23" t="s">
        <v>46</v>
      </c>
      <c r="R23" t="s">
        <v>47</v>
      </c>
      <c r="S23" t="s">
        <v>46</v>
      </c>
      <c r="T23" t="s">
        <v>46</v>
      </c>
      <c r="U23" s="4">
        <v>4375.32</v>
      </c>
      <c r="V23" t="str">
        <f t="shared" si="0"/>
        <v>CP28</v>
      </c>
      <c r="W23" t="str">
        <f>VLOOKUP(K23,[1]Info!A$1:B$21,2,0)</f>
        <v>Caminhão Pipa</v>
      </c>
      <c r="X23" t="str">
        <f>IF(M23="109595132","Material de Limpeza-Não Avaliar",IF(AND(K23="F20",M23&lt;&gt;109595132),IF(RIGHT(F23,2)="70","Infraestrutura de Planta","Prédios e Instalações"),IF(K23="FPC",VLOOKUP(F23,[1]Info!$E$2:$F$11,2,0),IF(K23="FGP",VLOOKUP(F23,[1]Info!$E$9:$F$10,2,0),IF(K23="F10",VLOOKUP(F23,[1]Info!$E$2:$F$3,2,0),VLOOKUP(K23,[1]Info!$A$1:$B$21,2,0))))))</f>
        <v>Caminhão Pipa</v>
      </c>
    </row>
    <row r="24" spans="1:24" x14ac:dyDescent="0.35">
      <c r="A24" t="s">
        <v>41</v>
      </c>
      <c r="B24" t="s">
        <v>402</v>
      </c>
      <c r="C24" t="s">
        <v>403</v>
      </c>
      <c r="D24" t="s">
        <v>94</v>
      </c>
      <c r="E24" t="s">
        <v>52</v>
      </c>
      <c r="F24">
        <v>7098020</v>
      </c>
      <c r="G24" t="s">
        <v>410</v>
      </c>
      <c r="H24" t="s">
        <v>48</v>
      </c>
      <c r="I24" t="s">
        <v>49</v>
      </c>
      <c r="J24" t="s">
        <v>50</v>
      </c>
      <c r="K24" t="s">
        <v>411</v>
      </c>
      <c r="L24" t="s">
        <v>51</v>
      </c>
      <c r="M24" t="s">
        <v>412</v>
      </c>
      <c r="N24" t="s">
        <v>413</v>
      </c>
      <c r="O24" t="s">
        <v>414</v>
      </c>
      <c r="P24" t="s">
        <v>383</v>
      </c>
      <c r="Q24" t="s">
        <v>180</v>
      </c>
      <c r="R24" t="s">
        <v>181</v>
      </c>
      <c r="S24" t="s">
        <v>46</v>
      </c>
      <c r="T24" t="s">
        <v>46</v>
      </c>
      <c r="U24" s="4">
        <v>121.06</v>
      </c>
      <c r="V24" t="str">
        <f t="shared" si="0"/>
        <v>CP26</v>
      </c>
      <c r="W24" t="str">
        <f>VLOOKUP(K24,[1]Info!A$1:B$21,2,0)</f>
        <v>Caminhão Pipa</v>
      </c>
      <c r="X24" t="str">
        <f>IF(M24="109595132","Material de Limpeza-Não Avaliar",IF(AND(K24="F20",M24&lt;&gt;109595132),IF(RIGHT(F24,2)="70","Infraestrutura de Planta","Prédios e Instalações"),IF(K24="FPC",VLOOKUP(F24,[1]Info!$E$2:$F$11,2,0),IF(K24="FGP",VLOOKUP(F24,[1]Info!$E$9:$F$10,2,0),IF(K24="F10",VLOOKUP(F24,[1]Info!$E$2:$F$3,2,0),VLOOKUP(K24,[1]Info!$A$1:$B$21,2,0))))))</f>
        <v>Caminhão Pipa</v>
      </c>
    </row>
    <row r="25" spans="1:24" x14ac:dyDescent="0.35">
      <c r="A25" t="s">
        <v>41</v>
      </c>
      <c r="B25" t="s">
        <v>402</v>
      </c>
      <c r="C25" t="s">
        <v>403</v>
      </c>
      <c r="D25" t="s">
        <v>94</v>
      </c>
      <c r="E25" t="s">
        <v>52</v>
      </c>
      <c r="F25">
        <v>7098020</v>
      </c>
      <c r="G25" t="s">
        <v>410</v>
      </c>
      <c r="H25" t="s">
        <v>48</v>
      </c>
      <c r="I25" t="s">
        <v>49</v>
      </c>
      <c r="J25" t="s">
        <v>50</v>
      </c>
      <c r="K25" t="s">
        <v>411</v>
      </c>
      <c r="L25" t="s">
        <v>51</v>
      </c>
      <c r="M25" t="s">
        <v>412</v>
      </c>
      <c r="N25" t="s">
        <v>413</v>
      </c>
      <c r="O25" t="s">
        <v>414</v>
      </c>
      <c r="P25" t="s">
        <v>383</v>
      </c>
      <c r="Q25" t="s">
        <v>182</v>
      </c>
      <c r="R25" t="s">
        <v>183</v>
      </c>
      <c r="S25" t="s">
        <v>46</v>
      </c>
      <c r="T25" t="s">
        <v>46</v>
      </c>
      <c r="U25" s="4">
        <v>181.18</v>
      </c>
      <c r="V25" t="str">
        <f t="shared" si="0"/>
        <v>CP26</v>
      </c>
      <c r="W25" t="str">
        <f>VLOOKUP(K25,[1]Info!A$1:B$21,2,0)</f>
        <v>Caminhão Pipa</v>
      </c>
      <c r="X25" t="str">
        <f>IF(M25="109595132","Material de Limpeza-Não Avaliar",IF(AND(K25="F20",M25&lt;&gt;109595132),IF(RIGHT(F25,2)="70","Infraestrutura de Planta","Prédios e Instalações"),IF(K25="FPC",VLOOKUP(F25,[1]Info!$E$2:$F$11,2,0),IF(K25="FGP",VLOOKUP(F25,[1]Info!$E$9:$F$10,2,0),IF(K25="F10",VLOOKUP(F25,[1]Info!$E$2:$F$3,2,0),VLOOKUP(K25,[1]Info!$A$1:$B$21,2,0))))))</f>
        <v>Caminhão Pipa</v>
      </c>
    </row>
    <row r="26" spans="1:24" x14ac:dyDescent="0.35">
      <c r="A26" t="s">
        <v>41</v>
      </c>
      <c r="B26" t="s">
        <v>402</v>
      </c>
      <c r="C26" t="s">
        <v>403</v>
      </c>
      <c r="D26" t="s">
        <v>94</v>
      </c>
      <c r="E26" t="s">
        <v>52</v>
      </c>
      <c r="F26">
        <v>7098020</v>
      </c>
      <c r="G26" t="s">
        <v>410</v>
      </c>
      <c r="H26" t="s">
        <v>48</v>
      </c>
      <c r="I26" t="s">
        <v>49</v>
      </c>
      <c r="J26" t="s">
        <v>50</v>
      </c>
      <c r="K26" t="s">
        <v>411</v>
      </c>
      <c r="L26" t="s">
        <v>51</v>
      </c>
      <c r="M26" t="s">
        <v>412</v>
      </c>
      <c r="N26" t="s">
        <v>413</v>
      </c>
      <c r="O26" t="s">
        <v>414</v>
      </c>
      <c r="P26" t="s">
        <v>383</v>
      </c>
      <c r="Q26" t="s">
        <v>184</v>
      </c>
      <c r="R26" t="s">
        <v>185</v>
      </c>
      <c r="S26" t="s">
        <v>46</v>
      </c>
      <c r="T26" t="s">
        <v>46</v>
      </c>
      <c r="U26" s="4">
        <v>110.26</v>
      </c>
      <c r="V26" t="str">
        <f t="shared" si="0"/>
        <v>CP26</v>
      </c>
      <c r="W26" t="str">
        <f>VLOOKUP(K26,[1]Info!A$1:B$21,2,0)</f>
        <v>Caminhão Pipa</v>
      </c>
      <c r="X26" t="str">
        <f>IF(M26="109595132","Material de Limpeza-Não Avaliar",IF(AND(K26="F20",M26&lt;&gt;109595132),IF(RIGHT(F26,2)="70","Infraestrutura de Planta","Prédios e Instalações"),IF(K26="FPC",VLOOKUP(F26,[1]Info!$E$2:$F$11,2,0),IF(K26="FGP",VLOOKUP(F26,[1]Info!$E$9:$F$10,2,0),IF(K26="F10",VLOOKUP(F26,[1]Info!$E$2:$F$3,2,0),VLOOKUP(K26,[1]Info!$A$1:$B$21,2,0))))))</f>
        <v>Caminhão Pipa</v>
      </c>
    </row>
    <row r="27" spans="1:24" x14ac:dyDescent="0.35">
      <c r="A27" t="s">
        <v>41</v>
      </c>
      <c r="B27" t="s">
        <v>402</v>
      </c>
      <c r="C27" t="s">
        <v>403</v>
      </c>
      <c r="D27" t="s">
        <v>94</v>
      </c>
      <c r="E27" t="s">
        <v>52</v>
      </c>
      <c r="F27">
        <v>7098020</v>
      </c>
      <c r="G27" t="s">
        <v>410</v>
      </c>
      <c r="H27" t="s">
        <v>48</v>
      </c>
      <c r="I27" t="s">
        <v>49</v>
      </c>
      <c r="J27" t="s">
        <v>50</v>
      </c>
      <c r="K27" t="s">
        <v>411</v>
      </c>
      <c r="L27" t="s">
        <v>51</v>
      </c>
      <c r="M27" t="s">
        <v>412</v>
      </c>
      <c r="N27" t="s">
        <v>413</v>
      </c>
      <c r="O27" t="s">
        <v>414</v>
      </c>
      <c r="P27" t="s">
        <v>383</v>
      </c>
      <c r="Q27" t="s">
        <v>186</v>
      </c>
      <c r="R27" t="s">
        <v>187</v>
      </c>
      <c r="S27" t="s">
        <v>46</v>
      </c>
      <c r="T27" t="s">
        <v>46</v>
      </c>
      <c r="U27" s="4">
        <v>83.93</v>
      </c>
      <c r="V27" t="str">
        <f t="shared" si="0"/>
        <v>CP26</v>
      </c>
      <c r="W27" t="str">
        <f>VLOOKUP(K27,[1]Info!A$1:B$21,2,0)</f>
        <v>Caminhão Pipa</v>
      </c>
      <c r="X27" t="str">
        <f>IF(M27="109595132","Material de Limpeza-Não Avaliar",IF(AND(K27="F20",M27&lt;&gt;109595132),IF(RIGHT(F27,2)="70","Infraestrutura de Planta","Prédios e Instalações"),IF(K27="FPC",VLOOKUP(F27,[1]Info!$E$2:$F$11,2,0),IF(K27="FGP",VLOOKUP(F27,[1]Info!$E$9:$F$10,2,0),IF(K27="F10",VLOOKUP(F27,[1]Info!$E$2:$F$3,2,0),VLOOKUP(K27,[1]Info!$A$1:$B$21,2,0))))))</f>
        <v>Caminhão Pipa</v>
      </c>
    </row>
    <row r="28" spans="1:24" x14ac:dyDescent="0.35">
      <c r="A28" t="s">
        <v>41</v>
      </c>
      <c r="B28" t="s">
        <v>402</v>
      </c>
      <c r="C28" t="s">
        <v>403</v>
      </c>
      <c r="D28" t="s">
        <v>94</v>
      </c>
      <c r="E28" t="s">
        <v>52</v>
      </c>
      <c r="F28">
        <v>7098020</v>
      </c>
      <c r="G28" t="s">
        <v>410</v>
      </c>
      <c r="H28" t="s">
        <v>48</v>
      </c>
      <c r="I28" t="s">
        <v>49</v>
      </c>
      <c r="J28" t="s">
        <v>50</v>
      </c>
      <c r="K28" t="s">
        <v>411</v>
      </c>
      <c r="L28" t="s">
        <v>51</v>
      </c>
      <c r="M28" t="s">
        <v>412</v>
      </c>
      <c r="N28" t="s">
        <v>413</v>
      </c>
      <c r="O28" t="s">
        <v>414</v>
      </c>
      <c r="P28" t="s">
        <v>383</v>
      </c>
      <c r="Q28" t="s">
        <v>265</v>
      </c>
      <c r="R28" t="s">
        <v>266</v>
      </c>
      <c r="S28" t="s">
        <v>46</v>
      </c>
      <c r="T28" t="s">
        <v>46</v>
      </c>
      <c r="U28" s="4">
        <v>119.48</v>
      </c>
      <c r="V28" t="str">
        <f t="shared" si="0"/>
        <v>CP26</v>
      </c>
      <c r="W28" t="str">
        <f>VLOOKUP(K28,[1]Info!A$1:B$21,2,0)</f>
        <v>Caminhão Pipa</v>
      </c>
      <c r="X28" t="str">
        <f>IF(M28="109595132","Material de Limpeza-Não Avaliar",IF(AND(K28="F20",M28&lt;&gt;109595132),IF(RIGHT(F28,2)="70","Infraestrutura de Planta","Prédios e Instalações"),IF(K28="FPC",VLOOKUP(F28,[1]Info!$E$2:$F$11,2,0),IF(K28="FGP",VLOOKUP(F28,[1]Info!$E$9:$F$10,2,0),IF(K28="F10",VLOOKUP(F28,[1]Info!$E$2:$F$3,2,0),VLOOKUP(K28,[1]Info!$A$1:$B$21,2,0))))))</f>
        <v>Caminhão Pipa</v>
      </c>
    </row>
    <row r="29" spans="1:24" x14ac:dyDescent="0.35">
      <c r="A29" t="s">
        <v>41</v>
      </c>
      <c r="B29" t="s">
        <v>402</v>
      </c>
      <c r="C29" t="s">
        <v>403</v>
      </c>
      <c r="D29" t="s">
        <v>94</v>
      </c>
      <c r="E29" t="s">
        <v>52</v>
      </c>
      <c r="F29">
        <v>7098020</v>
      </c>
      <c r="G29" t="s">
        <v>410</v>
      </c>
      <c r="H29" t="s">
        <v>48</v>
      </c>
      <c r="I29" t="s">
        <v>49</v>
      </c>
      <c r="J29" t="s">
        <v>50</v>
      </c>
      <c r="K29" t="s">
        <v>411</v>
      </c>
      <c r="L29" t="s">
        <v>51</v>
      </c>
      <c r="M29" t="s">
        <v>412</v>
      </c>
      <c r="N29" t="s">
        <v>413</v>
      </c>
      <c r="O29" t="s">
        <v>414</v>
      </c>
      <c r="P29" t="s">
        <v>1292</v>
      </c>
      <c r="Q29" t="s">
        <v>46</v>
      </c>
      <c r="R29" t="s">
        <v>47</v>
      </c>
      <c r="S29" t="s">
        <v>46</v>
      </c>
      <c r="T29" t="s">
        <v>46</v>
      </c>
      <c r="U29" s="4">
        <v>2328.7800000000002</v>
      </c>
      <c r="V29" t="str">
        <f t="shared" si="0"/>
        <v>CP26</v>
      </c>
      <c r="W29" t="str">
        <f>VLOOKUP(K29,[1]Info!A$1:B$21,2,0)</f>
        <v>Caminhão Pipa</v>
      </c>
      <c r="X29" t="str">
        <f>IF(M29="109595132","Material de Limpeza-Não Avaliar",IF(AND(K29="F20",M29&lt;&gt;109595132),IF(RIGHT(F29,2)="70","Infraestrutura de Planta","Prédios e Instalações"),IF(K29="FPC",VLOOKUP(F29,[1]Info!$E$2:$F$11,2,0),IF(K29="FGP",VLOOKUP(F29,[1]Info!$E$9:$F$10,2,0),IF(K29="F10",VLOOKUP(F29,[1]Info!$E$2:$F$3,2,0),VLOOKUP(K29,[1]Info!$A$1:$B$21,2,0))))))</f>
        <v>Caminhão Pipa</v>
      </c>
    </row>
    <row r="30" spans="1:24" s="6" customFormat="1" x14ac:dyDescent="0.35">
      <c r="A30" t="s">
        <v>41</v>
      </c>
      <c r="B30" t="s">
        <v>402</v>
      </c>
      <c r="C30" t="s">
        <v>403</v>
      </c>
      <c r="D30" t="s">
        <v>94</v>
      </c>
      <c r="E30" t="s">
        <v>52</v>
      </c>
      <c r="F30">
        <v>7098020</v>
      </c>
      <c r="G30" t="s">
        <v>410</v>
      </c>
      <c r="H30" t="s">
        <v>48</v>
      </c>
      <c r="I30" t="s">
        <v>49</v>
      </c>
      <c r="J30" t="s">
        <v>50</v>
      </c>
      <c r="K30" t="s">
        <v>411</v>
      </c>
      <c r="L30" t="s">
        <v>51</v>
      </c>
      <c r="M30" t="s">
        <v>1325</v>
      </c>
      <c r="N30" t="s">
        <v>1317</v>
      </c>
      <c r="O30" t="s">
        <v>1318</v>
      </c>
      <c r="P30" t="s">
        <v>1292</v>
      </c>
      <c r="Q30" t="s">
        <v>46</v>
      </c>
      <c r="R30" t="s">
        <v>47</v>
      </c>
      <c r="S30" t="s">
        <v>46</v>
      </c>
      <c r="T30" t="s">
        <v>46</v>
      </c>
      <c r="U30" s="4">
        <v>77.510000000000005</v>
      </c>
      <c r="V30" t="str">
        <f t="shared" si="0"/>
        <v>CP14</v>
      </c>
      <c r="W30" t="str">
        <f>VLOOKUP(K30,[1]Info!A$1:B$21,2,0)</f>
        <v>Caminhão Pipa</v>
      </c>
      <c r="X30" t="str">
        <f>IF(M30="109595132","Material de Limpeza-Não Avaliar",IF(AND(K30="F20",M30&lt;&gt;109595132),IF(RIGHT(F30,2)="70","Infraestrutura de Planta","Prédios e Instalações"),IF(K30="FPC",VLOOKUP(F30,[1]Info!$E$2:$F$11,2,0),IF(K30="FGP",VLOOKUP(F30,[1]Info!$E$9:$F$10,2,0),IF(K30="F10",VLOOKUP(F30,[1]Info!$E$2:$F$3,2,0),VLOOKUP(K30,[1]Info!$A$1:$B$21,2,0))))))</f>
        <v>Caminhão Pipa</v>
      </c>
    </row>
    <row r="31" spans="1:24" x14ac:dyDescent="0.35">
      <c r="A31" t="s">
        <v>41</v>
      </c>
      <c r="B31" t="s">
        <v>402</v>
      </c>
      <c r="C31" t="s">
        <v>403</v>
      </c>
      <c r="D31" t="s">
        <v>94</v>
      </c>
      <c r="E31" t="s">
        <v>52</v>
      </c>
      <c r="F31">
        <v>7098020</v>
      </c>
      <c r="G31" t="s">
        <v>410</v>
      </c>
      <c r="H31" t="s">
        <v>48</v>
      </c>
      <c r="I31" t="s">
        <v>49</v>
      </c>
      <c r="J31" t="s">
        <v>50</v>
      </c>
      <c r="K31" t="s">
        <v>411</v>
      </c>
      <c r="L31" t="s">
        <v>51</v>
      </c>
      <c r="M31" t="s">
        <v>415</v>
      </c>
      <c r="N31" t="s">
        <v>416</v>
      </c>
      <c r="O31" t="s">
        <v>417</v>
      </c>
      <c r="P31" t="s">
        <v>383</v>
      </c>
      <c r="Q31" t="s">
        <v>178</v>
      </c>
      <c r="R31" t="s">
        <v>179</v>
      </c>
      <c r="S31" t="s">
        <v>46</v>
      </c>
      <c r="T31" t="s">
        <v>46</v>
      </c>
      <c r="U31" s="4">
        <v>183.32</v>
      </c>
      <c r="V31" t="str">
        <f t="shared" si="0"/>
        <v>CP20</v>
      </c>
      <c r="W31" t="str">
        <f>VLOOKUP(K31,[1]Info!A$1:B$21,2,0)</f>
        <v>Caminhão Pipa</v>
      </c>
      <c r="X31" t="str">
        <f>IF(M31="109595132","Material de Limpeza-Não Avaliar",IF(AND(K31="F20",M31&lt;&gt;109595132),IF(RIGHT(F31,2)="70","Infraestrutura de Planta","Prédios e Instalações"),IF(K31="FPC",VLOOKUP(F31,[1]Info!$E$2:$F$11,2,0),IF(K31="FGP",VLOOKUP(F31,[1]Info!$E$9:$F$10,2,0),IF(K31="F10",VLOOKUP(F31,[1]Info!$E$2:$F$3,2,0),VLOOKUP(K31,[1]Info!$A$1:$B$21,2,0))))))</f>
        <v>Caminhão Pipa</v>
      </c>
    </row>
    <row r="32" spans="1:24" x14ac:dyDescent="0.35">
      <c r="A32" t="s">
        <v>41</v>
      </c>
      <c r="B32" t="s">
        <v>402</v>
      </c>
      <c r="C32" t="s">
        <v>403</v>
      </c>
      <c r="D32" t="s">
        <v>94</v>
      </c>
      <c r="E32" t="s">
        <v>52</v>
      </c>
      <c r="F32">
        <v>7098020</v>
      </c>
      <c r="G32" t="s">
        <v>410</v>
      </c>
      <c r="H32" t="s">
        <v>48</v>
      </c>
      <c r="I32" t="s">
        <v>49</v>
      </c>
      <c r="J32" t="s">
        <v>50</v>
      </c>
      <c r="K32" t="s">
        <v>411</v>
      </c>
      <c r="L32" t="s">
        <v>51</v>
      </c>
      <c r="M32" t="s">
        <v>415</v>
      </c>
      <c r="N32" t="s">
        <v>416</v>
      </c>
      <c r="O32" t="s">
        <v>417</v>
      </c>
      <c r="P32" t="s">
        <v>383</v>
      </c>
      <c r="Q32" t="s">
        <v>180</v>
      </c>
      <c r="R32" t="s">
        <v>181</v>
      </c>
      <c r="S32" t="s">
        <v>46</v>
      </c>
      <c r="T32" t="s">
        <v>46</v>
      </c>
      <c r="U32" s="4">
        <v>121.06</v>
      </c>
      <c r="V32" t="str">
        <f t="shared" si="0"/>
        <v>CP20</v>
      </c>
      <c r="W32" t="str">
        <f>VLOOKUP(K32,[1]Info!A$1:B$21,2,0)</f>
        <v>Caminhão Pipa</v>
      </c>
      <c r="X32" t="str">
        <f>IF(M32="109595132","Material de Limpeza-Não Avaliar",IF(AND(K32="F20",M32&lt;&gt;109595132),IF(RIGHT(F32,2)="70","Infraestrutura de Planta","Prédios e Instalações"),IF(K32="FPC",VLOOKUP(F32,[1]Info!$E$2:$F$11,2,0),IF(K32="FGP",VLOOKUP(F32,[1]Info!$E$9:$F$10,2,0),IF(K32="F10",VLOOKUP(F32,[1]Info!$E$2:$F$3,2,0),VLOOKUP(K32,[1]Info!$A$1:$B$21,2,0))))))</f>
        <v>Caminhão Pipa</v>
      </c>
    </row>
    <row r="33" spans="1:24" x14ac:dyDescent="0.35">
      <c r="A33" t="s">
        <v>41</v>
      </c>
      <c r="B33" t="s">
        <v>402</v>
      </c>
      <c r="C33" t="s">
        <v>403</v>
      </c>
      <c r="D33" t="s">
        <v>94</v>
      </c>
      <c r="E33" t="s">
        <v>52</v>
      </c>
      <c r="F33">
        <v>7098020</v>
      </c>
      <c r="G33" t="s">
        <v>410</v>
      </c>
      <c r="H33" t="s">
        <v>48</v>
      </c>
      <c r="I33" t="s">
        <v>49</v>
      </c>
      <c r="J33" t="s">
        <v>50</v>
      </c>
      <c r="K33" t="s">
        <v>411</v>
      </c>
      <c r="L33" t="s">
        <v>51</v>
      </c>
      <c r="M33" t="s">
        <v>415</v>
      </c>
      <c r="N33" t="s">
        <v>416</v>
      </c>
      <c r="O33" t="s">
        <v>417</v>
      </c>
      <c r="P33" t="s">
        <v>383</v>
      </c>
      <c r="Q33" t="s">
        <v>182</v>
      </c>
      <c r="R33" t="s">
        <v>183</v>
      </c>
      <c r="S33" t="s">
        <v>46</v>
      </c>
      <c r="T33" t="s">
        <v>46</v>
      </c>
      <c r="U33" s="4">
        <v>195.73</v>
      </c>
      <c r="V33" t="str">
        <f t="shared" si="0"/>
        <v>CP20</v>
      </c>
      <c r="W33" t="str">
        <f>VLOOKUP(K33,[1]Info!A$1:B$21,2,0)</f>
        <v>Caminhão Pipa</v>
      </c>
      <c r="X33" t="str">
        <f>IF(M33="109595132","Material de Limpeza-Não Avaliar",IF(AND(K33="F20",M33&lt;&gt;109595132),IF(RIGHT(F33,2)="70","Infraestrutura de Planta","Prédios e Instalações"),IF(K33="FPC",VLOOKUP(F33,[1]Info!$E$2:$F$11,2,0),IF(K33="FGP",VLOOKUP(F33,[1]Info!$E$9:$F$10,2,0),IF(K33="F10",VLOOKUP(F33,[1]Info!$E$2:$F$3,2,0),VLOOKUP(K33,[1]Info!$A$1:$B$21,2,0))))))</f>
        <v>Caminhão Pipa</v>
      </c>
    </row>
    <row r="34" spans="1:24" x14ac:dyDescent="0.35">
      <c r="A34" t="s">
        <v>41</v>
      </c>
      <c r="B34" t="s">
        <v>402</v>
      </c>
      <c r="C34" t="s">
        <v>403</v>
      </c>
      <c r="D34" t="s">
        <v>94</v>
      </c>
      <c r="E34" t="s">
        <v>52</v>
      </c>
      <c r="F34">
        <v>7098020</v>
      </c>
      <c r="G34" t="s">
        <v>410</v>
      </c>
      <c r="H34" t="s">
        <v>48</v>
      </c>
      <c r="I34" t="s">
        <v>49</v>
      </c>
      <c r="J34" t="s">
        <v>50</v>
      </c>
      <c r="K34" t="s">
        <v>411</v>
      </c>
      <c r="L34" t="s">
        <v>51</v>
      </c>
      <c r="M34" t="s">
        <v>415</v>
      </c>
      <c r="N34" t="s">
        <v>416</v>
      </c>
      <c r="O34" t="s">
        <v>417</v>
      </c>
      <c r="P34" t="s">
        <v>383</v>
      </c>
      <c r="Q34" t="s">
        <v>184</v>
      </c>
      <c r="R34" t="s">
        <v>185</v>
      </c>
      <c r="S34" t="s">
        <v>46</v>
      </c>
      <c r="T34" t="s">
        <v>46</v>
      </c>
      <c r="U34" s="4">
        <v>110.26</v>
      </c>
      <c r="V34" t="str">
        <f t="shared" si="0"/>
        <v>CP20</v>
      </c>
      <c r="W34" t="str">
        <f>VLOOKUP(K34,[1]Info!A$1:B$21,2,0)</f>
        <v>Caminhão Pipa</v>
      </c>
      <c r="X34" t="str">
        <f>IF(M34="109595132","Material de Limpeza-Não Avaliar",IF(AND(K34="F20",M34&lt;&gt;109595132),IF(RIGHT(F34,2)="70","Infraestrutura de Planta","Prédios e Instalações"),IF(K34="FPC",VLOOKUP(F34,[1]Info!$E$2:$F$11,2,0),IF(K34="FGP",VLOOKUP(F34,[1]Info!$E$9:$F$10,2,0),IF(K34="F10",VLOOKUP(F34,[1]Info!$E$2:$F$3,2,0),VLOOKUP(K34,[1]Info!$A$1:$B$21,2,0))))))</f>
        <v>Caminhão Pipa</v>
      </c>
    </row>
    <row r="35" spans="1:24" x14ac:dyDescent="0.35">
      <c r="A35" t="s">
        <v>41</v>
      </c>
      <c r="B35" t="s">
        <v>402</v>
      </c>
      <c r="C35" t="s">
        <v>403</v>
      </c>
      <c r="D35" t="s">
        <v>94</v>
      </c>
      <c r="E35" t="s">
        <v>52</v>
      </c>
      <c r="F35">
        <v>7098020</v>
      </c>
      <c r="G35" t="s">
        <v>410</v>
      </c>
      <c r="H35" t="s">
        <v>48</v>
      </c>
      <c r="I35" t="s">
        <v>49</v>
      </c>
      <c r="J35" t="s">
        <v>50</v>
      </c>
      <c r="K35" t="s">
        <v>411</v>
      </c>
      <c r="L35" t="s">
        <v>51</v>
      </c>
      <c r="M35" t="s">
        <v>415</v>
      </c>
      <c r="N35" t="s">
        <v>416</v>
      </c>
      <c r="O35" t="s">
        <v>417</v>
      </c>
      <c r="P35" t="s">
        <v>383</v>
      </c>
      <c r="Q35" t="s">
        <v>186</v>
      </c>
      <c r="R35" t="s">
        <v>187</v>
      </c>
      <c r="S35" t="s">
        <v>46</v>
      </c>
      <c r="T35" t="s">
        <v>46</v>
      </c>
      <c r="U35" s="4">
        <v>101.48</v>
      </c>
      <c r="V35" t="str">
        <f t="shared" si="0"/>
        <v>CP20</v>
      </c>
      <c r="W35" t="str">
        <f>VLOOKUP(K35,[1]Info!A$1:B$21,2,0)</f>
        <v>Caminhão Pipa</v>
      </c>
      <c r="X35" t="str">
        <f>IF(M35="109595132","Material de Limpeza-Não Avaliar",IF(AND(K35="F20",M35&lt;&gt;109595132),IF(RIGHT(F35,2)="70","Infraestrutura de Planta","Prédios e Instalações"),IF(K35="FPC",VLOOKUP(F35,[1]Info!$E$2:$F$11,2,0),IF(K35="FGP",VLOOKUP(F35,[1]Info!$E$9:$F$10,2,0),IF(K35="F10",VLOOKUP(F35,[1]Info!$E$2:$F$3,2,0),VLOOKUP(K35,[1]Info!$A$1:$B$21,2,0))))))</f>
        <v>Caminhão Pipa</v>
      </c>
    </row>
    <row r="36" spans="1:24" x14ac:dyDescent="0.35">
      <c r="A36" t="s">
        <v>41</v>
      </c>
      <c r="B36" t="s">
        <v>402</v>
      </c>
      <c r="C36" t="s">
        <v>403</v>
      </c>
      <c r="D36" t="s">
        <v>94</v>
      </c>
      <c r="E36" t="s">
        <v>52</v>
      </c>
      <c r="F36">
        <v>7098020</v>
      </c>
      <c r="G36" t="s">
        <v>410</v>
      </c>
      <c r="H36" t="s">
        <v>48</v>
      </c>
      <c r="I36" t="s">
        <v>49</v>
      </c>
      <c r="J36" t="s">
        <v>50</v>
      </c>
      <c r="K36" t="s">
        <v>411</v>
      </c>
      <c r="L36" t="s">
        <v>51</v>
      </c>
      <c r="M36" t="s">
        <v>418</v>
      </c>
      <c r="N36" t="s">
        <v>419</v>
      </c>
      <c r="O36" t="s">
        <v>420</v>
      </c>
      <c r="P36" t="s">
        <v>383</v>
      </c>
      <c r="Q36" t="s">
        <v>178</v>
      </c>
      <c r="R36" t="s">
        <v>179</v>
      </c>
      <c r="S36" t="s">
        <v>46</v>
      </c>
      <c r="T36" t="s">
        <v>46</v>
      </c>
      <c r="U36" s="4">
        <v>183.32</v>
      </c>
      <c r="V36" t="str">
        <f t="shared" si="0"/>
        <v>CP22</v>
      </c>
      <c r="W36" t="str">
        <f>VLOOKUP(K36,[1]Info!A$1:B$21,2,0)</f>
        <v>Caminhão Pipa</v>
      </c>
      <c r="X36" t="str">
        <f>IF(M36="109595132","Material de Limpeza-Não Avaliar",IF(AND(K36="F20",M36&lt;&gt;109595132),IF(RIGHT(F36,2)="70","Infraestrutura de Planta","Prédios e Instalações"),IF(K36="FPC",VLOOKUP(F36,[1]Info!$E$2:$F$11,2,0),IF(K36="FGP",VLOOKUP(F36,[1]Info!$E$9:$F$10,2,0),IF(K36="F10",VLOOKUP(F36,[1]Info!$E$2:$F$3,2,0),VLOOKUP(K36,[1]Info!$A$1:$B$21,2,0))))))</f>
        <v>Caminhão Pipa</v>
      </c>
    </row>
    <row r="37" spans="1:24" x14ac:dyDescent="0.35">
      <c r="A37" t="s">
        <v>41</v>
      </c>
      <c r="B37" t="s">
        <v>402</v>
      </c>
      <c r="C37" t="s">
        <v>403</v>
      </c>
      <c r="D37" t="s">
        <v>94</v>
      </c>
      <c r="E37" t="s">
        <v>52</v>
      </c>
      <c r="F37">
        <v>7098020</v>
      </c>
      <c r="G37" t="s">
        <v>410</v>
      </c>
      <c r="H37" t="s">
        <v>48</v>
      </c>
      <c r="I37" t="s">
        <v>49</v>
      </c>
      <c r="J37" t="s">
        <v>50</v>
      </c>
      <c r="K37" t="s">
        <v>411</v>
      </c>
      <c r="L37" t="s">
        <v>51</v>
      </c>
      <c r="M37" t="s">
        <v>418</v>
      </c>
      <c r="N37" t="s">
        <v>419</v>
      </c>
      <c r="O37" t="s">
        <v>420</v>
      </c>
      <c r="P37" t="s">
        <v>383</v>
      </c>
      <c r="Q37" t="s">
        <v>180</v>
      </c>
      <c r="R37" t="s">
        <v>181</v>
      </c>
      <c r="S37" t="s">
        <v>46</v>
      </c>
      <c r="T37" t="s">
        <v>46</v>
      </c>
      <c r="U37" s="4">
        <v>132.99</v>
      </c>
      <c r="V37" t="str">
        <f t="shared" si="0"/>
        <v>CP22</v>
      </c>
      <c r="W37" t="str">
        <f>VLOOKUP(K37,[1]Info!A$1:B$21,2,0)</f>
        <v>Caminhão Pipa</v>
      </c>
      <c r="X37" t="str">
        <f>IF(M37="109595132","Material de Limpeza-Não Avaliar",IF(AND(K37="F20",M37&lt;&gt;109595132),IF(RIGHT(F37,2)="70","Infraestrutura de Planta","Prédios e Instalações"),IF(K37="FPC",VLOOKUP(F37,[1]Info!$E$2:$F$11,2,0),IF(K37="FGP",VLOOKUP(F37,[1]Info!$E$9:$F$10,2,0),IF(K37="F10",VLOOKUP(F37,[1]Info!$E$2:$F$3,2,0),VLOOKUP(K37,[1]Info!$A$1:$B$21,2,0))))))</f>
        <v>Caminhão Pipa</v>
      </c>
    </row>
    <row r="38" spans="1:24" x14ac:dyDescent="0.35">
      <c r="A38" t="s">
        <v>41</v>
      </c>
      <c r="B38" t="s">
        <v>402</v>
      </c>
      <c r="C38" t="s">
        <v>403</v>
      </c>
      <c r="D38" t="s">
        <v>94</v>
      </c>
      <c r="E38" t="s">
        <v>52</v>
      </c>
      <c r="F38">
        <v>7098020</v>
      </c>
      <c r="G38" t="s">
        <v>410</v>
      </c>
      <c r="H38" t="s">
        <v>48</v>
      </c>
      <c r="I38" t="s">
        <v>49</v>
      </c>
      <c r="J38" t="s">
        <v>50</v>
      </c>
      <c r="K38" t="s">
        <v>411</v>
      </c>
      <c r="L38" t="s">
        <v>51</v>
      </c>
      <c r="M38" t="s">
        <v>418</v>
      </c>
      <c r="N38" t="s">
        <v>419</v>
      </c>
      <c r="O38" t="s">
        <v>420</v>
      </c>
      <c r="P38" t="s">
        <v>383</v>
      </c>
      <c r="Q38" t="s">
        <v>182</v>
      </c>
      <c r="R38" t="s">
        <v>183</v>
      </c>
      <c r="S38" t="s">
        <v>46</v>
      </c>
      <c r="T38" t="s">
        <v>46</v>
      </c>
      <c r="U38" s="4">
        <v>181.18</v>
      </c>
      <c r="V38" t="str">
        <f t="shared" si="0"/>
        <v>CP22</v>
      </c>
      <c r="W38" t="str">
        <f>VLOOKUP(K38,[1]Info!A$1:B$21,2,0)</f>
        <v>Caminhão Pipa</v>
      </c>
      <c r="X38" t="str">
        <f>IF(M38="109595132","Material de Limpeza-Não Avaliar",IF(AND(K38="F20",M38&lt;&gt;109595132),IF(RIGHT(F38,2)="70","Infraestrutura de Planta","Prédios e Instalações"),IF(K38="FPC",VLOOKUP(F38,[1]Info!$E$2:$F$11,2,0),IF(K38="FGP",VLOOKUP(F38,[1]Info!$E$9:$F$10,2,0),IF(K38="F10",VLOOKUP(F38,[1]Info!$E$2:$F$3,2,0),VLOOKUP(K38,[1]Info!$A$1:$B$21,2,0))))))</f>
        <v>Caminhão Pipa</v>
      </c>
    </row>
    <row r="39" spans="1:24" x14ac:dyDescent="0.35">
      <c r="A39" t="s">
        <v>41</v>
      </c>
      <c r="B39" t="s">
        <v>402</v>
      </c>
      <c r="C39" t="s">
        <v>403</v>
      </c>
      <c r="D39" t="s">
        <v>94</v>
      </c>
      <c r="E39" t="s">
        <v>52</v>
      </c>
      <c r="F39">
        <v>7098020</v>
      </c>
      <c r="G39" t="s">
        <v>410</v>
      </c>
      <c r="H39" t="s">
        <v>48</v>
      </c>
      <c r="I39" t="s">
        <v>49</v>
      </c>
      <c r="J39" t="s">
        <v>50</v>
      </c>
      <c r="K39" t="s">
        <v>411</v>
      </c>
      <c r="L39" t="s">
        <v>51</v>
      </c>
      <c r="M39" t="s">
        <v>418</v>
      </c>
      <c r="N39" t="s">
        <v>419</v>
      </c>
      <c r="O39" t="s">
        <v>420</v>
      </c>
      <c r="P39" t="s">
        <v>383</v>
      </c>
      <c r="Q39" t="s">
        <v>184</v>
      </c>
      <c r="R39" t="s">
        <v>185</v>
      </c>
      <c r="S39" t="s">
        <v>46</v>
      </c>
      <c r="T39" t="s">
        <v>46</v>
      </c>
      <c r="U39" s="4">
        <v>110.26</v>
      </c>
      <c r="V39" t="str">
        <f t="shared" si="0"/>
        <v>CP22</v>
      </c>
      <c r="W39" t="str">
        <f>VLOOKUP(K39,[1]Info!A$1:B$21,2,0)</f>
        <v>Caminhão Pipa</v>
      </c>
      <c r="X39" t="str">
        <f>IF(M39="109595132","Material de Limpeza-Não Avaliar",IF(AND(K39="F20",M39&lt;&gt;109595132),IF(RIGHT(F39,2)="70","Infraestrutura de Planta","Prédios e Instalações"),IF(K39="FPC",VLOOKUP(F39,[1]Info!$E$2:$F$11,2,0),IF(K39="FGP",VLOOKUP(F39,[1]Info!$E$9:$F$10,2,0),IF(K39="F10",VLOOKUP(F39,[1]Info!$E$2:$F$3,2,0),VLOOKUP(K39,[1]Info!$A$1:$B$21,2,0))))))</f>
        <v>Caminhão Pipa</v>
      </c>
    </row>
    <row r="40" spans="1:24" x14ac:dyDescent="0.35">
      <c r="A40" t="s">
        <v>41</v>
      </c>
      <c r="B40" t="s">
        <v>402</v>
      </c>
      <c r="C40" t="s">
        <v>403</v>
      </c>
      <c r="D40" t="s">
        <v>94</v>
      </c>
      <c r="E40" t="s">
        <v>52</v>
      </c>
      <c r="F40">
        <v>7098020</v>
      </c>
      <c r="G40" t="s">
        <v>410</v>
      </c>
      <c r="H40" t="s">
        <v>48</v>
      </c>
      <c r="I40" t="s">
        <v>49</v>
      </c>
      <c r="J40" t="s">
        <v>50</v>
      </c>
      <c r="K40" t="s">
        <v>411</v>
      </c>
      <c r="L40" t="s">
        <v>51</v>
      </c>
      <c r="M40" t="s">
        <v>418</v>
      </c>
      <c r="N40" t="s">
        <v>419</v>
      </c>
      <c r="O40" t="s">
        <v>420</v>
      </c>
      <c r="P40" t="s">
        <v>383</v>
      </c>
      <c r="Q40" t="s">
        <v>186</v>
      </c>
      <c r="R40" t="s">
        <v>187</v>
      </c>
      <c r="S40" t="s">
        <v>46</v>
      </c>
      <c r="T40" t="s">
        <v>46</v>
      </c>
      <c r="U40" s="4">
        <v>83.93</v>
      </c>
      <c r="V40" t="str">
        <f t="shared" si="0"/>
        <v>CP22</v>
      </c>
      <c r="W40" t="str">
        <f>VLOOKUP(K40,[1]Info!A$1:B$21,2,0)</f>
        <v>Caminhão Pipa</v>
      </c>
      <c r="X40" t="str">
        <f>IF(M40="109595132","Material de Limpeza-Não Avaliar",IF(AND(K40="F20",M40&lt;&gt;109595132),IF(RIGHT(F40,2)="70","Infraestrutura de Planta","Prédios e Instalações"),IF(K40="FPC",VLOOKUP(F40,[1]Info!$E$2:$F$11,2,0),IF(K40="FGP",VLOOKUP(F40,[1]Info!$E$9:$F$10,2,0),IF(K40="F10",VLOOKUP(F40,[1]Info!$E$2:$F$3,2,0),VLOOKUP(K40,[1]Info!$A$1:$B$21,2,0))))))</f>
        <v>Caminhão Pipa</v>
      </c>
    </row>
    <row r="41" spans="1:24" x14ac:dyDescent="0.35">
      <c r="A41" t="s">
        <v>41</v>
      </c>
      <c r="B41" t="s">
        <v>402</v>
      </c>
      <c r="C41" t="s">
        <v>403</v>
      </c>
      <c r="D41" t="s">
        <v>94</v>
      </c>
      <c r="E41" t="s">
        <v>52</v>
      </c>
      <c r="F41">
        <v>7098020</v>
      </c>
      <c r="G41" t="s">
        <v>410</v>
      </c>
      <c r="H41" t="s">
        <v>48</v>
      </c>
      <c r="I41" t="s">
        <v>49</v>
      </c>
      <c r="J41" t="s">
        <v>50</v>
      </c>
      <c r="K41" t="s">
        <v>411</v>
      </c>
      <c r="L41" t="s">
        <v>51</v>
      </c>
      <c r="M41" t="s">
        <v>1326</v>
      </c>
      <c r="N41" t="s">
        <v>1327</v>
      </c>
      <c r="O41" t="s">
        <v>1301</v>
      </c>
      <c r="P41" t="s">
        <v>1292</v>
      </c>
      <c r="Q41" t="s">
        <v>46</v>
      </c>
      <c r="R41" t="s">
        <v>47</v>
      </c>
      <c r="S41" t="s">
        <v>46</v>
      </c>
      <c r="T41" t="s">
        <v>46</v>
      </c>
      <c r="U41" s="4">
        <v>1485.56</v>
      </c>
      <c r="V41" t="str">
        <f t="shared" si="0"/>
        <v>CP21</v>
      </c>
      <c r="W41" t="str">
        <f>VLOOKUP(K41,[1]Info!A$1:B$21,2,0)</f>
        <v>Caminhão Pipa</v>
      </c>
      <c r="X41" t="str">
        <f>IF(M41="109595132","Material de Limpeza-Não Avaliar",IF(AND(K41="F20",M41&lt;&gt;109595132),IF(RIGHT(F41,2)="70","Infraestrutura de Planta","Prédios e Instalações"),IF(K41="FPC",VLOOKUP(F41,[1]Info!$E$2:$F$11,2,0),IF(K41="FGP",VLOOKUP(F41,[1]Info!$E$9:$F$10,2,0),IF(K41="F10",VLOOKUP(F41,[1]Info!$E$2:$F$3,2,0),VLOOKUP(K41,[1]Info!$A$1:$B$21,2,0))))))</f>
        <v>Caminhão Pipa</v>
      </c>
    </row>
    <row r="42" spans="1:24" x14ac:dyDescent="0.35">
      <c r="A42" t="s">
        <v>41</v>
      </c>
      <c r="B42" t="s">
        <v>402</v>
      </c>
      <c r="C42" t="s">
        <v>403</v>
      </c>
      <c r="D42" t="s">
        <v>94</v>
      </c>
      <c r="E42" t="s">
        <v>52</v>
      </c>
      <c r="F42">
        <v>7098020</v>
      </c>
      <c r="G42" t="s">
        <v>410</v>
      </c>
      <c r="H42" t="s">
        <v>48</v>
      </c>
      <c r="I42" t="s">
        <v>49</v>
      </c>
      <c r="J42" t="s">
        <v>50</v>
      </c>
      <c r="K42" t="s">
        <v>411</v>
      </c>
      <c r="L42" t="s">
        <v>51</v>
      </c>
      <c r="M42" t="s">
        <v>428</v>
      </c>
      <c r="N42" t="s">
        <v>429</v>
      </c>
      <c r="O42" t="s">
        <v>430</v>
      </c>
      <c r="P42" t="s">
        <v>383</v>
      </c>
      <c r="Q42" t="s">
        <v>265</v>
      </c>
      <c r="R42" t="s">
        <v>266</v>
      </c>
      <c r="S42" t="s">
        <v>46</v>
      </c>
      <c r="T42" t="s">
        <v>46</v>
      </c>
      <c r="U42" s="4">
        <v>119.48</v>
      </c>
      <c r="V42" t="str">
        <f t="shared" si="0"/>
        <v>CP27</v>
      </c>
      <c r="W42" t="str">
        <f>VLOOKUP(K42,[1]Info!A$1:B$21,2,0)</f>
        <v>Caminhão Pipa</v>
      </c>
      <c r="X42" t="str">
        <f>IF(M42="109595132","Material de Limpeza-Não Avaliar",IF(AND(K42="F20",M42&lt;&gt;109595132),IF(RIGHT(F42,2)="70","Infraestrutura de Planta","Prédios e Instalações"),IF(K42="FPC",VLOOKUP(F42,[1]Info!$E$2:$F$11,2,0),IF(K42="FGP",VLOOKUP(F42,[1]Info!$E$9:$F$10,2,0),IF(K42="F10",VLOOKUP(F42,[1]Info!$E$2:$F$3,2,0),VLOOKUP(K42,[1]Info!$A$1:$B$21,2,0))))))</f>
        <v>Caminhão Pipa</v>
      </c>
    </row>
    <row r="43" spans="1:24" x14ac:dyDescent="0.35">
      <c r="A43" t="s">
        <v>41</v>
      </c>
      <c r="B43" t="s">
        <v>402</v>
      </c>
      <c r="C43" t="s">
        <v>403</v>
      </c>
      <c r="D43" t="s">
        <v>94</v>
      </c>
      <c r="E43" t="s">
        <v>52</v>
      </c>
      <c r="F43">
        <v>7098020</v>
      </c>
      <c r="G43" t="s">
        <v>410</v>
      </c>
      <c r="H43" t="s">
        <v>48</v>
      </c>
      <c r="I43" t="s">
        <v>49</v>
      </c>
      <c r="J43" t="s">
        <v>50</v>
      </c>
      <c r="K43" t="s">
        <v>411</v>
      </c>
      <c r="L43" t="s">
        <v>51</v>
      </c>
      <c r="M43" t="s">
        <v>1328</v>
      </c>
      <c r="N43" t="s">
        <v>1329</v>
      </c>
      <c r="O43" t="s">
        <v>1330</v>
      </c>
      <c r="P43" t="s">
        <v>1292</v>
      </c>
      <c r="Q43" t="s">
        <v>46</v>
      </c>
      <c r="R43" t="s">
        <v>47</v>
      </c>
      <c r="S43" t="s">
        <v>46</v>
      </c>
      <c r="T43" t="s">
        <v>46</v>
      </c>
      <c r="U43" s="4">
        <v>650</v>
      </c>
      <c r="V43" t="str">
        <f t="shared" si="0"/>
        <v>CP19</v>
      </c>
      <c r="W43" t="str">
        <f>VLOOKUP(K43,[1]Info!A$1:B$21,2,0)</f>
        <v>Caminhão Pipa</v>
      </c>
      <c r="X43" t="str">
        <f>IF(M43="109595132","Material de Limpeza-Não Avaliar",IF(AND(K43="F20",M43&lt;&gt;109595132),IF(RIGHT(F43,2)="70","Infraestrutura de Planta","Prédios e Instalações"),IF(K43="FPC",VLOOKUP(F43,[1]Info!$E$2:$F$11,2,0),IF(K43="FGP",VLOOKUP(F43,[1]Info!$E$9:$F$10,2,0),IF(K43="F10",VLOOKUP(F43,[1]Info!$E$2:$F$3,2,0),VLOOKUP(K43,[1]Info!$A$1:$B$21,2,0))))))</f>
        <v>Caminhão Pipa</v>
      </c>
    </row>
    <row r="44" spans="1:24" x14ac:dyDescent="0.35">
      <c r="A44" t="s">
        <v>41</v>
      </c>
      <c r="B44" t="s">
        <v>402</v>
      </c>
      <c r="C44" t="s">
        <v>403</v>
      </c>
      <c r="D44" t="s">
        <v>94</v>
      </c>
      <c r="E44" t="s">
        <v>52</v>
      </c>
      <c r="F44">
        <v>7098020</v>
      </c>
      <c r="G44" t="s">
        <v>410</v>
      </c>
      <c r="H44" t="s">
        <v>48</v>
      </c>
      <c r="I44" t="s">
        <v>49</v>
      </c>
      <c r="J44" t="s">
        <v>50</v>
      </c>
      <c r="K44" t="s">
        <v>411</v>
      </c>
      <c r="L44" t="s">
        <v>51</v>
      </c>
      <c r="M44" t="s">
        <v>1331</v>
      </c>
      <c r="N44" t="s">
        <v>1332</v>
      </c>
      <c r="O44" t="s">
        <v>1321</v>
      </c>
      <c r="P44" t="s">
        <v>1292</v>
      </c>
      <c r="Q44" t="s">
        <v>46</v>
      </c>
      <c r="R44" t="s">
        <v>47</v>
      </c>
      <c r="S44" t="s">
        <v>46</v>
      </c>
      <c r="T44" t="s">
        <v>46</v>
      </c>
      <c r="U44" s="4">
        <v>212.5</v>
      </c>
      <c r="V44" t="str">
        <f t="shared" si="0"/>
        <v>CP25</v>
      </c>
      <c r="W44" t="str">
        <f>VLOOKUP(K44,[1]Info!A$1:B$21,2,0)</f>
        <v>Caminhão Pipa</v>
      </c>
      <c r="X44" t="str">
        <f>IF(M44="109595132","Material de Limpeza-Não Avaliar",IF(AND(K44="F20",M44&lt;&gt;109595132),IF(RIGHT(F44,2)="70","Infraestrutura de Planta","Prédios e Instalações"),IF(K44="FPC",VLOOKUP(F44,[1]Info!$E$2:$F$11,2,0),IF(K44="FGP",VLOOKUP(F44,[1]Info!$E$9:$F$10,2,0),IF(K44="F10",VLOOKUP(F44,[1]Info!$E$2:$F$3,2,0),VLOOKUP(K44,[1]Info!$A$1:$B$21,2,0))))))</f>
        <v>Caminhão Pipa</v>
      </c>
    </row>
    <row r="45" spans="1:24" x14ac:dyDescent="0.35">
      <c r="A45" t="s">
        <v>41</v>
      </c>
      <c r="B45" t="s">
        <v>402</v>
      </c>
      <c r="C45" t="s">
        <v>403</v>
      </c>
      <c r="D45" t="s">
        <v>94</v>
      </c>
      <c r="E45" t="s">
        <v>52</v>
      </c>
      <c r="F45">
        <v>7098020</v>
      </c>
      <c r="G45" t="s">
        <v>410</v>
      </c>
      <c r="H45" t="s">
        <v>48</v>
      </c>
      <c r="I45" t="s">
        <v>49</v>
      </c>
      <c r="J45" t="s">
        <v>50</v>
      </c>
      <c r="K45" t="s">
        <v>411</v>
      </c>
      <c r="L45" t="s">
        <v>51</v>
      </c>
      <c r="M45" t="s">
        <v>1333</v>
      </c>
      <c r="N45" t="s">
        <v>1334</v>
      </c>
      <c r="O45" t="s">
        <v>420</v>
      </c>
      <c r="P45" t="s">
        <v>1292</v>
      </c>
      <c r="Q45" t="s">
        <v>46</v>
      </c>
      <c r="R45" t="s">
        <v>47</v>
      </c>
      <c r="S45" t="s">
        <v>46</v>
      </c>
      <c r="T45" t="s">
        <v>46</v>
      </c>
      <c r="U45" s="4">
        <v>1518</v>
      </c>
      <c r="V45" t="str">
        <f t="shared" si="0"/>
        <v>CP22</v>
      </c>
      <c r="W45" t="str">
        <f>VLOOKUP(K45,[1]Info!A$1:B$21,2,0)</f>
        <v>Caminhão Pipa</v>
      </c>
      <c r="X45" t="str">
        <f>IF(M45="109595132","Material de Limpeza-Não Avaliar",IF(AND(K45="F20",M45&lt;&gt;109595132),IF(RIGHT(F45,2)="70","Infraestrutura de Planta","Prédios e Instalações"),IF(K45="FPC",VLOOKUP(F45,[1]Info!$E$2:$F$11,2,0),IF(K45="FGP",VLOOKUP(F45,[1]Info!$E$9:$F$10,2,0),IF(K45="F10",VLOOKUP(F45,[1]Info!$E$2:$F$3,2,0),VLOOKUP(K45,[1]Info!$A$1:$B$21,2,0))))))</f>
        <v>Caminhão Pipa</v>
      </c>
    </row>
    <row r="46" spans="1:24" x14ac:dyDescent="0.35">
      <c r="A46" t="s">
        <v>41</v>
      </c>
      <c r="B46" t="s">
        <v>402</v>
      </c>
      <c r="C46" t="s">
        <v>403</v>
      </c>
      <c r="D46" t="s">
        <v>94</v>
      </c>
      <c r="E46" t="s">
        <v>52</v>
      </c>
      <c r="F46">
        <v>7098020</v>
      </c>
      <c r="G46" t="s">
        <v>410</v>
      </c>
      <c r="H46" t="s">
        <v>48</v>
      </c>
      <c r="I46" t="s">
        <v>49</v>
      </c>
      <c r="J46" t="s">
        <v>50</v>
      </c>
      <c r="K46" t="s">
        <v>411</v>
      </c>
      <c r="L46" t="s">
        <v>51</v>
      </c>
      <c r="M46" t="s">
        <v>1335</v>
      </c>
      <c r="N46" t="s">
        <v>1336</v>
      </c>
      <c r="O46" t="s">
        <v>1301</v>
      </c>
      <c r="P46" t="s">
        <v>1292</v>
      </c>
      <c r="Q46" t="s">
        <v>46</v>
      </c>
      <c r="R46" t="s">
        <v>47</v>
      </c>
      <c r="S46" t="s">
        <v>46</v>
      </c>
      <c r="T46" t="s">
        <v>46</v>
      </c>
      <c r="U46" s="4">
        <v>577</v>
      </c>
      <c r="V46" t="str">
        <f t="shared" si="0"/>
        <v>CP21</v>
      </c>
      <c r="W46" t="str">
        <f>VLOOKUP(K46,[1]Info!A$1:B$21,2,0)</f>
        <v>Caminhão Pipa</v>
      </c>
      <c r="X46" t="str">
        <f>IF(M46="109595132","Material de Limpeza-Não Avaliar",IF(AND(K46="F20",M46&lt;&gt;109595132),IF(RIGHT(F46,2)="70","Infraestrutura de Planta","Prédios e Instalações"),IF(K46="FPC",VLOOKUP(F46,[1]Info!$E$2:$F$11,2,0),IF(K46="FGP",VLOOKUP(F46,[1]Info!$E$9:$F$10,2,0),IF(K46="F10",VLOOKUP(F46,[1]Info!$E$2:$F$3,2,0),VLOOKUP(K46,[1]Info!$A$1:$B$21,2,0))))))</f>
        <v>Caminhão Pipa</v>
      </c>
    </row>
    <row r="47" spans="1:24" x14ac:dyDescent="0.35">
      <c r="A47" t="s">
        <v>41</v>
      </c>
      <c r="B47" t="s">
        <v>402</v>
      </c>
      <c r="C47" t="s">
        <v>403</v>
      </c>
      <c r="D47" t="s">
        <v>94</v>
      </c>
      <c r="E47" t="s">
        <v>52</v>
      </c>
      <c r="F47">
        <v>7098020</v>
      </c>
      <c r="G47" t="s">
        <v>410</v>
      </c>
      <c r="H47" t="s">
        <v>48</v>
      </c>
      <c r="I47" t="s">
        <v>49</v>
      </c>
      <c r="J47" t="s">
        <v>50</v>
      </c>
      <c r="K47" t="s">
        <v>411</v>
      </c>
      <c r="L47" t="s">
        <v>51</v>
      </c>
      <c r="M47" t="s">
        <v>1337</v>
      </c>
      <c r="N47" t="s">
        <v>1338</v>
      </c>
      <c r="O47" t="s">
        <v>430</v>
      </c>
      <c r="P47" t="s">
        <v>1292</v>
      </c>
      <c r="Q47" t="s">
        <v>46</v>
      </c>
      <c r="R47" t="s">
        <v>47</v>
      </c>
      <c r="S47" t="s">
        <v>46</v>
      </c>
      <c r="T47" t="s">
        <v>46</v>
      </c>
      <c r="U47" s="4">
        <v>860</v>
      </c>
      <c r="V47" t="str">
        <f t="shared" si="0"/>
        <v>CP27</v>
      </c>
      <c r="W47" t="str">
        <f>VLOOKUP(K47,[1]Info!A$1:B$21,2,0)</f>
        <v>Caminhão Pipa</v>
      </c>
      <c r="X47" t="str">
        <f>IF(M47="109595132","Material de Limpeza-Não Avaliar",IF(AND(K47="F20",M47&lt;&gt;109595132),IF(RIGHT(F47,2)="70","Infraestrutura de Planta","Prédios e Instalações"),IF(K47="FPC",VLOOKUP(F47,[1]Info!$E$2:$F$11,2,0),IF(K47="FGP",VLOOKUP(F47,[1]Info!$E$9:$F$10,2,0),IF(K47="F10",VLOOKUP(F47,[1]Info!$E$2:$F$3,2,0),VLOOKUP(K47,[1]Info!$A$1:$B$21,2,0))))))</f>
        <v>Caminhão Pipa</v>
      </c>
    </row>
    <row r="48" spans="1:24" x14ac:dyDescent="0.35">
      <c r="A48" t="s">
        <v>41</v>
      </c>
      <c r="B48" t="s">
        <v>402</v>
      </c>
      <c r="C48" t="s">
        <v>403</v>
      </c>
      <c r="D48" t="s">
        <v>94</v>
      </c>
      <c r="E48" t="s">
        <v>52</v>
      </c>
      <c r="F48">
        <v>7098020</v>
      </c>
      <c r="G48" t="s">
        <v>410</v>
      </c>
      <c r="H48" t="s">
        <v>48</v>
      </c>
      <c r="I48" t="s">
        <v>49</v>
      </c>
      <c r="J48" t="s">
        <v>50</v>
      </c>
      <c r="K48" t="s">
        <v>411</v>
      </c>
      <c r="L48" t="s">
        <v>51</v>
      </c>
      <c r="M48" t="s">
        <v>1339</v>
      </c>
      <c r="N48" t="s">
        <v>1340</v>
      </c>
      <c r="O48" t="s">
        <v>1318</v>
      </c>
      <c r="P48" t="s">
        <v>1292</v>
      </c>
      <c r="Q48" t="s">
        <v>46</v>
      </c>
      <c r="R48" t="s">
        <v>47</v>
      </c>
      <c r="S48" t="s">
        <v>46</v>
      </c>
      <c r="T48" t="s">
        <v>46</v>
      </c>
      <c r="U48" s="4">
        <v>270</v>
      </c>
      <c r="V48" t="str">
        <f t="shared" si="0"/>
        <v>CP14</v>
      </c>
      <c r="W48" t="str">
        <f>VLOOKUP(K48,[1]Info!A$1:B$21,2,0)</f>
        <v>Caminhão Pipa</v>
      </c>
      <c r="X48" t="str">
        <f>IF(M48="109595132","Material de Limpeza-Não Avaliar",IF(AND(K48="F20",M48&lt;&gt;109595132),IF(RIGHT(F48,2)="70","Infraestrutura de Planta","Prédios e Instalações"),IF(K48="FPC",VLOOKUP(F48,[1]Info!$E$2:$F$11,2,0),IF(K48="FGP",VLOOKUP(F48,[1]Info!$E$9:$F$10,2,0),IF(K48="F10",VLOOKUP(F48,[1]Info!$E$2:$F$3,2,0),VLOOKUP(K48,[1]Info!$A$1:$B$21,2,0))))))</f>
        <v>Caminhão Pipa</v>
      </c>
    </row>
    <row r="49" spans="1:24" x14ac:dyDescent="0.35">
      <c r="A49" t="s">
        <v>41</v>
      </c>
      <c r="B49" t="s">
        <v>402</v>
      </c>
      <c r="C49" t="s">
        <v>403</v>
      </c>
      <c r="D49" t="s">
        <v>94</v>
      </c>
      <c r="E49" t="s">
        <v>52</v>
      </c>
      <c r="F49">
        <v>7098020</v>
      </c>
      <c r="G49" t="s">
        <v>410</v>
      </c>
      <c r="H49" t="s">
        <v>48</v>
      </c>
      <c r="I49" t="s">
        <v>49</v>
      </c>
      <c r="J49" t="s">
        <v>50</v>
      </c>
      <c r="K49" t="s">
        <v>411</v>
      </c>
      <c r="L49" t="s">
        <v>51</v>
      </c>
      <c r="M49" t="s">
        <v>1341</v>
      </c>
      <c r="N49" t="s">
        <v>1342</v>
      </c>
      <c r="O49" t="s">
        <v>414</v>
      </c>
      <c r="P49" t="s">
        <v>1292</v>
      </c>
      <c r="Q49" t="s">
        <v>46</v>
      </c>
      <c r="R49" t="s">
        <v>47</v>
      </c>
      <c r="S49" t="s">
        <v>46</v>
      </c>
      <c r="T49" t="s">
        <v>46</v>
      </c>
      <c r="U49" s="4">
        <v>212.5</v>
      </c>
      <c r="V49" t="str">
        <f t="shared" si="0"/>
        <v>CP26</v>
      </c>
      <c r="W49" t="str">
        <f>VLOOKUP(K49,[1]Info!A$1:B$21,2,0)</f>
        <v>Caminhão Pipa</v>
      </c>
      <c r="X49" t="str">
        <f>IF(M49="109595132","Material de Limpeza-Não Avaliar",IF(AND(K49="F20",M49&lt;&gt;109595132),IF(RIGHT(F49,2)="70","Infraestrutura de Planta","Prédios e Instalações"),IF(K49="FPC",VLOOKUP(F49,[1]Info!$E$2:$F$11,2,0),IF(K49="FGP",VLOOKUP(F49,[1]Info!$E$9:$F$10,2,0),IF(K49="F10",VLOOKUP(F49,[1]Info!$E$2:$F$3,2,0),VLOOKUP(K49,[1]Info!$A$1:$B$21,2,0))))))</f>
        <v>Caminhão Pipa</v>
      </c>
    </row>
    <row r="50" spans="1:24" x14ac:dyDescent="0.35">
      <c r="A50" t="s">
        <v>41</v>
      </c>
      <c r="B50" t="s">
        <v>402</v>
      </c>
      <c r="C50" t="s">
        <v>403</v>
      </c>
      <c r="D50" t="s">
        <v>94</v>
      </c>
      <c r="E50" t="s">
        <v>52</v>
      </c>
      <c r="F50">
        <v>7098020</v>
      </c>
      <c r="G50" t="s">
        <v>410</v>
      </c>
      <c r="H50" t="s">
        <v>48</v>
      </c>
      <c r="I50" t="s">
        <v>49</v>
      </c>
      <c r="J50" t="s">
        <v>50</v>
      </c>
      <c r="K50" t="s">
        <v>411</v>
      </c>
      <c r="L50" t="s">
        <v>51</v>
      </c>
      <c r="M50" t="s">
        <v>1343</v>
      </c>
      <c r="N50" t="s">
        <v>1344</v>
      </c>
      <c r="O50" t="s">
        <v>1345</v>
      </c>
      <c r="P50" t="s">
        <v>1292</v>
      </c>
      <c r="Q50" t="s">
        <v>46</v>
      </c>
      <c r="R50" t="s">
        <v>47</v>
      </c>
      <c r="S50" t="s">
        <v>46</v>
      </c>
      <c r="T50" t="s">
        <v>46</v>
      </c>
      <c r="U50" s="4">
        <v>3950.4</v>
      </c>
      <c r="V50" t="str">
        <f t="shared" si="0"/>
        <v>SI02</v>
      </c>
      <c r="W50" t="str">
        <f>VLOOKUP(K50,[1]Info!A$1:B$21,2,0)</f>
        <v>Caminhão Pipa</v>
      </c>
      <c r="X50" t="str">
        <f>IF(M50="109595132","Material de Limpeza-Não Avaliar",IF(AND(K50="F20",M50&lt;&gt;109595132),IF(RIGHT(F50,2)="70","Infraestrutura de Planta","Prédios e Instalações"),IF(K50="FPC",VLOOKUP(F50,[1]Info!$E$2:$F$11,2,0),IF(K50="FGP",VLOOKUP(F50,[1]Info!$E$9:$F$10,2,0),IF(K50="F10",VLOOKUP(F50,[1]Info!$E$2:$F$3,2,0),VLOOKUP(K50,[1]Info!$A$1:$B$21,2,0))))))</f>
        <v>Caminhão Pipa</v>
      </c>
    </row>
    <row r="51" spans="1:24" x14ac:dyDescent="0.35">
      <c r="A51" t="s">
        <v>41</v>
      </c>
      <c r="B51" t="s">
        <v>402</v>
      </c>
      <c r="C51" t="s">
        <v>403</v>
      </c>
      <c r="D51" t="s">
        <v>94</v>
      </c>
      <c r="E51" t="s">
        <v>52</v>
      </c>
      <c r="F51">
        <v>7098020</v>
      </c>
      <c r="G51" t="s">
        <v>410</v>
      </c>
      <c r="H51" t="s">
        <v>48</v>
      </c>
      <c r="I51" t="s">
        <v>49</v>
      </c>
      <c r="J51" t="s">
        <v>50</v>
      </c>
      <c r="K51" t="s">
        <v>411</v>
      </c>
      <c r="L51" t="s">
        <v>51</v>
      </c>
      <c r="M51" t="s">
        <v>1346</v>
      </c>
      <c r="N51" t="s">
        <v>1347</v>
      </c>
      <c r="O51" t="s">
        <v>1348</v>
      </c>
      <c r="P51" t="s">
        <v>1292</v>
      </c>
      <c r="Q51" t="s">
        <v>46</v>
      </c>
      <c r="R51" t="s">
        <v>47</v>
      </c>
      <c r="S51" t="s">
        <v>46</v>
      </c>
      <c r="T51" t="s">
        <v>46</v>
      </c>
      <c r="U51" s="4">
        <v>891</v>
      </c>
      <c r="V51" t="str">
        <f t="shared" si="0"/>
        <v>SI02</v>
      </c>
      <c r="W51" t="str">
        <f>VLOOKUP(K51,[1]Info!A$1:B$21,2,0)</f>
        <v>Caminhão Pipa</v>
      </c>
      <c r="X51" t="str">
        <f>IF(M51="109595132","Material de Limpeza-Não Avaliar",IF(AND(K51="F20",M51&lt;&gt;109595132),IF(RIGHT(F51,2)="70","Infraestrutura de Planta","Prédios e Instalações"),IF(K51="FPC",VLOOKUP(F51,[1]Info!$E$2:$F$11,2,0),IF(K51="FGP",VLOOKUP(F51,[1]Info!$E$9:$F$10,2,0),IF(K51="F10",VLOOKUP(F51,[1]Info!$E$2:$F$3,2,0),VLOOKUP(K51,[1]Info!$A$1:$B$21,2,0))))))</f>
        <v>Caminhão Pipa</v>
      </c>
    </row>
    <row r="52" spans="1:24" x14ac:dyDescent="0.35">
      <c r="A52" t="s">
        <v>41</v>
      </c>
      <c r="B52" t="s">
        <v>402</v>
      </c>
      <c r="C52" t="s">
        <v>403</v>
      </c>
      <c r="D52" t="s">
        <v>94</v>
      </c>
      <c r="E52" t="s">
        <v>52</v>
      </c>
      <c r="F52">
        <v>7090505</v>
      </c>
      <c r="G52" t="s">
        <v>404</v>
      </c>
      <c r="H52" t="s">
        <v>48</v>
      </c>
      <c r="I52" t="s">
        <v>49</v>
      </c>
      <c r="J52" t="s">
        <v>50</v>
      </c>
      <c r="K52" t="s">
        <v>1349</v>
      </c>
      <c r="L52" t="s">
        <v>51</v>
      </c>
      <c r="M52" t="s">
        <v>1350</v>
      </c>
      <c r="N52" t="s">
        <v>1351</v>
      </c>
      <c r="O52" t="s">
        <v>407</v>
      </c>
      <c r="P52" t="s">
        <v>1292</v>
      </c>
      <c r="Q52" t="s">
        <v>46</v>
      </c>
      <c r="R52" t="s">
        <v>47</v>
      </c>
      <c r="S52" t="s">
        <v>46</v>
      </c>
      <c r="T52" t="s">
        <v>46</v>
      </c>
      <c r="U52" s="4">
        <v>291.54000000000002</v>
      </c>
      <c r="V52" t="str">
        <f t="shared" si="0"/>
        <v>C022</v>
      </c>
      <c r="W52" t="str">
        <f>VLOOKUP(K52,[1]Info!A$1:B$21,2,0)</f>
        <v>Vias</v>
      </c>
      <c r="X52" t="str">
        <f>IF(M52="109595132","Material de Limpeza-Não Avaliar",IF(AND(K52="F20",M52&lt;&gt;109595132),IF(RIGHT(F52,2)="70","Infraestrutura de Planta","Prédios e Instalações"),IF(K52="FPC",VLOOKUP(F52,[1]Info!$E$2:$F$11,2,0),IF(K52="FGP",VLOOKUP(F52,[1]Info!$E$9:$F$10,2,0),IF(K52="F10",VLOOKUP(F52,[1]Info!$E$2:$F$3,2,0),VLOOKUP(K52,[1]Info!$A$1:$B$21,2,0))))))</f>
        <v>Vias</v>
      </c>
    </row>
    <row r="53" spans="1:24" x14ac:dyDescent="0.35">
      <c r="A53" t="s">
        <v>41</v>
      </c>
      <c r="B53" t="s">
        <v>402</v>
      </c>
      <c r="C53" t="s">
        <v>403</v>
      </c>
      <c r="D53" t="s">
        <v>100</v>
      </c>
      <c r="E53" t="s">
        <v>65</v>
      </c>
      <c r="F53">
        <v>7098020</v>
      </c>
      <c r="G53" t="s">
        <v>410</v>
      </c>
      <c r="H53" t="s">
        <v>48</v>
      </c>
      <c r="I53" t="s">
        <v>49</v>
      </c>
      <c r="J53" t="s">
        <v>50</v>
      </c>
      <c r="K53" t="s">
        <v>411</v>
      </c>
      <c r="L53" t="s">
        <v>51</v>
      </c>
      <c r="M53" t="s">
        <v>1352</v>
      </c>
      <c r="N53" t="s">
        <v>1305</v>
      </c>
      <c r="O53" t="s">
        <v>1306</v>
      </c>
      <c r="P53" t="s">
        <v>1292</v>
      </c>
      <c r="Q53" t="s">
        <v>46</v>
      </c>
      <c r="R53" t="s">
        <v>47</v>
      </c>
      <c r="S53" t="s">
        <v>46</v>
      </c>
      <c r="T53" t="s">
        <v>46</v>
      </c>
      <c r="U53" s="4">
        <v>3918.56</v>
      </c>
      <c r="V53" t="str">
        <f t="shared" si="0"/>
        <v>CP13</v>
      </c>
      <c r="W53" t="str">
        <f>VLOOKUP(K53,[1]Info!A$1:B$21,2,0)</f>
        <v>Caminhão Pipa</v>
      </c>
      <c r="X53" t="str">
        <f>IF(M53="109595132","Material de Limpeza-Não Avaliar",IF(AND(K53="F20",M53&lt;&gt;109595132),IF(RIGHT(F53,2)="70","Infraestrutura de Planta","Prédios e Instalações"),IF(K53="FPC",VLOOKUP(F53,[1]Info!$E$2:$F$11,2,0),IF(K53="FGP",VLOOKUP(F53,[1]Info!$E$9:$F$10,2,0),IF(K53="F10",VLOOKUP(F53,[1]Info!$E$2:$F$3,2,0),VLOOKUP(K53,[1]Info!$A$1:$B$21,2,0))))))</f>
        <v>Caminhão Pipa</v>
      </c>
    </row>
    <row r="54" spans="1:24" x14ac:dyDescent="0.35">
      <c r="A54" t="s">
        <v>41</v>
      </c>
      <c r="B54" t="s">
        <v>402</v>
      </c>
      <c r="C54" t="s">
        <v>403</v>
      </c>
      <c r="D54" t="s">
        <v>100</v>
      </c>
      <c r="E54" t="s">
        <v>65</v>
      </c>
      <c r="F54">
        <v>7098020</v>
      </c>
      <c r="G54" t="s">
        <v>410</v>
      </c>
      <c r="H54" t="s">
        <v>48</v>
      </c>
      <c r="I54" t="s">
        <v>49</v>
      </c>
      <c r="J54" t="s">
        <v>50</v>
      </c>
      <c r="K54" t="s">
        <v>411</v>
      </c>
      <c r="L54" t="s">
        <v>51</v>
      </c>
      <c r="M54" t="s">
        <v>1325</v>
      </c>
      <c r="N54" t="s">
        <v>1317</v>
      </c>
      <c r="O54" t="s">
        <v>1318</v>
      </c>
      <c r="P54" t="s">
        <v>1292</v>
      </c>
      <c r="Q54" t="s">
        <v>46</v>
      </c>
      <c r="R54" t="s">
        <v>47</v>
      </c>
      <c r="S54" t="s">
        <v>46</v>
      </c>
      <c r="T54" t="s">
        <v>46</v>
      </c>
      <c r="U54" s="4">
        <v>5877.84</v>
      </c>
      <c r="V54" t="str">
        <f t="shared" si="0"/>
        <v>CP14</v>
      </c>
      <c r="W54" t="str">
        <f>VLOOKUP(K54,[1]Info!A$1:B$21,2,0)</f>
        <v>Caminhão Pipa</v>
      </c>
      <c r="X54" t="str">
        <f>IF(M54="109595132","Material de Limpeza-Não Avaliar",IF(AND(K54="F20",M54&lt;&gt;109595132),IF(RIGHT(F54,2)="70","Infraestrutura de Planta","Prédios e Instalações"),IF(K54="FPC",VLOOKUP(F54,[1]Info!$E$2:$F$11,2,0),IF(K54="FGP",VLOOKUP(F54,[1]Info!$E$9:$F$10,2,0),IF(K54="F10",VLOOKUP(F54,[1]Info!$E$2:$F$3,2,0),VLOOKUP(K54,[1]Info!$A$1:$B$21,2,0))))))</f>
        <v>Caminhão Pipa</v>
      </c>
    </row>
    <row r="55" spans="1:24" x14ac:dyDescent="0.35">
      <c r="A55" t="s">
        <v>41</v>
      </c>
      <c r="B55" t="s">
        <v>402</v>
      </c>
      <c r="C55" t="s">
        <v>403</v>
      </c>
      <c r="D55" t="s">
        <v>100</v>
      </c>
      <c r="E55" t="s">
        <v>65</v>
      </c>
      <c r="F55">
        <v>7098020</v>
      </c>
      <c r="G55" t="s">
        <v>410</v>
      </c>
      <c r="H55" t="s">
        <v>48</v>
      </c>
      <c r="I55" t="s">
        <v>49</v>
      </c>
      <c r="J55" t="s">
        <v>50</v>
      </c>
      <c r="K55" t="s">
        <v>411</v>
      </c>
      <c r="L55" t="s">
        <v>51</v>
      </c>
      <c r="M55" t="s">
        <v>1353</v>
      </c>
      <c r="N55" t="s">
        <v>1354</v>
      </c>
      <c r="O55" t="s">
        <v>1330</v>
      </c>
      <c r="P55" t="s">
        <v>1292</v>
      </c>
      <c r="Q55" t="s">
        <v>46</v>
      </c>
      <c r="R55" t="s">
        <v>47</v>
      </c>
      <c r="S55" t="s">
        <v>46</v>
      </c>
      <c r="T55" t="s">
        <v>46</v>
      </c>
      <c r="U55" s="4">
        <v>3918.56</v>
      </c>
      <c r="V55" t="str">
        <f t="shared" si="0"/>
        <v>CP19</v>
      </c>
      <c r="W55" t="str">
        <f>VLOOKUP(K55,[1]Info!A$1:B$21,2,0)</f>
        <v>Caminhão Pipa</v>
      </c>
      <c r="X55" t="str">
        <f>IF(M55="109595132","Material de Limpeza-Não Avaliar",IF(AND(K55="F20",M55&lt;&gt;109595132),IF(RIGHT(F55,2)="70","Infraestrutura de Planta","Prédios e Instalações"),IF(K55="FPC",VLOOKUP(F55,[1]Info!$E$2:$F$11,2,0),IF(K55="FGP",VLOOKUP(F55,[1]Info!$E$9:$F$10,2,0),IF(K55="F10",VLOOKUP(F55,[1]Info!$E$2:$F$3,2,0),VLOOKUP(K55,[1]Info!$A$1:$B$21,2,0))))))</f>
        <v>Caminhão Pipa</v>
      </c>
    </row>
    <row r="56" spans="1:24" x14ac:dyDescent="0.35">
      <c r="A56" t="s">
        <v>41</v>
      </c>
      <c r="B56" t="s">
        <v>402</v>
      </c>
      <c r="C56" t="s">
        <v>403</v>
      </c>
      <c r="D56" t="s">
        <v>100</v>
      </c>
      <c r="E56" t="s">
        <v>65</v>
      </c>
      <c r="F56">
        <v>7098020</v>
      </c>
      <c r="G56" t="s">
        <v>410</v>
      </c>
      <c r="H56" t="s">
        <v>48</v>
      </c>
      <c r="I56" t="s">
        <v>49</v>
      </c>
      <c r="J56" t="s">
        <v>50</v>
      </c>
      <c r="K56" t="s">
        <v>411</v>
      </c>
      <c r="L56" t="s">
        <v>51</v>
      </c>
      <c r="M56" t="s">
        <v>418</v>
      </c>
      <c r="N56" t="s">
        <v>419</v>
      </c>
      <c r="O56" t="s">
        <v>420</v>
      </c>
      <c r="P56" t="s">
        <v>1292</v>
      </c>
      <c r="Q56" t="s">
        <v>46</v>
      </c>
      <c r="R56" t="s">
        <v>47</v>
      </c>
      <c r="S56" t="s">
        <v>46</v>
      </c>
      <c r="T56" t="s">
        <v>46</v>
      </c>
      <c r="U56" s="4">
        <v>7445.26</v>
      </c>
      <c r="V56" t="str">
        <f t="shared" si="0"/>
        <v>CP22</v>
      </c>
      <c r="W56" t="str">
        <f>VLOOKUP(K56,[1]Info!A$1:B$21,2,0)</f>
        <v>Caminhão Pipa</v>
      </c>
      <c r="X56" t="str">
        <f>IF(M56="109595132","Material de Limpeza-Não Avaliar",IF(AND(K56="F20",M56&lt;&gt;109595132),IF(RIGHT(F56,2)="70","Infraestrutura de Planta","Prédios e Instalações"),IF(K56="FPC",VLOOKUP(F56,[1]Info!$E$2:$F$11,2,0),IF(K56="FGP",VLOOKUP(F56,[1]Info!$E$9:$F$10,2,0),IF(K56="F10",VLOOKUP(F56,[1]Info!$E$2:$F$3,2,0),VLOOKUP(K56,[1]Info!$A$1:$B$21,2,0))))))</f>
        <v>Caminhão Pipa</v>
      </c>
    </row>
    <row r="57" spans="1:24" x14ac:dyDescent="0.35">
      <c r="A57" t="s">
        <v>41</v>
      </c>
      <c r="B57" t="s">
        <v>402</v>
      </c>
      <c r="C57" t="s">
        <v>403</v>
      </c>
      <c r="D57" t="s">
        <v>100</v>
      </c>
      <c r="E57" t="s">
        <v>65</v>
      </c>
      <c r="F57">
        <v>7098020</v>
      </c>
      <c r="G57" t="s">
        <v>410</v>
      </c>
      <c r="H57" t="s">
        <v>48</v>
      </c>
      <c r="I57" t="s">
        <v>49</v>
      </c>
      <c r="J57" t="s">
        <v>50</v>
      </c>
      <c r="K57" t="s">
        <v>411</v>
      </c>
      <c r="L57" t="s">
        <v>51</v>
      </c>
      <c r="M57" t="s">
        <v>1355</v>
      </c>
      <c r="N57" t="s">
        <v>1313</v>
      </c>
      <c r="O57" t="s">
        <v>423</v>
      </c>
      <c r="P57" t="s">
        <v>1292</v>
      </c>
      <c r="Q57" t="s">
        <v>46</v>
      </c>
      <c r="R57" t="s">
        <v>47</v>
      </c>
      <c r="S57" t="s">
        <v>46</v>
      </c>
      <c r="T57" t="s">
        <v>46</v>
      </c>
      <c r="U57" s="4">
        <v>11755.68</v>
      </c>
      <c r="V57" t="str">
        <f t="shared" si="0"/>
        <v>CP23</v>
      </c>
      <c r="W57" t="str">
        <f>VLOOKUP(K57,[1]Info!A$1:B$21,2,0)</f>
        <v>Caminhão Pipa</v>
      </c>
      <c r="X57" t="str">
        <f>IF(M57="109595132","Material de Limpeza-Não Avaliar",IF(AND(K57="F20",M57&lt;&gt;109595132),IF(RIGHT(F57,2)="70","Infraestrutura de Planta","Prédios e Instalações"),IF(K57="FPC",VLOOKUP(F57,[1]Info!$E$2:$F$11,2,0),IF(K57="FGP",VLOOKUP(F57,[1]Info!$E$9:$F$10,2,0),IF(K57="F10",VLOOKUP(F57,[1]Info!$E$2:$F$3,2,0),VLOOKUP(K57,[1]Info!$A$1:$B$21,2,0))))))</f>
        <v>Caminhão Pipa</v>
      </c>
    </row>
    <row r="58" spans="1:24" x14ac:dyDescent="0.35">
      <c r="A58" t="s">
        <v>41</v>
      </c>
      <c r="B58" t="s">
        <v>402</v>
      </c>
      <c r="C58" t="s">
        <v>403</v>
      </c>
      <c r="D58" t="s">
        <v>95</v>
      </c>
      <c r="E58" t="s">
        <v>53</v>
      </c>
      <c r="F58">
        <v>7098020</v>
      </c>
      <c r="G58" t="s">
        <v>410</v>
      </c>
      <c r="H58" t="s">
        <v>48</v>
      </c>
      <c r="I58" t="s">
        <v>49</v>
      </c>
      <c r="J58" t="s">
        <v>50</v>
      </c>
      <c r="K58" t="s">
        <v>411</v>
      </c>
      <c r="L58" t="s">
        <v>51</v>
      </c>
      <c r="M58" t="s">
        <v>412</v>
      </c>
      <c r="N58" t="s">
        <v>413</v>
      </c>
      <c r="O58" t="s">
        <v>414</v>
      </c>
      <c r="P58" t="s">
        <v>383</v>
      </c>
      <c r="Q58" t="s">
        <v>188</v>
      </c>
      <c r="R58" t="s">
        <v>189</v>
      </c>
      <c r="S58" t="s">
        <v>46</v>
      </c>
      <c r="T58" t="s">
        <v>46</v>
      </c>
      <c r="U58" s="4">
        <v>581.95000000000005</v>
      </c>
      <c r="V58" t="str">
        <f t="shared" si="0"/>
        <v>CP26</v>
      </c>
      <c r="W58" t="str">
        <f>VLOOKUP(K58,[1]Info!A$1:B$21,2,0)</f>
        <v>Caminhão Pipa</v>
      </c>
      <c r="X58" t="str">
        <f>IF(M58="109595132","Material de Limpeza-Não Avaliar",IF(AND(K58="F20",M58&lt;&gt;109595132),IF(RIGHT(F58,2)="70","Infraestrutura de Planta","Prédios e Instalações"),IF(K58="FPC",VLOOKUP(F58,[1]Info!$E$2:$F$11,2,0),IF(K58="FGP",VLOOKUP(F58,[1]Info!$E$9:$F$10,2,0),IF(K58="F10",VLOOKUP(F58,[1]Info!$E$2:$F$3,2,0),VLOOKUP(K58,[1]Info!$A$1:$B$21,2,0))))))</f>
        <v>Caminhão Pipa</v>
      </c>
    </row>
    <row r="59" spans="1:24" x14ac:dyDescent="0.35">
      <c r="A59" t="s">
        <v>41</v>
      </c>
      <c r="B59" t="s">
        <v>402</v>
      </c>
      <c r="C59" t="s">
        <v>403</v>
      </c>
      <c r="D59" t="s">
        <v>95</v>
      </c>
      <c r="E59" t="s">
        <v>53</v>
      </c>
      <c r="F59">
        <v>7098020</v>
      </c>
      <c r="G59" t="s">
        <v>410</v>
      </c>
      <c r="H59" t="s">
        <v>48</v>
      </c>
      <c r="I59" t="s">
        <v>49</v>
      </c>
      <c r="J59" t="s">
        <v>50</v>
      </c>
      <c r="K59" t="s">
        <v>411</v>
      </c>
      <c r="L59" t="s">
        <v>51</v>
      </c>
      <c r="M59" t="s">
        <v>415</v>
      </c>
      <c r="N59" t="s">
        <v>416</v>
      </c>
      <c r="O59" t="s">
        <v>417</v>
      </c>
      <c r="P59" t="s">
        <v>383</v>
      </c>
      <c r="Q59" t="s">
        <v>188</v>
      </c>
      <c r="R59" t="s">
        <v>189</v>
      </c>
      <c r="S59" t="s">
        <v>46</v>
      </c>
      <c r="T59" t="s">
        <v>46</v>
      </c>
      <c r="U59" s="4">
        <v>581.96</v>
      </c>
      <c r="V59" t="str">
        <f t="shared" si="0"/>
        <v>CP20</v>
      </c>
      <c r="W59" t="str">
        <f>VLOOKUP(K59,[1]Info!A$1:B$21,2,0)</f>
        <v>Caminhão Pipa</v>
      </c>
      <c r="X59" t="str">
        <f>IF(M59="109595132","Material de Limpeza-Não Avaliar",IF(AND(K59="F20",M59&lt;&gt;109595132),IF(RIGHT(F59,2)="70","Infraestrutura de Planta","Prédios e Instalações"),IF(K59="FPC",VLOOKUP(F59,[1]Info!$E$2:$F$11,2,0),IF(K59="FGP",VLOOKUP(F59,[1]Info!$E$9:$F$10,2,0),IF(K59="F10",VLOOKUP(F59,[1]Info!$E$2:$F$3,2,0),VLOOKUP(K59,[1]Info!$A$1:$B$21,2,0))))))</f>
        <v>Caminhão Pipa</v>
      </c>
    </row>
    <row r="60" spans="1:24" x14ac:dyDescent="0.35">
      <c r="A60" t="s">
        <v>41</v>
      </c>
      <c r="B60" t="s">
        <v>402</v>
      </c>
      <c r="C60" t="s">
        <v>403</v>
      </c>
      <c r="D60" t="s">
        <v>95</v>
      </c>
      <c r="E60" t="s">
        <v>53</v>
      </c>
      <c r="F60">
        <v>7098020</v>
      </c>
      <c r="G60" t="s">
        <v>410</v>
      </c>
      <c r="H60" t="s">
        <v>48</v>
      </c>
      <c r="I60" t="s">
        <v>49</v>
      </c>
      <c r="J60" t="s">
        <v>50</v>
      </c>
      <c r="K60" t="s">
        <v>411</v>
      </c>
      <c r="L60" t="s">
        <v>51</v>
      </c>
      <c r="M60" t="s">
        <v>418</v>
      </c>
      <c r="N60" t="s">
        <v>419</v>
      </c>
      <c r="O60" t="s">
        <v>420</v>
      </c>
      <c r="P60" t="s">
        <v>383</v>
      </c>
      <c r="Q60" t="s">
        <v>188</v>
      </c>
      <c r="R60" t="s">
        <v>189</v>
      </c>
      <c r="S60" t="s">
        <v>46</v>
      </c>
      <c r="T60" t="s">
        <v>46</v>
      </c>
      <c r="U60" s="4">
        <v>581.96</v>
      </c>
      <c r="V60" t="str">
        <f t="shared" si="0"/>
        <v>CP22</v>
      </c>
      <c r="W60" t="str">
        <f>VLOOKUP(K60,[1]Info!A$1:B$21,2,0)</f>
        <v>Caminhão Pipa</v>
      </c>
      <c r="X60" t="str">
        <f>IF(M60="109595132","Material de Limpeza-Não Avaliar",IF(AND(K60="F20",M60&lt;&gt;109595132),IF(RIGHT(F60,2)="70","Infraestrutura de Planta","Prédios e Instalações"),IF(K60="FPC",VLOOKUP(F60,[1]Info!$E$2:$F$11,2,0),IF(K60="FGP",VLOOKUP(F60,[1]Info!$E$9:$F$10,2,0),IF(K60="F10",VLOOKUP(F60,[1]Info!$E$2:$F$3,2,0),VLOOKUP(K60,[1]Info!$A$1:$B$21,2,0))))))</f>
        <v>Caminhão Pipa</v>
      </c>
    </row>
    <row r="61" spans="1:24" x14ac:dyDescent="0.35">
      <c r="A61" t="s">
        <v>41</v>
      </c>
      <c r="B61" t="s">
        <v>402</v>
      </c>
      <c r="C61" t="s">
        <v>403</v>
      </c>
      <c r="D61" t="s">
        <v>106</v>
      </c>
      <c r="E61" t="s">
        <v>107</v>
      </c>
      <c r="F61">
        <v>7098020</v>
      </c>
      <c r="G61" t="s">
        <v>410</v>
      </c>
      <c r="H61" t="s">
        <v>48</v>
      </c>
      <c r="I61" t="s">
        <v>49</v>
      </c>
      <c r="J61" t="s">
        <v>50</v>
      </c>
      <c r="K61" t="s">
        <v>411</v>
      </c>
      <c r="L61" t="s">
        <v>51</v>
      </c>
      <c r="M61" t="s">
        <v>1316</v>
      </c>
      <c r="N61" t="s">
        <v>1317</v>
      </c>
      <c r="O61" t="s">
        <v>1318</v>
      </c>
      <c r="P61" t="s">
        <v>1292</v>
      </c>
      <c r="Q61" t="s">
        <v>46</v>
      </c>
      <c r="R61" t="s">
        <v>47</v>
      </c>
      <c r="S61" t="s">
        <v>1356</v>
      </c>
      <c r="T61" t="s">
        <v>1357</v>
      </c>
      <c r="U61" s="4">
        <v>90.75</v>
      </c>
      <c r="V61" t="str">
        <f t="shared" si="0"/>
        <v>CP14</v>
      </c>
      <c r="W61" t="str">
        <f>VLOOKUP(K61,[1]Info!A$1:B$21,2,0)</f>
        <v>Caminhão Pipa</v>
      </c>
      <c r="X61" t="str">
        <f>IF(M61="109595132","Material de Limpeza-Não Avaliar",IF(AND(K61="F20",M61&lt;&gt;109595132),IF(RIGHT(F61,2)="70","Infraestrutura de Planta","Prédios e Instalações"),IF(K61="FPC",VLOOKUP(F61,[1]Info!$E$2:$F$11,2,0),IF(K61="FGP",VLOOKUP(F61,[1]Info!$E$9:$F$10,2,0),IF(K61="F10",VLOOKUP(F61,[1]Info!$E$2:$F$3,2,0),VLOOKUP(K61,[1]Info!$A$1:$B$21,2,0))))))</f>
        <v>Caminhão Pipa</v>
      </c>
    </row>
    <row r="62" spans="1:24" x14ac:dyDescent="0.35">
      <c r="A62" t="s">
        <v>41</v>
      </c>
      <c r="B62" t="s">
        <v>402</v>
      </c>
      <c r="C62" t="s">
        <v>403</v>
      </c>
      <c r="D62" t="s">
        <v>106</v>
      </c>
      <c r="E62" t="s">
        <v>107</v>
      </c>
      <c r="F62">
        <v>7098020</v>
      </c>
      <c r="G62" t="s">
        <v>410</v>
      </c>
      <c r="H62" t="s">
        <v>48</v>
      </c>
      <c r="I62" t="s">
        <v>49</v>
      </c>
      <c r="J62" t="s">
        <v>50</v>
      </c>
      <c r="K62" t="s">
        <v>411</v>
      </c>
      <c r="L62" t="s">
        <v>51</v>
      </c>
      <c r="M62" t="s">
        <v>1358</v>
      </c>
      <c r="N62" t="s">
        <v>1359</v>
      </c>
      <c r="O62" t="s">
        <v>1301</v>
      </c>
      <c r="P62" t="s">
        <v>1292</v>
      </c>
      <c r="Q62" t="s">
        <v>46</v>
      </c>
      <c r="R62" t="s">
        <v>47</v>
      </c>
      <c r="S62" t="s">
        <v>389</v>
      </c>
      <c r="T62" t="s">
        <v>390</v>
      </c>
      <c r="U62" s="4">
        <v>703.31</v>
      </c>
      <c r="V62" t="str">
        <f t="shared" si="0"/>
        <v>CP21</v>
      </c>
      <c r="W62" t="str">
        <f>VLOOKUP(K62,[1]Info!A$1:B$21,2,0)</f>
        <v>Caminhão Pipa</v>
      </c>
      <c r="X62" t="str">
        <f>IF(M62="109595132","Material de Limpeza-Não Avaliar",IF(AND(K62="F20",M62&lt;&gt;109595132),IF(RIGHT(F62,2)="70","Infraestrutura de Planta","Prédios e Instalações"),IF(K62="FPC",VLOOKUP(F62,[1]Info!$E$2:$F$11,2,0),IF(K62="FGP",VLOOKUP(F62,[1]Info!$E$9:$F$10,2,0),IF(K62="F10",VLOOKUP(F62,[1]Info!$E$2:$F$3,2,0),VLOOKUP(K62,[1]Info!$A$1:$B$21,2,0))))))</f>
        <v>Caminhão Pipa</v>
      </c>
    </row>
    <row r="63" spans="1:24" x14ac:dyDescent="0.35">
      <c r="A63" t="s">
        <v>41</v>
      </c>
      <c r="B63" t="s">
        <v>54</v>
      </c>
      <c r="C63" t="s">
        <v>55</v>
      </c>
      <c r="D63" t="s">
        <v>93</v>
      </c>
      <c r="E63" t="s">
        <v>56</v>
      </c>
      <c r="F63">
        <v>7098530</v>
      </c>
      <c r="G63" t="s">
        <v>57</v>
      </c>
      <c r="H63" t="s">
        <v>43</v>
      </c>
      <c r="I63" t="s">
        <v>44</v>
      </c>
      <c r="J63" t="s">
        <v>50</v>
      </c>
      <c r="K63" t="s">
        <v>15</v>
      </c>
      <c r="L63" t="s">
        <v>51</v>
      </c>
      <c r="M63" t="s">
        <v>431</v>
      </c>
      <c r="N63" t="s">
        <v>432</v>
      </c>
      <c r="O63" t="s">
        <v>165</v>
      </c>
      <c r="P63" t="s">
        <v>383</v>
      </c>
      <c r="Q63" t="s">
        <v>433</v>
      </c>
      <c r="R63" t="s">
        <v>434</v>
      </c>
      <c r="S63" t="s">
        <v>46</v>
      </c>
      <c r="T63" t="s">
        <v>46</v>
      </c>
      <c r="U63" s="4">
        <v>35478.28</v>
      </c>
      <c r="V63" t="str">
        <f t="shared" si="0"/>
        <v>SK15</v>
      </c>
      <c r="W63" t="str">
        <f>VLOOKUP(K63,[1]Info!A$1:B$21,2,0)</f>
        <v>Skidder</v>
      </c>
      <c r="X63" t="str">
        <f>IF(M63="109595132","Material de Limpeza-Não Avaliar",IF(AND(K63="F20",M63&lt;&gt;109595132),IF(RIGHT(F63,2)="70","Infraestrutura de Planta","Prédios e Instalações"),IF(K63="FPC",VLOOKUP(F63,[1]Info!$E$2:$F$11,2,0),IF(K63="FGP",VLOOKUP(F63,[1]Info!$E$9:$F$10,2,0),IF(K63="F10",VLOOKUP(F63,[1]Info!$E$2:$F$3,2,0),VLOOKUP(K63,[1]Info!$A$1:$B$21,2,0))))))</f>
        <v>Skidder</v>
      </c>
    </row>
    <row r="64" spans="1:24" x14ac:dyDescent="0.35">
      <c r="A64" t="s">
        <v>41</v>
      </c>
      <c r="B64" t="s">
        <v>54</v>
      </c>
      <c r="C64" t="s">
        <v>55</v>
      </c>
      <c r="D64" t="s">
        <v>93</v>
      </c>
      <c r="E64" t="s">
        <v>56</v>
      </c>
      <c r="F64">
        <v>7098530</v>
      </c>
      <c r="G64" t="s">
        <v>57</v>
      </c>
      <c r="H64" t="s">
        <v>43</v>
      </c>
      <c r="I64" t="s">
        <v>44</v>
      </c>
      <c r="J64" t="s">
        <v>50</v>
      </c>
      <c r="K64" t="s">
        <v>15</v>
      </c>
      <c r="L64" t="s">
        <v>51</v>
      </c>
      <c r="M64" t="s">
        <v>435</v>
      </c>
      <c r="N64" t="s">
        <v>436</v>
      </c>
      <c r="O64" t="s">
        <v>210</v>
      </c>
      <c r="P64" t="s">
        <v>383</v>
      </c>
      <c r="Q64" t="s">
        <v>433</v>
      </c>
      <c r="R64" t="s">
        <v>434</v>
      </c>
      <c r="S64" t="s">
        <v>46</v>
      </c>
      <c r="T64" t="s">
        <v>46</v>
      </c>
      <c r="U64" s="4">
        <v>161035.56</v>
      </c>
      <c r="V64" t="str">
        <f t="shared" si="0"/>
        <v>SK17</v>
      </c>
      <c r="W64" t="str">
        <f>VLOOKUP(K64,[1]Info!A$1:B$21,2,0)</f>
        <v>Skidder</v>
      </c>
      <c r="X64" t="str">
        <f>IF(M64="109595132","Material de Limpeza-Não Avaliar",IF(AND(K64="F20",M64&lt;&gt;109595132),IF(RIGHT(F64,2)="70","Infraestrutura de Planta","Prédios e Instalações"),IF(K64="FPC",VLOOKUP(F64,[1]Info!$E$2:$F$11,2,0),IF(K64="FGP",VLOOKUP(F64,[1]Info!$E$9:$F$10,2,0),IF(K64="F10",VLOOKUP(F64,[1]Info!$E$2:$F$3,2,0),VLOOKUP(K64,[1]Info!$A$1:$B$21,2,0))))))</f>
        <v>Skidder</v>
      </c>
    </row>
    <row r="65" spans="1:24" x14ac:dyDescent="0.35">
      <c r="A65" t="s">
        <v>41</v>
      </c>
      <c r="B65" t="s">
        <v>54</v>
      </c>
      <c r="C65" t="s">
        <v>55</v>
      </c>
      <c r="D65" t="s">
        <v>93</v>
      </c>
      <c r="E65" t="s">
        <v>56</v>
      </c>
      <c r="F65">
        <v>7098530</v>
      </c>
      <c r="G65" t="s">
        <v>57</v>
      </c>
      <c r="H65" t="s">
        <v>43</v>
      </c>
      <c r="I65" t="s">
        <v>44</v>
      </c>
      <c r="J65" t="s">
        <v>50</v>
      </c>
      <c r="K65" t="s">
        <v>15</v>
      </c>
      <c r="L65" t="s">
        <v>51</v>
      </c>
      <c r="M65" t="s">
        <v>437</v>
      </c>
      <c r="N65" t="s">
        <v>438</v>
      </c>
      <c r="O65" t="s">
        <v>210</v>
      </c>
      <c r="P65" t="s">
        <v>383</v>
      </c>
      <c r="Q65" t="s">
        <v>433</v>
      </c>
      <c r="R65" t="s">
        <v>434</v>
      </c>
      <c r="S65" t="s">
        <v>46</v>
      </c>
      <c r="T65" t="s">
        <v>46</v>
      </c>
      <c r="U65" s="4">
        <v>80517.78</v>
      </c>
      <c r="V65" t="str">
        <f t="shared" si="0"/>
        <v>SK17</v>
      </c>
      <c r="W65" t="str">
        <f>VLOOKUP(K65,[1]Info!A$1:B$21,2,0)</f>
        <v>Skidder</v>
      </c>
      <c r="X65" t="str">
        <f>IF(M65="109595132","Material de Limpeza-Não Avaliar",IF(AND(K65="F20",M65&lt;&gt;109595132),IF(RIGHT(F65,2)="70","Infraestrutura de Planta","Prédios e Instalações"),IF(K65="FPC",VLOOKUP(F65,[1]Info!$E$2:$F$11,2,0),IF(K65="FGP",VLOOKUP(F65,[1]Info!$E$9:$F$10,2,0),IF(K65="F10",VLOOKUP(F65,[1]Info!$E$2:$F$3,2,0),VLOOKUP(K65,[1]Info!$A$1:$B$21,2,0))))))</f>
        <v>Skidder</v>
      </c>
    </row>
    <row r="66" spans="1:24" x14ac:dyDescent="0.35">
      <c r="A66" t="s">
        <v>41</v>
      </c>
      <c r="B66" t="s">
        <v>54</v>
      </c>
      <c r="C66" t="s">
        <v>55</v>
      </c>
      <c r="D66" t="s">
        <v>93</v>
      </c>
      <c r="E66" t="s">
        <v>56</v>
      </c>
      <c r="F66">
        <v>7098530</v>
      </c>
      <c r="G66" t="s">
        <v>57</v>
      </c>
      <c r="H66" t="s">
        <v>43</v>
      </c>
      <c r="I66" t="s">
        <v>44</v>
      </c>
      <c r="J66" t="s">
        <v>50</v>
      </c>
      <c r="K66" t="s">
        <v>15</v>
      </c>
      <c r="L66" t="s">
        <v>51</v>
      </c>
      <c r="M66" t="s">
        <v>439</v>
      </c>
      <c r="N66" t="s">
        <v>440</v>
      </c>
      <c r="O66" t="s">
        <v>165</v>
      </c>
      <c r="P66" t="s">
        <v>383</v>
      </c>
      <c r="Q66" t="s">
        <v>441</v>
      </c>
      <c r="R66" t="s">
        <v>442</v>
      </c>
      <c r="S66" t="s">
        <v>46</v>
      </c>
      <c r="T66" t="s">
        <v>46</v>
      </c>
      <c r="U66" s="4">
        <v>6304.1</v>
      </c>
      <c r="V66" t="str">
        <f t="shared" si="0"/>
        <v>SK15</v>
      </c>
      <c r="W66" t="str">
        <f>VLOOKUP(K66,[1]Info!A$1:B$21,2,0)</f>
        <v>Skidder</v>
      </c>
      <c r="X66" t="str">
        <f>IF(M66="109595132","Material de Limpeza-Não Avaliar",IF(AND(K66="F20",M66&lt;&gt;109595132),IF(RIGHT(F66,2)="70","Infraestrutura de Planta","Prédios e Instalações"),IF(K66="FPC",VLOOKUP(F66,[1]Info!$E$2:$F$11,2,0),IF(K66="FGP",VLOOKUP(F66,[1]Info!$E$9:$F$10,2,0),IF(K66="F10",VLOOKUP(F66,[1]Info!$E$2:$F$3,2,0),VLOOKUP(K66,[1]Info!$A$1:$B$21,2,0))))))</f>
        <v>Skidder</v>
      </c>
    </row>
    <row r="67" spans="1:24" x14ac:dyDescent="0.35">
      <c r="A67" t="s">
        <v>41</v>
      </c>
      <c r="B67" t="s">
        <v>54</v>
      </c>
      <c r="C67" t="s">
        <v>55</v>
      </c>
      <c r="D67" t="s">
        <v>93</v>
      </c>
      <c r="E67" t="s">
        <v>56</v>
      </c>
      <c r="F67">
        <v>7098530</v>
      </c>
      <c r="G67" t="s">
        <v>57</v>
      </c>
      <c r="H67" t="s">
        <v>43</v>
      </c>
      <c r="I67" t="s">
        <v>44</v>
      </c>
      <c r="J67" t="s">
        <v>50</v>
      </c>
      <c r="K67" t="s">
        <v>15</v>
      </c>
      <c r="L67" t="s">
        <v>51</v>
      </c>
      <c r="M67" t="s">
        <v>439</v>
      </c>
      <c r="N67" t="s">
        <v>440</v>
      </c>
      <c r="O67" t="s">
        <v>165</v>
      </c>
      <c r="P67" t="s">
        <v>383</v>
      </c>
      <c r="Q67" t="s">
        <v>443</v>
      </c>
      <c r="R67" t="s">
        <v>444</v>
      </c>
      <c r="S67" t="s">
        <v>46</v>
      </c>
      <c r="T67" t="s">
        <v>46</v>
      </c>
      <c r="U67" s="4">
        <v>2284</v>
      </c>
      <c r="V67" t="str">
        <f t="shared" si="0"/>
        <v>SK15</v>
      </c>
      <c r="W67" t="str">
        <f>VLOOKUP(K67,[1]Info!A$1:B$21,2,0)</f>
        <v>Skidder</v>
      </c>
      <c r="X67" t="str">
        <f>IF(M67="109595132","Material de Limpeza-Não Avaliar",IF(AND(K67="F20",M67&lt;&gt;109595132),IF(RIGHT(F67,2)="70","Infraestrutura de Planta","Prédios e Instalações"),IF(K67="FPC",VLOOKUP(F67,[1]Info!$E$2:$F$11,2,0),IF(K67="FGP",VLOOKUP(F67,[1]Info!$E$9:$F$10,2,0),IF(K67="F10",VLOOKUP(F67,[1]Info!$E$2:$F$3,2,0),VLOOKUP(K67,[1]Info!$A$1:$B$21,2,0))))))</f>
        <v>Skidder</v>
      </c>
    </row>
    <row r="68" spans="1:24" x14ac:dyDescent="0.35">
      <c r="A68" t="s">
        <v>41</v>
      </c>
      <c r="B68" t="s">
        <v>54</v>
      </c>
      <c r="C68" t="s">
        <v>55</v>
      </c>
      <c r="D68" t="s">
        <v>93</v>
      </c>
      <c r="E68" t="s">
        <v>56</v>
      </c>
      <c r="F68">
        <v>7098530</v>
      </c>
      <c r="G68" t="s">
        <v>57</v>
      </c>
      <c r="H68" t="s">
        <v>43</v>
      </c>
      <c r="I68" t="s">
        <v>44</v>
      </c>
      <c r="J68" t="s">
        <v>50</v>
      </c>
      <c r="K68" t="s">
        <v>15</v>
      </c>
      <c r="L68" t="s">
        <v>51</v>
      </c>
      <c r="M68" t="s">
        <v>445</v>
      </c>
      <c r="N68" t="s">
        <v>446</v>
      </c>
      <c r="O68" t="s">
        <v>99</v>
      </c>
      <c r="P68" t="s">
        <v>383</v>
      </c>
      <c r="Q68" t="s">
        <v>174</v>
      </c>
      <c r="R68" t="s">
        <v>175</v>
      </c>
      <c r="S68" t="s">
        <v>46</v>
      </c>
      <c r="T68" t="s">
        <v>46</v>
      </c>
      <c r="U68" s="4">
        <v>4552.49</v>
      </c>
      <c r="V68" t="str">
        <f t="shared" ref="V68:V131" si="1">RIGHT(O68,4)</f>
        <v>SK14</v>
      </c>
      <c r="W68" t="str">
        <f>VLOOKUP(K68,[1]Info!A$1:B$21,2,0)</f>
        <v>Skidder</v>
      </c>
      <c r="X68" t="str">
        <f>IF(M68="109595132","Material de Limpeza-Não Avaliar",IF(AND(K68="F20",M68&lt;&gt;109595132),IF(RIGHT(F68,2)="70","Infraestrutura de Planta","Prédios e Instalações"),IF(K68="FPC",VLOOKUP(F68,[1]Info!$E$2:$F$11,2,0),IF(K68="FGP",VLOOKUP(F68,[1]Info!$E$9:$F$10,2,0),IF(K68="F10",VLOOKUP(F68,[1]Info!$E$2:$F$3,2,0),VLOOKUP(K68,[1]Info!$A$1:$B$21,2,0))))))</f>
        <v>Skidder</v>
      </c>
    </row>
    <row r="69" spans="1:24" x14ac:dyDescent="0.35">
      <c r="A69" t="s">
        <v>41</v>
      </c>
      <c r="B69" t="s">
        <v>54</v>
      </c>
      <c r="C69" t="s">
        <v>55</v>
      </c>
      <c r="D69" t="s">
        <v>93</v>
      </c>
      <c r="E69" t="s">
        <v>56</v>
      </c>
      <c r="F69">
        <v>7098530</v>
      </c>
      <c r="G69" t="s">
        <v>57</v>
      </c>
      <c r="H69" t="s">
        <v>43</v>
      </c>
      <c r="I69" t="s">
        <v>44</v>
      </c>
      <c r="J69" t="s">
        <v>50</v>
      </c>
      <c r="K69" t="s">
        <v>15</v>
      </c>
      <c r="L69" t="s">
        <v>51</v>
      </c>
      <c r="M69" t="s">
        <v>445</v>
      </c>
      <c r="N69" t="s">
        <v>446</v>
      </c>
      <c r="O69" t="s">
        <v>99</v>
      </c>
      <c r="P69" t="s">
        <v>383</v>
      </c>
      <c r="Q69" t="s">
        <v>447</v>
      </c>
      <c r="R69" t="s">
        <v>448</v>
      </c>
      <c r="S69" t="s">
        <v>46</v>
      </c>
      <c r="T69" t="s">
        <v>46</v>
      </c>
      <c r="U69" s="4">
        <v>655.44</v>
      </c>
      <c r="V69" t="str">
        <f t="shared" si="1"/>
        <v>SK14</v>
      </c>
      <c r="W69" t="str">
        <f>VLOOKUP(K69,[1]Info!A$1:B$21,2,0)</f>
        <v>Skidder</v>
      </c>
      <c r="X69" t="str">
        <f>IF(M69="109595132","Material de Limpeza-Não Avaliar",IF(AND(K69="F20",M69&lt;&gt;109595132),IF(RIGHT(F69,2)="70","Infraestrutura de Planta","Prédios e Instalações"),IF(K69="FPC",VLOOKUP(F69,[1]Info!$E$2:$F$11,2,0),IF(K69="FGP",VLOOKUP(F69,[1]Info!$E$9:$F$10,2,0),IF(K69="F10",VLOOKUP(F69,[1]Info!$E$2:$F$3,2,0),VLOOKUP(K69,[1]Info!$A$1:$B$21,2,0))))))</f>
        <v>Skidder</v>
      </c>
    </row>
    <row r="70" spans="1:24" x14ac:dyDescent="0.35">
      <c r="A70" t="s">
        <v>41</v>
      </c>
      <c r="B70" t="s">
        <v>54</v>
      </c>
      <c r="C70" t="s">
        <v>55</v>
      </c>
      <c r="D70" t="s">
        <v>93</v>
      </c>
      <c r="E70" t="s">
        <v>56</v>
      </c>
      <c r="F70">
        <v>7098530</v>
      </c>
      <c r="G70" t="s">
        <v>57</v>
      </c>
      <c r="H70" t="s">
        <v>43</v>
      </c>
      <c r="I70" t="s">
        <v>44</v>
      </c>
      <c r="J70" t="s">
        <v>50</v>
      </c>
      <c r="K70" t="s">
        <v>15</v>
      </c>
      <c r="L70" t="s">
        <v>51</v>
      </c>
      <c r="M70" t="s">
        <v>449</v>
      </c>
      <c r="N70" t="s">
        <v>450</v>
      </c>
      <c r="O70" t="s">
        <v>99</v>
      </c>
      <c r="P70" t="s">
        <v>383</v>
      </c>
      <c r="Q70" t="s">
        <v>451</v>
      </c>
      <c r="R70" t="s">
        <v>452</v>
      </c>
      <c r="S70" t="s">
        <v>46</v>
      </c>
      <c r="T70" t="s">
        <v>46</v>
      </c>
      <c r="U70" s="4">
        <v>3570.62</v>
      </c>
      <c r="V70" t="str">
        <f t="shared" si="1"/>
        <v>SK14</v>
      </c>
      <c r="W70" t="str">
        <f>VLOOKUP(K70,[1]Info!A$1:B$21,2,0)</f>
        <v>Skidder</v>
      </c>
      <c r="X70" t="str">
        <f>IF(M70="109595132","Material de Limpeza-Não Avaliar",IF(AND(K70="F20",M70&lt;&gt;109595132),IF(RIGHT(F70,2)="70","Infraestrutura de Planta","Prédios e Instalações"),IF(K70="FPC",VLOOKUP(F70,[1]Info!$E$2:$F$11,2,0),IF(K70="FGP",VLOOKUP(F70,[1]Info!$E$9:$F$10,2,0),IF(K70="F10",VLOOKUP(F70,[1]Info!$E$2:$F$3,2,0),VLOOKUP(K70,[1]Info!$A$1:$B$21,2,0))))))</f>
        <v>Skidder</v>
      </c>
    </row>
    <row r="71" spans="1:24" x14ac:dyDescent="0.35">
      <c r="A71" t="s">
        <v>41</v>
      </c>
      <c r="B71" t="s">
        <v>54</v>
      </c>
      <c r="C71" t="s">
        <v>55</v>
      </c>
      <c r="D71" t="s">
        <v>93</v>
      </c>
      <c r="E71" t="s">
        <v>56</v>
      </c>
      <c r="F71">
        <v>7098530</v>
      </c>
      <c r="G71" t="s">
        <v>57</v>
      </c>
      <c r="H71" t="s">
        <v>43</v>
      </c>
      <c r="I71" t="s">
        <v>44</v>
      </c>
      <c r="J71" t="s">
        <v>50</v>
      </c>
      <c r="K71" t="s">
        <v>15</v>
      </c>
      <c r="L71" t="s">
        <v>51</v>
      </c>
      <c r="M71" t="s">
        <v>453</v>
      </c>
      <c r="N71" t="s">
        <v>454</v>
      </c>
      <c r="O71" t="s">
        <v>165</v>
      </c>
      <c r="P71" t="s">
        <v>383</v>
      </c>
      <c r="Q71" t="s">
        <v>433</v>
      </c>
      <c r="R71" t="s">
        <v>434</v>
      </c>
      <c r="S71" t="s">
        <v>46</v>
      </c>
      <c r="T71" t="s">
        <v>46</v>
      </c>
      <c r="U71" s="4">
        <v>161035.56</v>
      </c>
      <c r="V71" t="str">
        <f t="shared" si="1"/>
        <v>SK15</v>
      </c>
      <c r="W71" t="str">
        <f>VLOOKUP(K71,[1]Info!A$1:B$21,2,0)</f>
        <v>Skidder</v>
      </c>
      <c r="X71" t="str">
        <f>IF(M71="109595132","Material de Limpeza-Não Avaliar",IF(AND(K71="F20",M71&lt;&gt;109595132),IF(RIGHT(F71,2)="70","Infraestrutura de Planta","Prédios e Instalações"),IF(K71="FPC",VLOOKUP(F71,[1]Info!$E$2:$F$11,2,0),IF(K71="FGP",VLOOKUP(F71,[1]Info!$E$9:$F$10,2,0),IF(K71="F10",VLOOKUP(F71,[1]Info!$E$2:$F$3,2,0),VLOOKUP(K71,[1]Info!$A$1:$B$21,2,0))))))</f>
        <v>Skidder</v>
      </c>
    </row>
    <row r="72" spans="1:24" x14ac:dyDescent="0.35">
      <c r="A72" t="s">
        <v>41</v>
      </c>
      <c r="B72" t="s">
        <v>54</v>
      </c>
      <c r="C72" t="s">
        <v>55</v>
      </c>
      <c r="D72" t="s">
        <v>93</v>
      </c>
      <c r="E72" t="s">
        <v>56</v>
      </c>
      <c r="F72">
        <v>7098530</v>
      </c>
      <c r="G72" t="s">
        <v>57</v>
      </c>
      <c r="H72" t="s">
        <v>43</v>
      </c>
      <c r="I72" t="s">
        <v>44</v>
      </c>
      <c r="J72" t="s">
        <v>50</v>
      </c>
      <c r="K72" t="s">
        <v>15</v>
      </c>
      <c r="L72" t="s">
        <v>51</v>
      </c>
      <c r="M72" t="s">
        <v>267</v>
      </c>
      <c r="N72" t="s">
        <v>268</v>
      </c>
      <c r="O72" t="s">
        <v>99</v>
      </c>
      <c r="P72" t="s">
        <v>383</v>
      </c>
      <c r="Q72" t="s">
        <v>455</v>
      </c>
      <c r="R72" t="s">
        <v>456</v>
      </c>
      <c r="S72" t="s">
        <v>46</v>
      </c>
      <c r="T72" t="s">
        <v>46</v>
      </c>
      <c r="U72" s="4">
        <v>1271.01</v>
      </c>
      <c r="V72" t="str">
        <f t="shared" si="1"/>
        <v>SK14</v>
      </c>
      <c r="W72" t="str">
        <f>VLOOKUP(K72,[1]Info!A$1:B$21,2,0)</f>
        <v>Skidder</v>
      </c>
      <c r="X72" t="str">
        <f>IF(M72="109595132","Material de Limpeza-Não Avaliar",IF(AND(K72="F20",M72&lt;&gt;109595132),IF(RIGHT(F72,2)="70","Infraestrutura de Planta","Prédios e Instalações"),IF(K72="FPC",VLOOKUP(F72,[1]Info!$E$2:$F$11,2,0),IF(K72="FGP",VLOOKUP(F72,[1]Info!$E$9:$F$10,2,0),IF(K72="F10",VLOOKUP(F72,[1]Info!$E$2:$F$3,2,0),VLOOKUP(K72,[1]Info!$A$1:$B$21,2,0))))))</f>
        <v>Skidder</v>
      </c>
    </row>
    <row r="73" spans="1:24" x14ac:dyDescent="0.35">
      <c r="A73" t="s">
        <v>41</v>
      </c>
      <c r="B73" t="s">
        <v>54</v>
      </c>
      <c r="C73" t="s">
        <v>55</v>
      </c>
      <c r="D73" t="s">
        <v>93</v>
      </c>
      <c r="E73" t="s">
        <v>56</v>
      </c>
      <c r="F73">
        <v>7098530</v>
      </c>
      <c r="G73" t="s">
        <v>57</v>
      </c>
      <c r="H73" t="s">
        <v>43</v>
      </c>
      <c r="I73" t="s">
        <v>44</v>
      </c>
      <c r="J73" t="s">
        <v>50</v>
      </c>
      <c r="K73" t="s">
        <v>15</v>
      </c>
      <c r="L73" t="s">
        <v>51</v>
      </c>
      <c r="M73" t="s">
        <v>249</v>
      </c>
      <c r="N73" t="s">
        <v>250</v>
      </c>
      <c r="O73" t="s">
        <v>251</v>
      </c>
      <c r="P73" t="s">
        <v>383</v>
      </c>
      <c r="Q73" t="s">
        <v>457</v>
      </c>
      <c r="R73" t="s">
        <v>458</v>
      </c>
      <c r="S73" t="s">
        <v>46</v>
      </c>
      <c r="T73" t="s">
        <v>46</v>
      </c>
      <c r="U73" s="4">
        <v>7147.95</v>
      </c>
      <c r="V73" t="str">
        <f t="shared" si="1"/>
        <v>SK13</v>
      </c>
      <c r="W73" t="str">
        <f>VLOOKUP(K73,[1]Info!A$1:B$21,2,0)</f>
        <v>Skidder</v>
      </c>
      <c r="X73" t="str">
        <f>IF(M73="109595132","Material de Limpeza-Não Avaliar",IF(AND(K73="F20",M73&lt;&gt;109595132),IF(RIGHT(F73,2)="70","Infraestrutura de Planta","Prédios e Instalações"),IF(K73="FPC",VLOOKUP(F73,[1]Info!$E$2:$F$11,2,0),IF(K73="FGP",VLOOKUP(F73,[1]Info!$E$9:$F$10,2,0),IF(K73="F10",VLOOKUP(F73,[1]Info!$E$2:$F$3,2,0),VLOOKUP(K73,[1]Info!$A$1:$B$21,2,0))))))</f>
        <v>Skidder</v>
      </c>
    </row>
    <row r="74" spans="1:24" x14ac:dyDescent="0.35">
      <c r="A74" t="s">
        <v>41</v>
      </c>
      <c r="B74" t="s">
        <v>54</v>
      </c>
      <c r="C74" t="s">
        <v>55</v>
      </c>
      <c r="D74" t="s">
        <v>93</v>
      </c>
      <c r="E74" t="s">
        <v>56</v>
      </c>
      <c r="F74">
        <v>7098530</v>
      </c>
      <c r="G74" t="s">
        <v>57</v>
      </c>
      <c r="H74" t="s">
        <v>43</v>
      </c>
      <c r="I74" t="s">
        <v>44</v>
      </c>
      <c r="J74" t="s">
        <v>50</v>
      </c>
      <c r="K74" t="s">
        <v>15</v>
      </c>
      <c r="L74" t="s">
        <v>51</v>
      </c>
      <c r="M74" t="s">
        <v>459</v>
      </c>
      <c r="N74" t="s">
        <v>460</v>
      </c>
      <c r="O74" t="s">
        <v>165</v>
      </c>
      <c r="P74" t="s">
        <v>383</v>
      </c>
      <c r="Q74" t="s">
        <v>461</v>
      </c>
      <c r="R74" t="s">
        <v>462</v>
      </c>
      <c r="S74" t="s">
        <v>46</v>
      </c>
      <c r="T74" t="s">
        <v>46</v>
      </c>
      <c r="U74" s="4">
        <v>15951.22</v>
      </c>
      <c r="V74" t="str">
        <f t="shared" si="1"/>
        <v>SK15</v>
      </c>
      <c r="W74" t="str">
        <f>VLOOKUP(K74,[1]Info!A$1:B$21,2,0)</f>
        <v>Skidder</v>
      </c>
      <c r="X74" t="str">
        <f>IF(M74="109595132","Material de Limpeza-Não Avaliar",IF(AND(K74="F20",M74&lt;&gt;109595132),IF(RIGHT(F74,2)="70","Infraestrutura de Planta","Prédios e Instalações"),IF(K74="FPC",VLOOKUP(F74,[1]Info!$E$2:$F$11,2,0),IF(K74="FGP",VLOOKUP(F74,[1]Info!$E$9:$F$10,2,0),IF(K74="F10",VLOOKUP(F74,[1]Info!$E$2:$F$3,2,0),VLOOKUP(K74,[1]Info!$A$1:$B$21,2,0))))))</f>
        <v>Skidder</v>
      </c>
    </row>
    <row r="75" spans="1:24" x14ac:dyDescent="0.35">
      <c r="A75" t="s">
        <v>41</v>
      </c>
      <c r="B75" t="s">
        <v>54</v>
      </c>
      <c r="C75" t="s">
        <v>55</v>
      </c>
      <c r="D75" t="s">
        <v>93</v>
      </c>
      <c r="E75" t="s">
        <v>56</v>
      </c>
      <c r="F75">
        <v>7098530</v>
      </c>
      <c r="G75" t="s">
        <v>57</v>
      </c>
      <c r="H75" t="s">
        <v>43</v>
      </c>
      <c r="I75" t="s">
        <v>44</v>
      </c>
      <c r="J75" t="s">
        <v>50</v>
      </c>
      <c r="K75" t="s">
        <v>15</v>
      </c>
      <c r="L75" t="s">
        <v>51</v>
      </c>
      <c r="M75" t="s">
        <v>463</v>
      </c>
      <c r="N75" t="s">
        <v>464</v>
      </c>
      <c r="O75" t="s">
        <v>465</v>
      </c>
      <c r="P75" t="s">
        <v>383</v>
      </c>
      <c r="Q75" t="s">
        <v>466</v>
      </c>
      <c r="R75" t="s">
        <v>467</v>
      </c>
      <c r="S75" t="s">
        <v>46</v>
      </c>
      <c r="T75" t="s">
        <v>46</v>
      </c>
      <c r="U75" s="4">
        <v>225.57</v>
      </c>
      <c r="V75" t="str">
        <f t="shared" si="1"/>
        <v>0060</v>
      </c>
      <c r="W75" t="str">
        <f>VLOOKUP(K75,[1]Info!A$1:B$21,2,0)</f>
        <v>Skidder</v>
      </c>
      <c r="X75" t="str">
        <f>IF(M75="109595132","Material de Limpeza-Não Avaliar",IF(AND(K75="F20",M75&lt;&gt;109595132),IF(RIGHT(F75,2)="70","Infraestrutura de Planta","Prédios e Instalações"),IF(K75="FPC",VLOOKUP(F75,[1]Info!$E$2:$F$11,2,0),IF(K75="FGP",VLOOKUP(F75,[1]Info!$E$9:$F$10,2,0),IF(K75="F10",VLOOKUP(F75,[1]Info!$E$2:$F$3,2,0),VLOOKUP(K75,[1]Info!$A$1:$B$21,2,0))))))</f>
        <v>Skidder</v>
      </c>
    </row>
    <row r="76" spans="1:24" x14ac:dyDescent="0.35">
      <c r="A76" t="s">
        <v>41</v>
      </c>
      <c r="B76" t="s">
        <v>54</v>
      </c>
      <c r="C76" t="s">
        <v>55</v>
      </c>
      <c r="D76" t="s">
        <v>93</v>
      </c>
      <c r="E76" t="s">
        <v>56</v>
      </c>
      <c r="F76">
        <v>7098530</v>
      </c>
      <c r="G76" t="s">
        <v>57</v>
      </c>
      <c r="H76" t="s">
        <v>43</v>
      </c>
      <c r="I76" t="s">
        <v>44</v>
      </c>
      <c r="J76" t="s">
        <v>50</v>
      </c>
      <c r="K76" t="s">
        <v>15</v>
      </c>
      <c r="L76" t="s">
        <v>51</v>
      </c>
      <c r="M76" t="s">
        <v>463</v>
      </c>
      <c r="N76" t="s">
        <v>464</v>
      </c>
      <c r="O76" t="s">
        <v>465</v>
      </c>
      <c r="P76" t="s">
        <v>383</v>
      </c>
      <c r="Q76" t="s">
        <v>468</v>
      </c>
      <c r="R76" t="s">
        <v>469</v>
      </c>
      <c r="S76" t="s">
        <v>46</v>
      </c>
      <c r="T76" t="s">
        <v>46</v>
      </c>
      <c r="U76" s="4">
        <v>4086.91</v>
      </c>
      <c r="V76" t="str">
        <f t="shared" si="1"/>
        <v>0060</v>
      </c>
      <c r="W76" t="str">
        <f>VLOOKUP(K76,[1]Info!A$1:B$21,2,0)</f>
        <v>Skidder</v>
      </c>
      <c r="X76" t="str">
        <f>IF(M76="109595132","Material de Limpeza-Não Avaliar",IF(AND(K76="F20",M76&lt;&gt;109595132),IF(RIGHT(F76,2)="70","Infraestrutura de Planta","Prédios e Instalações"),IF(K76="FPC",VLOOKUP(F76,[1]Info!$E$2:$F$11,2,0),IF(K76="FGP",VLOOKUP(F76,[1]Info!$E$9:$F$10,2,0),IF(K76="F10",VLOOKUP(F76,[1]Info!$E$2:$F$3,2,0),VLOOKUP(K76,[1]Info!$A$1:$B$21,2,0))))))</f>
        <v>Skidder</v>
      </c>
    </row>
    <row r="77" spans="1:24" x14ac:dyDescent="0.35">
      <c r="A77" t="s">
        <v>41</v>
      </c>
      <c r="B77" t="s">
        <v>54</v>
      </c>
      <c r="C77" t="s">
        <v>55</v>
      </c>
      <c r="D77" t="s">
        <v>93</v>
      </c>
      <c r="E77" t="s">
        <v>56</v>
      </c>
      <c r="F77">
        <v>7098520</v>
      </c>
      <c r="G77" t="s">
        <v>58</v>
      </c>
      <c r="H77" t="s">
        <v>43</v>
      </c>
      <c r="I77" t="s">
        <v>44</v>
      </c>
      <c r="J77" t="s">
        <v>50</v>
      </c>
      <c r="K77" t="s">
        <v>12</v>
      </c>
      <c r="L77" t="s">
        <v>62</v>
      </c>
      <c r="M77" t="s">
        <v>1360</v>
      </c>
      <c r="N77" t="s">
        <v>1361</v>
      </c>
      <c r="O77" t="s">
        <v>60</v>
      </c>
      <c r="P77" t="s">
        <v>1292</v>
      </c>
      <c r="Q77" t="s">
        <v>46</v>
      </c>
      <c r="R77" t="s">
        <v>47</v>
      </c>
      <c r="S77" t="s">
        <v>46</v>
      </c>
      <c r="T77" t="s">
        <v>46</v>
      </c>
      <c r="U77" s="4">
        <v>2175.91</v>
      </c>
      <c r="V77" t="str">
        <f t="shared" si="1"/>
        <v>GT18</v>
      </c>
      <c r="W77" t="str">
        <f>VLOOKUP(K77,[1]Info!A$1:B$21,2,0)</f>
        <v>Garra Traçadora</v>
      </c>
      <c r="X77" t="str">
        <f>IF(M77="109595132","Material de Limpeza-Não Avaliar",IF(AND(K77="F20",M77&lt;&gt;109595132),IF(RIGHT(F77,2)="70","Infraestrutura de Planta","Prédios e Instalações"),IF(K77="FPC",VLOOKUP(F77,[1]Info!$E$2:$F$11,2,0),IF(K77="FGP",VLOOKUP(F77,[1]Info!$E$9:$F$10,2,0),IF(K77="F10",VLOOKUP(F77,[1]Info!$E$2:$F$3,2,0),VLOOKUP(K77,[1]Info!$A$1:$B$21,2,0))))))</f>
        <v>Garra Traçadora</v>
      </c>
    </row>
    <row r="78" spans="1:24" x14ac:dyDescent="0.35">
      <c r="A78" t="s">
        <v>41</v>
      </c>
      <c r="B78" t="s">
        <v>54</v>
      </c>
      <c r="C78" t="s">
        <v>55</v>
      </c>
      <c r="D78" t="s">
        <v>93</v>
      </c>
      <c r="E78" t="s">
        <v>56</v>
      </c>
      <c r="F78">
        <v>7098520</v>
      </c>
      <c r="G78" t="s">
        <v>58</v>
      </c>
      <c r="H78" t="s">
        <v>43</v>
      </c>
      <c r="I78" t="s">
        <v>44</v>
      </c>
      <c r="J78" t="s">
        <v>50</v>
      </c>
      <c r="K78" t="s">
        <v>12</v>
      </c>
      <c r="L78" t="s">
        <v>51</v>
      </c>
      <c r="M78" t="s">
        <v>1362</v>
      </c>
      <c r="N78" t="s">
        <v>1363</v>
      </c>
      <c r="O78" t="s">
        <v>60</v>
      </c>
      <c r="P78" t="s">
        <v>1292</v>
      </c>
      <c r="Q78" t="s">
        <v>46</v>
      </c>
      <c r="R78" t="s">
        <v>47</v>
      </c>
      <c r="S78" t="s">
        <v>46</v>
      </c>
      <c r="T78" t="s">
        <v>46</v>
      </c>
      <c r="U78" s="4">
        <v>509.41</v>
      </c>
      <c r="V78" t="str">
        <f t="shared" si="1"/>
        <v>GT18</v>
      </c>
      <c r="W78" t="str">
        <f>VLOOKUP(K78,[1]Info!A$1:B$21,2,0)</f>
        <v>Garra Traçadora</v>
      </c>
      <c r="X78" t="str">
        <f>IF(M78="109595132","Material de Limpeza-Não Avaliar",IF(AND(K78="F20",M78&lt;&gt;109595132),IF(RIGHT(F78,2)="70","Infraestrutura de Planta","Prédios e Instalações"),IF(K78="FPC",VLOOKUP(F78,[1]Info!$E$2:$F$11,2,0),IF(K78="FGP",VLOOKUP(F78,[1]Info!$E$9:$F$10,2,0),IF(K78="F10",VLOOKUP(F78,[1]Info!$E$2:$F$3,2,0),VLOOKUP(K78,[1]Info!$A$1:$B$21,2,0))))))</f>
        <v>Garra Traçadora</v>
      </c>
    </row>
    <row r="79" spans="1:24" x14ac:dyDescent="0.35">
      <c r="A79" t="s">
        <v>41</v>
      </c>
      <c r="B79" t="s">
        <v>54</v>
      </c>
      <c r="C79" t="s">
        <v>55</v>
      </c>
      <c r="D79" t="s">
        <v>93</v>
      </c>
      <c r="E79" t="s">
        <v>56</v>
      </c>
      <c r="F79">
        <v>7098520</v>
      </c>
      <c r="G79" t="s">
        <v>58</v>
      </c>
      <c r="H79" t="s">
        <v>43</v>
      </c>
      <c r="I79" t="s">
        <v>44</v>
      </c>
      <c r="J79" t="s">
        <v>50</v>
      </c>
      <c r="K79" t="s">
        <v>12</v>
      </c>
      <c r="L79" t="s">
        <v>51</v>
      </c>
      <c r="M79" t="s">
        <v>470</v>
      </c>
      <c r="N79" t="s">
        <v>471</v>
      </c>
      <c r="O79" t="s">
        <v>209</v>
      </c>
      <c r="P79" t="s">
        <v>383</v>
      </c>
      <c r="Q79" t="s">
        <v>472</v>
      </c>
      <c r="R79" t="s">
        <v>473</v>
      </c>
      <c r="S79" t="s">
        <v>46</v>
      </c>
      <c r="T79" t="s">
        <v>46</v>
      </c>
      <c r="U79" s="4">
        <v>56557.59</v>
      </c>
      <c r="V79" t="str">
        <f t="shared" si="1"/>
        <v>GT15</v>
      </c>
      <c r="W79" t="str">
        <f>VLOOKUP(K79,[1]Info!A$1:B$21,2,0)</f>
        <v>Garra Traçadora</v>
      </c>
      <c r="X79" t="str">
        <f>IF(M79="109595132","Material de Limpeza-Não Avaliar",IF(AND(K79="F20",M79&lt;&gt;109595132),IF(RIGHT(F79,2)="70","Infraestrutura de Planta","Prédios e Instalações"),IF(K79="FPC",VLOOKUP(F79,[1]Info!$E$2:$F$11,2,0),IF(K79="FGP",VLOOKUP(F79,[1]Info!$E$9:$F$10,2,0),IF(K79="F10",VLOOKUP(F79,[1]Info!$E$2:$F$3,2,0),VLOOKUP(K79,[1]Info!$A$1:$B$21,2,0))))))</f>
        <v>Garra Traçadora</v>
      </c>
    </row>
    <row r="80" spans="1:24" x14ac:dyDescent="0.35">
      <c r="A80" t="s">
        <v>41</v>
      </c>
      <c r="B80" t="s">
        <v>54</v>
      </c>
      <c r="C80" t="s">
        <v>55</v>
      </c>
      <c r="D80" t="s">
        <v>93</v>
      </c>
      <c r="E80" t="s">
        <v>56</v>
      </c>
      <c r="F80">
        <v>7098520</v>
      </c>
      <c r="G80" t="s">
        <v>58</v>
      </c>
      <c r="H80" t="s">
        <v>43</v>
      </c>
      <c r="I80" t="s">
        <v>44</v>
      </c>
      <c r="J80" t="s">
        <v>50</v>
      </c>
      <c r="K80" t="s">
        <v>12</v>
      </c>
      <c r="L80" t="s">
        <v>51</v>
      </c>
      <c r="M80" t="s">
        <v>474</v>
      </c>
      <c r="N80" t="s">
        <v>475</v>
      </c>
      <c r="O80" t="s">
        <v>476</v>
      </c>
      <c r="P80" t="s">
        <v>383</v>
      </c>
      <c r="Q80" t="s">
        <v>477</v>
      </c>
      <c r="R80" t="s">
        <v>478</v>
      </c>
      <c r="S80" t="s">
        <v>46</v>
      </c>
      <c r="T80" t="s">
        <v>46</v>
      </c>
      <c r="U80" s="4">
        <v>654.55999999999995</v>
      </c>
      <c r="V80" t="str">
        <f t="shared" si="1"/>
        <v>GT19</v>
      </c>
      <c r="W80" t="str">
        <f>VLOOKUP(K80,[1]Info!A$1:B$21,2,0)</f>
        <v>Garra Traçadora</v>
      </c>
      <c r="X80" t="str">
        <f>IF(M80="109595132","Material de Limpeza-Não Avaliar",IF(AND(K80="F20",M80&lt;&gt;109595132),IF(RIGHT(F80,2)="70","Infraestrutura de Planta","Prédios e Instalações"),IF(K80="FPC",VLOOKUP(F80,[1]Info!$E$2:$F$11,2,0),IF(K80="FGP",VLOOKUP(F80,[1]Info!$E$9:$F$10,2,0),IF(K80="F10",VLOOKUP(F80,[1]Info!$E$2:$F$3,2,0),VLOOKUP(K80,[1]Info!$A$1:$B$21,2,0))))))</f>
        <v>Garra Traçadora</v>
      </c>
    </row>
    <row r="81" spans="1:24" x14ac:dyDescent="0.35">
      <c r="A81" t="s">
        <v>41</v>
      </c>
      <c r="B81" t="s">
        <v>54</v>
      </c>
      <c r="C81" t="s">
        <v>55</v>
      </c>
      <c r="D81" t="s">
        <v>93</v>
      </c>
      <c r="E81" t="s">
        <v>56</v>
      </c>
      <c r="F81">
        <v>7098520</v>
      </c>
      <c r="G81" t="s">
        <v>58</v>
      </c>
      <c r="H81" t="s">
        <v>43</v>
      </c>
      <c r="I81" t="s">
        <v>44</v>
      </c>
      <c r="J81" t="s">
        <v>50</v>
      </c>
      <c r="K81" t="s">
        <v>12</v>
      </c>
      <c r="L81" t="s">
        <v>51</v>
      </c>
      <c r="M81" t="s">
        <v>474</v>
      </c>
      <c r="N81" t="s">
        <v>475</v>
      </c>
      <c r="O81" t="s">
        <v>476</v>
      </c>
      <c r="P81" t="s">
        <v>383</v>
      </c>
      <c r="Q81" t="s">
        <v>119</v>
      </c>
      <c r="R81" t="s">
        <v>120</v>
      </c>
      <c r="S81" t="s">
        <v>46</v>
      </c>
      <c r="T81" t="s">
        <v>46</v>
      </c>
      <c r="U81" s="4">
        <v>261.77</v>
      </c>
      <c r="V81" t="str">
        <f t="shared" si="1"/>
        <v>GT19</v>
      </c>
      <c r="W81" t="str">
        <f>VLOOKUP(K81,[1]Info!A$1:B$21,2,0)</f>
        <v>Garra Traçadora</v>
      </c>
      <c r="X81" t="str">
        <f>IF(M81="109595132","Material de Limpeza-Não Avaliar",IF(AND(K81="F20",M81&lt;&gt;109595132),IF(RIGHT(F81,2)="70","Infraestrutura de Planta","Prédios e Instalações"),IF(K81="FPC",VLOOKUP(F81,[1]Info!$E$2:$F$11,2,0),IF(K81="FGP",VLOOKUP(F81,[1]Info!$E$9:$F$10,2,0),IF(K81="F10",VLOOKUP(F81,[1]Info!$E$2:$F$3,2,0),VLOOKUP(K81,[1]Info!$A$1:$B$21,2,0))))))</f>
        <v>Garra Traçadora</v>
      </c>
    </row>
    <row r="82" spans="1:24" x14ac:dyDescent="0.35">
      <c r="A82" t="s">
        <v>41</v>
      </c>
      <c r="B82" t="s">
        <v>54</v>
      </c>
      <c r="C82" t="s">
        <v>55</v>
      </c>
      <c r="D82" t="s">
        <v>93</v>
      </c>
      <c r="E82" t="s">
        <v>56</v>
      </c>
      <c r="F82">
        <v>7098510</v>
      </c>
      <c r="G82" t="s">
        <v>61</v>
      </c>
      <c r="H82" t="s">
        <v>43</v>
      </c>
      <c r="I82" t="s">
        <v>44</v>
      </c>
      <c r="J82" t="s">
        <v>50</v>
      </c>
      <c r="K82" t="s">
        <v>11</v>
      </c>
      <c r="L82" t="s">
        <v>62</v>
      </c>
      <c r="M82" t="s">
        <v>479</v>
      </c>
      <c r="N82" t="s">
        <v>190</v>
      </c>
      <c r="O82" t="s">
        <v>149</v>
      </c>
      <c r="P82" t="s">
        <v>383</v>
      </c>
      <c r="Q82" t="s">
        <v>480</v>
      </c>
      <c r="R82" t="s">
        <v>481</v>
      </c>
      <c r="S82" t="s">
        <v>46</v>
      </c>
      <c r="T82" t="s">
        <v>46</v>
      </c>
      <c r="U82" s="4">
        <v>1106.26</v>
      </c>
      <c r="V82" t="str">
        <f t="shared" si="1"/>
        <v>FF12</v>
      </c>
      <c r="W82" t="str">
        <f>VLOOKUP(K82,[1]Info!A$1:B$21,2,0)</f>
        <v>Feller</v>
      </c>
      <c r="X82" t="str">
        <f>IF(M82="109595132","Material de Limpeza-Não Avaliar",IF(AND(K82="F20",M82&lt;&gt;109595132),IF(RIGHT(F82,2)="70","Infraestrutura de Planta","Prédios e Instalações"),IF(K82="FPC",VLOOKUP(F82,[1]Info!$E$2:$F$11,2,0),IF(K82="FGP",VLOOKUP(F82,[1]Info!$E$9:$F$10,2,0),IF(K82="F10",VLOOKUP(F82,[1]Info!$E$2:$F$3,2,0),VLOOKUP(K82,[1]Info!$A$1:$B$21,2,0))))))</f>
        <v>Feller</v>
      </c>
    </row>
    <row r="83" spans="1:24" x14ac:dyDescent="0.35">
      <c r="A83" t="s">
        <v>41</v>
      </c>
      <c r="B83" t="s">
        <v>54</v>
      </c>
      <c r="C83" t="s">
        <v>55</v>
      </c>
      <c r="D83" t="s">
        <v>93</v>
      </c>
      <c r="E83" t="s">
        <v>56</v>
      </c>
      <c r="F83">
        <v>7098510</v>
      </c>
      <c r="G83" t="s">
        <v>61</v>
      </c>
      <c r="H83" t="s">
        <v>43</v>
      </c>
      <c r="I83" t="s">
        <v>44</v>
      </c>
      <c r="J83" t="s">
        <v>50</v>
      </c>
      <c r="K83" t="s">
        <v>11</v>
      </c>
      <c r="L83" t="s">
        <v>62</v>
      </c>
      <c r="M83" t="s">
        <v>191</v>
      </c>
      <c r="N83" t="s">
        <v>192</v>
      </c>
      <c r="O83" t="s">
        <v>63</v>
      </c>
      <c r="P83" t="s">
        <v>383</v>
      </c>
      <c r="Q83" t="s">
        <v>480</v>
      </c>
      <c r="R83" t="s">
        <v>481</v>
      </c>
      <c r="S83" t="s">
        <v>46</v>
      </c>
      <c r="T83" t="s">
        <v>46</v>
      </c>
      <c r="U83" s="4">
        <v>1106.26</v>
      </c>
      <c r="V83" t="str">
        <f t="shared" si="1"/>
        <v>FF15</v>
      </c>
      <c r="W83" t="str">
        <f>VLOOKUP(K83,[1]Info!A$1:B$21,2,0)</f>
        <v>Feller</v>
      </c>
      <c r="X83" t="str">
        <f>IF(M83="109595132","Material de Limpeza-Não Avaliar",IF(AND(K83="F20",M83&lt;&gt;109595132),IF(RIGHT(F83,2)="70","Infraestrutura de Planta","Prédios e Instalações"),IF(K83="FPC",VLOOKUP(F83,[1]Info!$E$2:$F$11,2,0),IF(K83="FGP",VLOOKUP(F83,[1]Info!$E$9:$F$10,2,0),IF(K83="F10",VLOOKUP(F83,[1]Info!$E$2:$F$3,2,0),VLOOKUP(K83,[1]Info!$A$1:$B$21,2,0))))))</f>
        <v>Feller</v>
      </c>
    </row>
    <row r="84" spans="1:24" x14ac:dyDescent="0.35">
      <c r="A84" t="s">
        <v>41</v>
      </c>
      <c r="B84" t="s">
        <v>54</v>
      </c>
      <c r="C84" t="s">
        <v>55</v>
      </c>
      <c r="D84" t="s">
        <v>93</v>
      </c>
      <c r="E84" t="s">
        <v>56</v>
      </c>
      <c r="F84">
        <v>7098510</v>
      </c>
      <c r="G84" t="s">
        <v>61</v>
      </c>
      <c r="H84" t="s">
        <v>43</v>
      </c>
      <c r="I84" t="s">
        <v>44</v>
      </c>
      <c r="J84" t="s">
        <v>50</v>
      </c>
      <c r="K84" t="s">
        <v>11</v>
      </c>
      <c r="L84" t="s">
        <v>51</v>
      </c>
      <c r="M84" t="s">
        <v>482</v>
      </c>
      <c r="N84" t="s">
        <v>483</v>
      </c>
      <c r="O84" t="s">
        <v>63</v>
      </c>
      <c r="P84" t="s">
        <v>383</v>
      </c>
      <c r="Q84" t="s">
        <v>484</v>
      </c>
      <c r="R84" t="s">
        <v>485</v>
      </c>
      <c r="S84" t="s">
        <v>46</v>
      </c>
      <c r="T84" t="s">
        <v>46</v>
      </c>
      <c r="U84" s="4">
        <v>1692.4</v>
      </c>
      <c r="V84" t="str">
        <f t="shared" si="1"/>
        <v>FF15</v>
      </c>
      <c r="W84" t="str">
        <f>VLOOKUP(K84,[1]Info!A$1:B$21,2,0)</f>
        <v>Feller</v>
      </c>
      <c r="X84" t="str">
        <f>IF(M84="109595132","Material de Limpeza-Não Avaliar",IF(AND(K84="F20",M84&lt;&gt;109595132),IF(RIGHT(F84,2)="70","Infraestrutura de Planta","Prédios e Instalações"),IF(K84="FPC",VLOOKUP(F84,[1]Info!$E$2:$F$11,2,0),IF(K84="FGP",VLOOKUP(F84,[1]Info!$E$9:$F$10,2,0),IF(K84="F10",VLOOKUP(F84,[1]Info!$E$2:$F$3,2,0),VLOOKUP(K84,[1]Info!$A$1:$B$21,2,0))))))</f>
        <v>Feller</v>
      </c>
    </row>
    <row r="85" spans="1:24" x14ac:dyDescent="0.35">
      <c r="A85" t="s">
        <v>41</v>
      </c>
      <c r="B85" t="s">
        <v>54</v>
      </c>
      <c r="C85" t="s">
        <v>55</v>
      </c>
      <c r="D85" t="s">
        <v>93</v>
      </c>
      <c r="E85" t="s">
        <v>56</v>
      </c>
      <c r="F85">
        <v>7098510</v>
      </c>
      <c r="G85" t="s">
        <v>61</v>
      </c>
      <c r="H85" t="s">
        <v>43</v>
      </c>
      <c r="I85" t="s">
        <v>44</v>
      </c>
      <c r="J85" t="s">
        <v>50</v>
      </c>
      <c r="K85" t="s">
        <v>11</v>
      </c>
      <c r="L85" t="s">
        <v>51</v>
      </c>
      <c r="M85" t="s">
        <v>486</v>
      </c>
      <c r="N85" t="s">
        <v>487</v>
      </c>
      <c r="O85" t="s">
        <v>488</v>
      </c>
      <c r="P85" t="s">
        <v>383</v>
      </c>
      <c r="Q85" t="s">
        <v>489</v>
      </c>
      <c r="R85" t="s">
        <v>490</v>
      </c>
      <c r="S85" t="s">
        <v>46</v>
      </c>
      <c r="T85" t="s">
        <v>46</v>
      </c>
      <c r="U85" s="4">
        <v>64.040000000000006</v>
      </c>
      <c r="V85" t="str">
        <f t="shared" si="1"/>
        <v>FF13</v>
      </c>
      <c r="W85" t="str">
        <f>VLOOKUP(K85,[1]Info!A$1:B$21,2,0)</f>
        <v>Feller</v>
      </c>
      <c r="X85" t="str">
        <f>IF(M85="109595132","Material de Limpeza-Não Avaliar",IF(AND(K85="F20",M85&lt;&gt;109595132),IF(RIGHT(F85,2)="70","Infraestrutura de Planta","Prédios e Instalações"),IF(K85="FPC",VLOOKUP(F85,[1]Info!$E$2:$F$11,2,0),IF(K85="FGP",VLOOKUP(F85,[1]Info!$E$9:$F$10,2,0),IF(K85="F10",VLOOKUP(F85,[1]Info!$E$2:$F$3,2,0),VLOOKUP(K85,[1]Info!$A$1:$B$21,2,0))))))</f>
        <v>Feller</v>
      </c>
    </row>
    <row r="86" spans="1:24" x14ac:dyDescent="0.35">
      <c r="A86" t="s">
        <v>41</v>
      </c>
      <c r="B86" t="s">
        <v>54</v>
      </c>
      <c r="C86" t="s">
        <v>55</v>
      </c>
      <c r="D86" t="s">
        <v>93</v>
      </c>
      <c r="E86" t="s">
        <v>56</v>
      </c>
      <c r="F86">
        <v>7098510</v>
      </c>
      <c r="G86" t="s">
        <v>61</v>
      </c>
      <c r="H86" t="s">
        <v>43</v>
      </c>
      <c r="I86" t="s">
        <v>44</v>
      </c>
      <c r="J86" t="s">
        <v>50</v>
      </c>
      <c r="K86" t="s">
        <v>11</v>
      </c>
      <c r="L86" t="s">
        <v>51</v>
      </c>
      <c r="M86" t="s">
        <v>486</v>
      </c>
      <c r="N86" t="s">
        <v>487</v>
      </c>
      <c r="O86" t="s">
        <v>488</v>
      </c>
      <c r="P86" t="s">
        <v>383</v>
      </c>
      <c r="Q86" t="s">
        <v>491</v>
      </c>
      <c r="R86" t="s">
        <v>492</v>
      </c>
      <c r="S86" t="s">
        <v>46</v>
      </c>
      <c r="T86" t="s">
        <v>46</v>
      </c>
      <c r="U86" s="4">
        <v>314.13</v>
      </c>
      <c r="V86" t="str">
        <f t="shared" si="1"/>
        <v>FF13</v>
      </c>
      <c r="W86" t="str">
        <f>VLOOKUP(K86,[1]Info!A$1:B$21,2,0)</f>
        <v>Feller</v>
      </c>
      <c r="X86" t="str">
        <f>IF(M86="109595132","Material de Limpeza-Não Avaliar",IF(AND(K86="F20",M86&lt;&gt;109595132),IF(RIGHT(F86,2)="70","Infraestrutura de Planta","Prédios e Instalações"),IF(K86="FPC",VLOOKUP(F86,[1]Info!$E$2:$F$11,2,0),IF(K86="FGP",VLOOKUP(F86,[1]Info!$E$9:$F$10,2,0),IF(K86="F10",VLOOKUP(F86,[1]Info!$E$2:$F$3,2,0),VLOOKUP(K86,[1]Info!$A$1:$B$21,2,0))))))</f>
        <v>Feller</v>
      </c>
    </row>
    <row r="87" spans="1:24" x14ac:dyDescent="0.35">
      <c r="A87" t="s">
        <v>41</v>
      </c>
      <c r="B87" t="s">
        <v>54</v>
      </c>
      <c r="C87" t="s">
        <v>55</v>
      </c>
      <c r="D87" t="s">
        <v>93</v>
      </c>
      <c r="E87" t="s">
        <v>56</v>
      </c>
      <c r="F87">
        <v>7098510</v>
      </c>
      <c r="G87" t="s">
        <v>61</v>
      </c>
      <c r="H87" t="s">
        <v>43</v>
      </c>
      <c r="I87" t="s">
        <v>44</v>
      </c>
      <c r="J87" t="s">
        <v>50</v>
      </c>
      <c r="K87" t="s">
        <v>11</v>
      </c>
      <c r="L87" t="s">
        <v>51</v>
      </c>
      <c r="M87" t="s">
        <v>486</v>
      </c>
      <c r="N87" t="s">
        <v>487</v>
      </c>
      <c r="O87" t="s">
        <v>488</v>
      </c>
      <c r="P87" t="s">
        <v>383</v>
      </c>
      <c r="Q87" t="s">
        <v>493</v>
      </c>
      <c r="R87" t="s">
        <v>494</v>
      </c>
      <c r="S87" t="s">
        <v>46</v>
      </c>
      <c r="T87" t="s">
        <v>46</v>
      </c>
      <c r="U87" s="4">
        <v>54.17</v>
      </c>
      <c r="V87" t="str">
        <f t="shared" si="1"/>
        <v>FF13</v>
      </c>
      <c r="W87" t="str">
        <f>VLOOKUP(K87,[1]Info!A$1:B$21,2,0)</f>
        <v>Feller</v>
      </c>
      <c r="X87" t="str">
        <f>IF(M87="109595132","Material de Limpeza-Não Avaliar",IF(AND(K87="F20",M87&lt;&gt;109595132),IF(RIGHT(F87,2)="70","Infraestrutura de Planta","Prédios e Instalações"),IF(K87="FPC",VLOOKUP(F87,[1]Info!$E$2:$F$11,2,0),IF(K87="FGP",VLOOKUP(F87,[1]Info!$E$9:$F$10,2,0),IF(K87="F10",VLOOKUP(F87,[1]Info!$E$2:$F$3,2,0),VLOOKUP(K87,[1]Info!$A$1:$B$21,2,0))))))</f>
        <v>Feller</v>
      </c>
    </row>
    <row r="88" spans="1:24" x14ac:dyDescent="0.35">
      <c r="A88" t="s">
        <v>41</v>
      </c>
      <c r="B88" t="s">
        <v>54</v>
      </c>
      <c r="C88" t="s">
        <v>55</v>
      </c>
      <c r="D88" t="s">
        <v>93</v>
      </c>
      <c r="E88" t="s">
        <v>56</v>
      </c>
      <c r="F88">
        <v>7098510</v>
      </c>
      <c r="G88" t="s">
        <v>61</v>
      </c>
      <c r="H88" t="s">
        <v>43</v>
      </c>
      <c r="I88" t="s">
        <v>44</v>
      </c>
      <c r="J88" t="s">
        <v>50</v>
      </c>
      <c r="K88" t="s">
        <v>11</v>
      </c>
      <c r="L88" t="s">
        <v>51</v>
      </c>
      <c r="M88" t="s">
        <v>486</v>
      </c>
      <c r="N88" t="s">
        <v>487</v>
      </c>
      <c r="O88" t="s">
        <v>488</v>
      </c>
      <c r="P88" t="s">
        <v>383</v>
      </c>
      <c r="Q88" t="s">
        <v>495</v>
      </c>
      <c r="R88" t="s">
        <v>496</v>
      </c>
      <c r="S88" t="s">
        <v>46</v>
      </c>
      <c r="T88" t="s">
        <v>46</v>
      </c>
      <c r="U88" s="4">
        <v>30.95</v>
      </c>
      <c r="V88" t="str">
        <f t="shared" si="1"/>
        <v>FF13</v>
      </c>
      <c r="W88" t="str">
        <f>VLOOKUP(K88,[1]Info!A$1:B$21,2,0)</f>
        <v>Feller</v>
      </c>
      <c r="X88" t="str">
        <f>IF(M88="109595132","Material de Limpeza-Não Avaliar",IF(AND(K88="F20",M88&lt;&gt;109595132),IF(RIGHT(F88,2)="70","Infraestrutura de Planta","Prédios e Instalações"),IF(K88="FPC",VLOOKUP(F88,[1]Info!$E$2:$F$11,2,0),IF(K88="FGP",VLOOKUP(F88,[1]Info!$E$9:$F$10,2,0),IF(K88="F10",VLOOKUP(F88,[1]Info!$E$2:$F$3,2,0),VLOOKUP(K88,[1]Info!$A$1:$B$21,2,0))))))</f>
        <v>Feller</v>
      </c>
    </row>
    <row r="89" spans="1:24" x14ac:dyDescent="0.35">
      <c r="A89" t="s">
        <v>41</v>
      </c>
      <c r="B89" t="s">
        <v>54</v>
      </c>
      <c r="C89" t="s">
        <v>55</v>
      </c>
      <c r="D89" t="s">
        <v>93</v>
      </c>
      <c r="E89" t="s">
        <v>56</v>
      </c>
      <c r="F89">
        <v>7098510</v>
      </c>
      <c r="G89" t="s">
        <v>61</v>
      </c>
      <c r="H89" t="s">
        <v>43</v>
      </c>
      <c r="I89" t="s">
        <v>44</v>
      </c>
      <c r="J89" t="s">
        <v>50</v>
      </c>
      <c r="K89" t="s">
        <v>11</v>
      </c>
      <c r="L89" t="s">
        <v>51</v>
      </c>
      <c r="M89" t="s">
        <v>486</v>
      </c>
      <c r="N89" t="s">
        <v>487</v>
      </c>
      <c r="O89" t="s">
        <v>488</v>
      </c>
      <c r="P89" t="s">
        <v>383</v>
      </c>
      <c r="Q89" t="s">
        <v>497</v>
      </c>
      <c r="R89" t="s">
        <v>498</v>
      </c>
      <c r="S89" t="s">
        <v>46</v>
      </c>
      <c r="T89" t="s">
        <v>46</v>
      </c>
      <c r="U89" s="4">
        <v>14338.33</v>
      </c>
      <c r="V89" t="str">
        <f t="shared" si="1"/>
        <v>FF13</v>
      </c>
      <c r="W89" t="str">
        <f>VLOOKUP(K89,[1]Info!A$1:B$21,2,0)</f>
        <v>Feller</v>
      </c>
      <c r="X89" t="str">
        <f>IF(M89="109595132","Material de Limpeza-Não Avaliar",IF(AND(K89="F20",M89&lt;&gt;109595132),IF(RIGHT(F89,2)="70","Infraestrutura de Planta","Prédios e Instalações"),IF(K89="FPC",VLOOKUP(F89,[1]Info!$E$2:$F$11,2,0),IF(K89="FGP",VLOOKUP(F89,[1]Info!$E$9:$F$10,2,0),IF(K89="F10",VLOOKUP(F89,[1]Info!$E$2:$F$3,2,0),VLOOKUP(K89,[1]Info!$A$1:$B$21,2,0))))))</f>
        <v>Feller</v>
      </c>
    </row>
    <row r="90" spans="1:24" x14ac:dyDescent="0.35">
      <c r="A90" t="s">
        <v>41</v>
      </c>
      <c r="B90" t="s">
        <v>54</v>
      </c>
      <c r="C90" t="s">
        <v>55</v>
      </c>
      <c r="D90" t="s">
        <v>93</v>
      </c>
      <c r="E90" t="s">
        <v>56</v>
      </c>
      <c r="F90">
        <v>7098510</v>
      </c>
      <c r="G90" t="s">
        <v>61</v>
      </c>
      <c r="H90" t="s">
        <v>43</v>
      </c>
      <c r="I90" t="s">
        <v>44</v>
      </c>
      <c r="J90" t="s">
        <v>50</v>
      </c>
      <c r="K90" t="s">
        <v>11</v>
      </c>
      <c r="L90" t="s">
        <v>51</v>
      </c>
      <c r="M90" t="s">
        <v>486</v>
      </c>
      <c r="N90" t="s">
        <v>487</v>
      </c>
      <c r="O90" t="s">
        <v>488</v>
      </c>
      <c r="P90" t="s">
        <v>383</v>
      </c>
      <c r="Q90" t="s">
        <v>499</v>
      </c>
      <c r="R90" t="s">
        <v>500</v>
      </c>
      <c r="S90" t="s">
        <v>46</v>
      </c>
      <c r="T90" t="s">
        <v>46</v>
      </c>
      <c r="U90" s="4">
        <v>60.91</v>
      </c>
      <c r="V90" t="str">
        <f t="shared" si="1"/>
        <v>FF13</v>
      </c>
      <c r="W90" t="str">
        <f>VLOOKUP(K90,[1]Info!A$1:B$21,2,0)</f>
        <v>Feller</v>
      </c>
      <c r="X90" t="str">
        <f>IF(M90="109595132","Material de Limpeza-Não Avaliar",IF(AND(K90="F20",M90&lt;&gt;109595132),IF(RIGHT(F90,2)="70","Infraestrutura de Planta","Prédios e Instalações"),IF(K90="FPC",VLOOKUP(F90,[1]Info!$E$2:$F$11,2,0),IF(K90="FGP",VLOOKUP(F90,[1]Info!$E$9:$F$10,2,0),IF(K90="F10",VLOOKUP(F90,[1]Info!$E$2:$F$3,2,0),VLOOKUP(K90,[1]Info!$A$1:$B$21,2,0))))))</f>
        <v>Feller</v>
      </c>
    </row>
    <row r="91" spans="1:24" x14ac:dyDescent="0.35">
      <c r="A91" t="s">
        <v>41</v>
      </c>
      <c r="B91" t="s">
        <v>54</v>
      </c>
      <c r="C91" t="s">
        <v>55</v>
      </c>
      <c r="D91" t="s">
        <v>93</v>
      </c>
      <c r="E91" t="s">
        <v>56</v>
      </c>
      <c r="F91">
        <v>7098510</v>
      </c>
      <c r="G91" t="s">
        <v>61</v>
      </c>
      <c r="H91" t="s">
        <v>43</v>
      </c>
      <c r="I91" t="s">
        <v>44</v>
      </c>
      <c r="J91" t="s">
        <v>50</v>
      </c>
      <c r="K91" t="s">
        <v>11</v>
      </c>
      <c r="L91" t="s">
        <v>51</v>
      </c>
      <c r="M91" t="s">
        <v>486</v>
      </c>
      <c r="N91" t="s">
        <v>487</v>
      </c>
      <c r="O91" t="s">
        <v>488</v>
      </c>
      <c r="P91" t="s">
        <v>383</v>
      </c>
      <c r="Q91" t="s">
        <v>501</v>
      </c>
      <c r="R91" t="s">
        <v>502</v>
      </c>
      <c r="S91" t="s">
        <v>46</v>
      </c>
      <c r="T91" t="s">
        <v>46</v>
      </c>
      <c r="U91" s="4">
        <v>92.13</v>
      </c>
      <c r="V91" t="str">
        <f t="shared" si="1"/>
        <v>FF13</v>
      </c>
      <c r="W91" t="str">
        <f>VLOOKUP(K91,[1]Info!A$1:B$21,2,0)</f>
        <v>Feller</v>
      </c>
      <c r="X91" t="str">
        <f>IF(M91="109595132","Material de Limpeza-Não Avaliar",IF(AND(K91="F20",M91&lt;&gt;109595132),IF(RIGHT(F91,2)="70","Infraestrutura de Planta","Prédios e Instalações"),IF(K91="FPC",VLOOKUP(F91,[1]Info!$E$2:$F$11,2,0),IF(K91="FGP",VLOOKUP(F91,[1]Info!$E$9:$F$10,2,0),IF(K91="F10",VLOOKUP(F91,[1]Info!$E$2:$F$3,2,0),VLOOKUP(K91,[1]Info!$A$1:$B$21,2,0))))))</f>
        <v>Feller</v>
      </c>
    </row>
    <row r="92" spans="1:24" x14ac:dyDescent="0.35">
      <c r="A92" t="s">
        <v>41</v>
      </c>
      <c r="B92" t="s">
        <v>54</v>
      </c>
      <c r="C92" t="s">
        <v>55</v>
      </c>
      <c r="D92" t="s">
        <v>93</v>
      </c>
      <c r="E92" t="s">
        <v>56</v>
      </c>
      <c r="F92">
        <v>7098510</v>
      </c>
      <c r="G92" t="s">
        <v>61</v>
      </c>
      <c r="H92" t="s">
        <v>43</v>
      </c>
      <c r="I92" t="s">
        <v>44</v>
      </c>
      <c r="J92" t="s">
        <v>50</v>
      </c>
      <c r="K92" t="s">
        <v>11</v>
      </c>
      <c r="L92" t="s">
        <v>51</v>
      </c>
      <c r="M92" t="s">
        <v>486</v>
      </c>
      <c r="N92" t="s">
        <v>487</v>
      </c>
      <c r="O92" t="s">
        <v>488</v>
      </c>
      <c r="P92" t="s">
        <v>383</v>
      </c>
      <c r="Q92" t="s">
        <v>503</v>
      </c>
      <c r="R92" t="s">
        <v>504</v>
      </c>
      <c r="S92" t="s">
        <v>46</v>
      </c>
      <c r="T92" t="s">
        <v>46</v>
      </c>
      <c r="U92" s="4">
        <v>127774.09</v>
      </c>
      <c r="V92" t="str">
        <f t="shared" si="1"/>
        <v>FF13</v>
      </c>
      <c r="W92" t="str">
        <f>VLOOKUP(K92,[1]Info!A$1:B$21,2,0)</f>
        <v>Feller</v>
      </c>
      <c r="X92" t="str">
        <f>IF(M92="109595132","Material de Limpeza-Não Avaliar",IF(AND(K92="F20",M92&lt;&gt;109595132),IF(RIGHT(F92,2)="70","Infraestrutura de Planta","Prédios e Instalações"),IF(K92="FPC",VLOOKUP(F92,[1]Info!$E$2:$F$11,2,0),IF(K92="FGP",VLOOKUP(F92,[1]Info!$E$9:$F$10,2,0),IF(K92="F10",VLOOKUP(F92,[1]Info!$E$2:$F$3,2,0),VLOOKUP(K92,[1]Info!$A$1:$B$21,2,0))))))</f>
        <v>Feller</v>
      </c>
    </row>
    <row r="93" spans="1:24" x14ac:dyDescent="0.35">
      <c r="A93" t="s">
        <v>41</v>
      </c>
      <c r="B93" t="s">
        <v>54</v>
      </c>
      <c r="C93" t="s">
        <v>55</v>
      </c>
      <c r="D93" t="s">
        <v>93</v>
      </c>
      <c r="E93" t="s">
        <v>56</v>
      </c>
      <c r="F93">
        <v>7098510</v>
      </c>
      <c r="G93" t="s">
        <v>61</v>
      </c>
      <c r="H93" t="s">
        <v>43</v>
      </c>
      <c r="I93" t="s">
        <v>44</v>
      </c>
      <c r="J93" t="s">
        <v>50</v>
      </c>
      <c r="K93" t="s">
        <v>11</v>
      </c>
      <c r="L93" t="s">
        <v>51</v>
      </c>
      <c r="M93" t="s">
        <v>486</v>
      </c>
      <c r="N93" t="s">
        <v>487</v>
      </c>
      <c r="O93" t="s">
        <v>488</v>
      </c>
      <c r="P93" t="s">
        <v>383</v>
      </c>
      <c r="Q93" t="s">
        <v>505</v>
      </c>
      <c r="R93" t="s">
        <v>506</v>
      </c>
      <c r="S93" t="s">
        <v>46</v>
      </c>
      <c r="T93" t="s">
        <v>46</v>
      </c>
      <c r="U93" s="4">
        <v>37290.410000000003</v>
      </c>
      <c r="V93" t="str">
        <f t="shared" si="1"/>
        <v>FF13</v>
      </c>
      <c r="W93" t="str">
        <f>VLOOKUP(K93,[1]Info!A$1:B$21,2,0)</f>
        <v>Feller</v>
      </c>
      <c r="X93" t="str">
        <f>IF(M93="109595132","Material de Limpeza-Não Avaliar",IF(AND(K93="F20",M93&lt;&gt;109595132),IF(RIGHT(F93,2)="70","Infraestrutura de Planta","Prédios e Instalações"),IF(K93="FPC",VLOOKUP(F93,[1]Info!$E$2:$F$11,2,0),IF(K93="FGP",VLOOKUP(F93,[1]Info!$E$9:$F$10,2,0),IF(K93="F10",VLOOKUP(F93,[1]Info!$E$2:$F$3,2,0),VLOOKUP(K93,[1]Info!$A$1:$B$21,2,0))))))</f>
        <v>Feller</v>
      </c>
    </row>
    <row r="94" spans="1:24" x14ac:dyDescent="0.35">
      <c r="A94" t="s">
        <v>41</v>
      </c>
      <c r="B94" t="s">
        <v>54</v>
      </c>
      <c r="C94" t="s">
        <v>55</v>
      </c>
      <c r="D94" t="s">
        <v>93</v>
      </c>
      <c r="E94" t="s">
        <v>56</v>
      </c>
      <c r="F94">
        <v>7098510</v>
      </c>
      <c r="G94" t="s">
        <v>61</v>
      </c>
      <c r="H94" t="s">
        <v>43</v>
      </c>
      <c r="I94" t="s">
        <v>44</v>
      </c>
      <c r="J94" t="s">
        <v>50</v>
      </c>
      <c r="K94" t="s">
        <v>11</v>
      </c>
      <c r="L94" t="s">
        <v>51</v>
      </c>
      <c r="M94" t="s">
        <v>507</v>
      </c>
      <c r="N94" t="s">
        <v>508</v>
      </c>
      <c r="O94" t="s">
        <v>140</v>
      </c>
      <c r="P94" t="s">
        <v>383</v>
      </c>
      <c r="Q94" t="s">
        <v>509</v>
      </c>
      <c r="R94" t="s">
        <v>510</v>
      </c>
      <c r="S94" t="s">
        <v>46</v>
      </c>
      <c r="T94" t="s">
        <v>46</v>
      </c>
      <c r="U94" s="4">
        <v>810.8</v>
      </c>
      <c r="V94" t="str">
        <f t="shared" si="1"/>
        <v>FF14</v>
      </c>
      <c r="W94" t="str">
        <f>VLOOKUP(K94,[1]Info!A$1:B$21,2,0)</f>
        <v>Feller</v>
      </c>
      <c r="X94" t="str">
        <f>IF(M94="109595132","Material de Limpeza-Não Avaliar",IF(AND(K94="F20",M94&lt;&gt;109595132),IF(RIGHT(F94,2)="70","Infraestrutura de Planta","Prédios e Instalações"),IF(K94="FPC",VLOOKUP(F94,[1]Info!$E$2:$F$11,2,0),IF(K94="FGP",VLOOKUP(F94,[1]Info!$E$9:$F$10,2,0),IF(K94="F10",VLOOKUP(F94,[1]Info!$E$2:$F$3,2,0),VLOOKUP(K94,[1]Info!$A$1:$B$21,2,0))))))</f>
        <v>Feller</v>
      </c>
    </row>
    <row r="95" spans="1:24" x14ac:dyDescent="0.35">
      <c r="A95" t="s">
        <v>41</v>
      </c>
      <c r="B95" t="s">
        <v>54</v>
      </c>
      <c r="C95" t="s">
        <v>55</v>
      </c>
      <c r="D95" t="s">
        <v>93</v>
      </c>
      <c r="E95" t="s">
        <v>56</v>
      </c>
      <c r="F95">
        <v>7098510</v>
      </c>
      <c r="G95" t="s">
        <v>61</v>
      </c>
      <c r="H95" t="s">
        <v>43</v>
      </c>
      <c r="I95" t="s">
        <v>44</v>
      </c>
      <c r="J95" t="s">
        <v>50</v>
      </c>
      <c r="K95" t="s">
        <v>11</v>
      </c>
      <c r="L95" t="s">
        <v>51</v>
      </c>
      <c r="M95" t="s">
        <v>511</v>
      </c>
      <c r="N95" t="s">
        <v>512</v>
      </c>
      <c r="O95" t="s">
        <v>140</v>
      </c>
      <c r="P95" t="s">
        <v>383</v>
      </c>
      <c r="Q95" t="s">
        <v>513</v>
      </c>
      <c r="R95" t="s">
        <v>514</v>
      </c>
      <c r="S95" t="s">
        <v>46</v>
      </c>
      <c r="T95" t="s">
        <v>46</v>
      </c>
      <c r="U95" s="4">
        <v>2675.23</v>
      </c>
      <c r="V95" t="str">
        <f t="shared" si="1"/>
        <v>FF14</v>
      </c>
      <c r="W95" t="str">
        <f>VLOOKUP(K95,[1]Info!A$1:B$21,2,0)</f>
        <v>Feller</v>
      </c>
      <c r="X95" t="str">
        <f>IF(M95="109595132","Material de Limpeza-Não Avaliar",IF(AND(K95="F20",M95&lt;&gt;109595132),IF(RIGHT(F95,2)="70","Infraestrutura de Planta","Prédios e Instalações"),IF(K95="FPC",VLOOKUP(F95,[1]Info!$E$2:$F$11,2,0),IF(K95="FGP",VLOOKUP(F95,[1]Info!$E$9:$F$10,2,0),IF(K95="F10",VLOOKUP(F95,[1]Info!$E$2:$F$3,2,0),VLOOKUP(K95,[1]Info!$A$1:$B$21,2,0))))))</f>
        <v>Feller</v>
      </c>
    </row>
    <row r="96" spans="1:24" x14ac:dyDescent="0.35">
      <c r="A96" t="s">
        <v>41</v>
      </c>
      <c r="B96" t="s">
        <v>54</v>
      </c>
      <c r="C96" t="s">
        <v>55</v>
      </c>
      <c r="D96" t="s">
        <v>93</v>
      </c>
      <c r="E96" t="s">
        <v>56</v>
      </c>
      <c r="F96">
        <v>7098510</v>
      </c>
      <c r="G96" t="s">
        <v>61</v>
      </c>
      <c r="H96" t="s">
        <v>43</v>
      </c>
      <c r="I96" t="s">
        <v>44</v>
      </c>
      <c r="J96" t="s">
        <v>50</v>
      </c>
      <c r="K96" t="s">
        <v>11</v>
      </c>
      <c r="L96" t="s">
        <v>51</v>
      </c>
      <c r="M96" t="s">
        <v>261</v>
      </c>
      <c r="N96" t="s">
        <v>262</v>
      </c>
      <c r="O96" t="s">
        <v>149</v>
      </c>
      <c r="P96" t="s">
        <v>383</v>
      </c>
      <c r="Q96" t="s">
        <v>515</v>
      </c>
      <c r="R96" t="s">
        <v>516</v>
      </c>
      <c r="S96" t="s">
        <v>46</v>
      </c>
      <c r="T96" t="s">
        <v>46</v>
      </c>
      <c r="U96" s="4">
        <v>11373.82</v>
      </c>
      <c r="V96" t="str">
        <f t="shared" si="1"/>
        <v>FF12</v>
      </c>
      <c r="W96" t="str">
        <f>VLOOKUP(K96,[1]Info!A$1:B$21,2,0)</f>
        <v>Feller</v>
      </c>
      <c r="X96" t="str">
        <f>IF(M96="109595132","Material de Limpeza-Não Avaliar",IF(AND(K96="F20",M96&lt;&gt;109595132),IF(RIGHT(F96,2)="70","Infraestrutura de Planta","Prédios e Instalações"),IF(K96="FPC",VLOOKUP(F96,[1]Info!$E$2:$F$11,2,0),IF(K96="FGP",VLOOKUP(F96,[1]Info!$E$9:$F$10,2,0),IF(K96="F10",VLOOKUP(F96,[1]Info!$E$2:$F$3,2,0),VLOOKUP(K96,[1]Info!$A$1:$B$21,2,0))))))</f>
        <v>Feller</v>
      </c>
    </row>
    <row r="97" spans="1:24" x14ac:dyDescent="0.35">
      <c r="A97" t="s">
        <v>41</v>
      </c>
      <c r="B97" t="s">
        <v>54</v>
      </c>
      <c r="C97" t="s">
        <v>55</v>
      </c>
      <c r="D97" t="s">
        <v>93</v>
      </c>
      <c r="E97" t="s">
        <v>56</v>
      </c>
      <c r="F97">
        <v>7098510</v>
      </c>
      <c r="G97" t="s">
        <v>61</v>
      </c>
      <c r="H97" t="s">
        <v>43</v>
      </c>
      <c r="I97" t="s">
        <v>44</v>
      </c>
      <c r="J97" t="s">
        <v>50</v>
      </c>
      <c r="K97" t="s">
        <v>11</v>
      </c>
      <c r="L97" t="s">
        <v>51</v>
      </c>
      <c r="M97" t="s">
        <v>517</v>
      </c>
      <c r="N97" t="s">
        <v>518</v>
      </c>
      <c r="O97" t="s">
        <v>63</v>
      </c>
      <c r="P97" t="s">
        <v>383</v>
      </c>
      <c r="Q97" t="s">
        <v>509</v>
      </c>
      <c r="R97" t="s">
        <v>510</v>
      </c>
      <c r="S97" t="s">
        <v>46</v>
      </c>
      <c r="T97" t="s">
        <v>46</v>
      </c>
      <c r="U97" s="4">
        <v>810.8</v>
      </c>
      <c r="V97" t="str">
        <f t="shared" si="1"/>
        <v>FF15</v>
      </c>
      <c r="W97" t="str">
        <f>VLOOKUP(K97,[1]Info!A$1:B$21,2,0)</f>
        <v>Feller</v>
      </c>
      <c r="X97" t="str">
        <f>IF(M97="109595132","Material de Limpeza-Não Avaliar",IF(AND(K97="F20",M97&lt;&gt;109595132),IF(RIGHT(F97,2)="70","Infraestrutura de Planta","Prédios e Instalações"),IF(K97="FPC",VLOOKUP(F97,[1]Info!$E$2:$F$11,2,0),IF(K97="FGP",VLOOKUP(F97,[1]Info!$E$9:$F$10,2,0),IF(K97="F10",VLOOKUP(F97,[1]Info!$E$2:$F$3,2,0),VLOOKUP(K97,[1]Info!$A$1:$B$21,2,0))))))</f>
        <v>Feller</v>
      </c>
    </row>
    <row r="98" spans="1:24" x14ac:dyDescent="0.35">
      <c r="A98" t="s">
        <v>41</v>
      </c>
      <c r="B98" t="s">
        <v>54</v>
      </c>
      <c r="C98" t="s">
        <v>55</v>
      </c>
      <c r="D98" t="s">
        <v>93</v>
      </c>
      <c r="E98" t="s">
        <v>56</v>
      </c>
      <c r="F98">
        <v>7098510</v>
      </c>
      <c r="G98" t="s">
        <v>61</v>
      </c>
      <c r="H98" t="s">
        <v>43</v>
      </c>
      <c r="I98" t="s">
        <v>44</v>
      </c>
      <c r="J98" t="s">
        <v>50</v>
      </c>
      <c r="K98" t="s">
        <v>11</v>
      </c>
      <c r="L98" t="s">
        <v>51</v>
      </c>
      <c r="M98" t="s">
        <v>519</v>
      </c>
      <c r="N98" t="s">
        <v>518</v>
      </c>
      <c r="O98" t="s">
        <v>149</v>
      </c>
      <c r="P98" t="s">
        <v>383</v>
      </c>
      <c r="Q98" t="s">
        <v>509</v>
      </c>
      <c r="R98" t="s">
        <v>510</v>
      </c>
      <c r="S98" t="s">
        <v>46</v>
      </c>
      <c r="T98" t="s">
        <v>46</v>
      </c>
      <c r="U98" s="4">
        <v>810.8</v>
      </c>
      <c r="V98" t="str">
        <f t="shared" si="1"/>
        <v>FF12</v>
      </c>
      <c r="W98" t="str">
        <f>VLOOKUP(K98,[1]Info!A$1:B$21,2,0)</f>
        <v>Feller</v>
      </c>
      <c r="X98" t="str">
        <f>IF(M98="109595132","Material de Limpeza-Não Avaliar",IF(AND(K98="F20",M98&lt;&gt;109595132),IF(RIGHT(F98,2)="70","Infraestrutura de Planta","Prédios e Instalações"),IF(K98="FPC",VLOOKUP(F98,[1]Info!$E$2:$F$11,2,0),IF(K98="FGP",VLOOKUP(F98,[1]Info!$E$9:$F$10,2,0),IF(K98="F10",VLOOKUP(F98,[1]Info!$E$2:$F$3,2,0),VLOOKUP(K98,[1]Info!$A$1:$B$21,2,0))))))</f>
        <v>Feller</v>
      </c>
    </row>
    <row r="99" spans="1:24" x14ac:dyDescent="0.35">
      <c r="A99" t="s">
        <v>41</v>
      </c>
      <c r="B99" t="s">
        <v>54</v>
      </c>
      <c r="C99" t="s">
        <v>55</v>
      </c>
      <c r="D99" t="s">
        <v>93</v>
      </c>
      <c r="E99" t="s">
        <v>56</v>
      </c>
      <c r="F99">
        <v>7098510</v>
      </c>
      <c r="G99" t="s">
        <v>61</v>
      </c>
      <c r="H99" t="s">
        <v>43</v>
      </c>
      <c r="I99" t="s">
        <v>44</v>
      </c>
      <c r="J99" t="s">
        <v>50</v>
      </c>
      <c r="K99" t="s">
        <v>11</v>
      </c>
      <c r="L99" t="s">
        <v>51</v>
      </c>
      <c r="M99" t="s">
        <v>520</v>
      </c>
      <c r="N99" t="s">
        <v>521</v>
      </c>
      <c r="O99" t="s">
        <v>488</v>
      </c>
      <c r="P99" t="s">
        <v>383</v>
      </c>
      <c r="Q99" t="s">
        <v>522</v>
      </c>
      <c r="R99" t="s">
        <v>523</v>
      </c>
      <c r="S99" t="s">
        <v>46</v>
      </c>
      <c r="T99" t="s">
        <v>46</v>
      </c>
      <c r="U99" s="4">
        <v>9754.14</v>
      </c>
      <c r="V99" t="str">
        <f t="shared" si="1"/>
        <v>FF13</v>
      </c>
      <c r="W99" t="str">
        <f>VLOOKUP(K99,[1]Info!A$1:B$21,2,0)</f>
        <v>Feller</v>
      </c>
      <c r="X99" t="str">
        <f>IF(M99="109595132","Material de Limpeza-Não Avaliar",IF(AND(K99="F20",M99&lt;&gt;109595132),IF(RIGHT(F99,2)="70","Infraestrutura de Planta","Prédios e Instalações"),IF(K99="FPC",VLOOKUP(F99,[1]Info!$E$2:$F$11,2,0),IF(K99="FGP",VLOOKUP(F99,[1]Info!$E$9:$F$10,2,0),IF(K99="F10",VLOOKUP(F99,[1]Info!$E$2:$F$3,2,0),VLOOKUP(K99,[1]Info!$A$1:$B$21,2,0))))))</f>
        <v>Feller</v>
      </c>
    </row>
    <row r="100" spans="1:24" x14ac:dyDescent="0.35">
      <c r="A100" t="s">
        <v>41</v>
      </c>
      <c r="B100" t="s">
        <v>54</v>
      </c>
      <c r="C100" t="s">
        <v>55</v>
      </c>
      <c r="D100" t="s">
        <v>93</v>
      </c>
      <c r="E100" t="s">
        <v>56</v>
      </c>
      <c r="F100">
        <v>7098510</v>
      </c>
      <c r="G100" t="s">
        <v>61</v>
      </c>
      <c r="H100" t="s">
        <v>43</v>
      </c>
      <c r="I100" t="s">
        <v>44</v>
      </c>
      <c r="J100" t="s">
        <v>50</v>
      </c>
      <c r="K100" t="s">
        <v>11</v>
      </c>
      <c r="L100" t="s">
        <v>51</v>
      </c>
      <c r="M100" t="s">
        <v>524</v>
      </c>
      <c r="N100" t="s">
        <v>525</v>
      </c>
      <c r="O100" t="s">
        <v>526</v>
      </c>
      <c r="P100" t="s">
        <v>383</v>
      </c>
      <c r="Q100" t="s">
        <v>527</v>
      </c>
      <c r="R100" t="s">
        <v>528</v>
      </c>
      <c r="S100" t="s">
        <v>46</v>
      </c>
      <c r="T100" t="s">
        <v>46</v>
      </c>
      <c r="U100" s="4">
        <v>1873.84</v>
      </c>
      <c r="V100" t="str">
        <f t="shared" si="1"/>
        <v>0080</v>
      </c>
      <c r="W100" t="str">
        <f>VLOOKUP(K100,[1]Info!A$1:B$21,2,0)</f>
        <v>Feller</v>
      </c>
      <c r="X100" t="str">
        <f>IF(M100="109595132","Material de Limpeza-Não Avaliar",IF(AND(K100="F20",M100&lt;&gt;109595132),IF(RIGHT(F100,2)="70","Infraestrutura de Planta","Prédios e Instalações"),IF(K100="FPC",VLOOKUP(F100,[1]Info!$E$2:$F$11,2,0),IF(K100="FGP",VLOOKUP(F100,[1]Info!$E$9:$F$10,2,0),IF(K100="F10",VLOOKUP(F100,[1]Info!$E$2:$F$3,2,0),VLOOKUP(K100,[1]Info!$A$1:$B$21,2,0))))))</f>
        <v>Feller</v>
      </c>
    </row>
    <row r="101" spans="1:24" x14ac:dyDescent="0.35">
      <c r="A101" t="s">
        <v>41</v>
      </c>
      <c r="B101" t="s">
        <v>54</v>
      </c>
      <c r="C101" t="s">
        <v>55</v>
      </c>
      <c r="D101" t="s">
        <v>93</v>
      </c>
      <c r="E101" t="s">
        <v>56</v>
      </c>
      <c r="F101">
        <v>7098510</v>
      </c>
      <c r="G101" t="s">
        <v>61</v>
      </c>
      <c r="H101" t="s">
        <v>43</v>
      </c>
      <c r="I101" t="s">
        <v>44</v>
      </c>
      <c r="J101" t="s">
        <v>50</v>
      </c>
      <c r="K101" t="s">
        <v>11</v>
      </c>
      <c r="L101" t="s">
        <v>51</v>
      </c>
      <c r="M101" t="s">
        <v>524</v>
      </c>
      <c r="N101" t="s">
        <v>525</v>
      </c>
      <c r="O101" t="s">
        <v>526</v>
      </c>
      <c r="P101" t="s">
        <v>383</v>
      </c>
      <c r="Q101" t="s">
        <v>529</v>
      </c>
      <c r="R101" t="s">
        <v>530</v>
      </c>
      <c r="S101" t="s">
        <v>46</v>
      </c>
      <c r="T101" t="s">
        <v>46</v>
      </c>
      <c r="U101" s="4">
        <v>5268.93</v>
      </c>
      <c r="V101" t="str">
        <f t="shared" si="1"/>
        <v>0080</v>
      </c>
      <c r="W101" t="str">
        <f>VLOOKUP(K101,[1]Info!A$1:B$21,2,0)</f>
        <v>Feller</v>
      </c>
      <c r="X101" t="str">
        <f>IF(M101="109595132","Material de Limpeza-Não Avaliar",IF(AND(K101="F20",M101&lt;&gt;109595132),IF(RIGHT(F101,2)="70","Infraestrutura de Planta","Prédios e Instalações"),IF(K101="FPC",VLOOKUP(F101,[1]Info!$E$2:$F$11,2,0),IF(K101="FGP",VLOOKUP(F101,[1]Info!$E$9:$F$10,2,0),IF(K101="F10",VLOOKUP(F101,[1]Info!$E$2:$F$3,2,0),VLOOKUP(K101,[1]Info!$A$1:$B$21,2,0))))))</f>
        <v>Feller</v>
      </c>
    </row>
    <row r="102" spans="1:24" x14ac:dyDescent="0.35">
      <c r="A102" t="s">
        <v>41</v>
      </c>
      <c r="B102" t="s">
        <v>54</v>
      </c>
      <c r="C102" t="s">
        <v>55</v>
      </c>
      <c r="D102" t="s">
        <v>93</v>
      </c>
      <c r="E102" t="s">
        <v>56</v>
      </c>
      <c r="F102">
        <v>7098510</v>
      </c>
      <c r="G102" t="s">
        <v>61</v>
      </c>
      <c r="H102" t="s">
        <v>43</v>
      </c>
      <c r="I102" t="s">
        <v>44</v>
      </c>
      <c r="J102" t="s">
        <v>50</v>
      </c>
      <c r="K102" t="s">
        <v>11</v>
      </c>
      <c r="L102" t="s">
        <v>51</v>
      </c>
      <c r="M102" t="s">
        <v>319</v>
      </c>
      <c r="N102" t="s">
        <v>320</v>
      </c>
      <c r="O102" t="s">
        <v>63</v>
      </c>
      <c r="P102" t="s">
        <v>383</v>
      </c>
      <c r="Q102" t="s">
        <v>531</v>
      </c>
      <c r="R102" t="s">
        <v>532</v>
      </c>
      <c r="S102" t="s">
        <v>46</v>
      </c>
      <c r="T102" t="s">
        <v>46</v>
      </c>
      <c r="U102" s="4">
        <v>17718.62</v>
      </c>
      <c r="V102" t="str">
        <f t="shared" si="1"/>
        <v>FF15</v>
      </c>
      <c r="W102" t="str">
        <f>VLOOKUP(K102,[1]Info!A$1:B$21,2,0)</f>
        <v>Feller</v>
      </c>
      <c r="X102" t="str">
        <f>IF(M102="109595132","Material de Limpeza-Não Avaliar",IF(AND(K102="F20",M102&lt;&gt;109595132),IF(RIGHT(F102,2)="70","Infraestrutura de Planta","Prédios e Instalações"),IF(K102="FPC",VLOOKUP(F102,[1]Info!$E$2:$F$11,2,0),IF(K102="FGP",VLOOKUP(F102,[1]Info!$E$9:$F$10,2,0),IF(K102="F10",VLOOKUP(F102,[1]Info!$E$2:$F$3,2,0),VLOOKUP(K102,[1]Info!$A$1:$B$21,2,0))))))</f>
        <v>Feller</v>
      </c>
    </row>
    <row r="103" spans="1:24" x14ac:dyDescent="0.35">
      <c r="A103" t="s">
        <v>41</v>
      </c>
      <c r="B103" t="s">
        <v>54</v>
      </c>
      <c r="C103" t="s">
        <v>55</v>
      </c>
      <c r="D103" t="s">
        <v>91</v>
      </c>
      <c r="E103" t="s">
        <v>42</v>
      </c>
      <c r="F103">
        <v>7098530</v>
      </c>
      <c r="G103" t="s">
        <v>57</v>
      </c>
      <c r="H103" t="s">
        <v>43</v>
      </c>
      <c r="I103" t="s">
        <v>44</v>
      </c>
      <c r="J103" t="s">
        <v>50</v>
      </c>
      <c r="K103" t="s">
        <v>15</v>
      </c>
      <c r="L103" t="s">
        <v>62</v>
      </c>
      <c r="M103" t="s">
        <v>193</v>
      </c>
      <c r="N103" t="s">
        <v>194</v>
      </c>
      <c r="O103" t="s">
        <v>165</v>
      </c>
      <c r="P103" t="s">
        <v>383</v>
      </c>
      <c r="Q103" t="s">
        <v>533</v>
      </c>
      <c r="R103" t="s">
        <v>534</v>
      </c>
      <c r="S103" t="s">
        <v>46</v>
      </c>
      <c r="T103" t="s">
        <v>46</v>
      </c>
      <c r="U103" s="4">
        <v>42.68</v>
      </c>
      <c r="V103" t="str">
        <f t="shared" si="1"/>
        <v>SK15</v>
      </c>
      <c r="W103" t="str">
        <f>VLOOKUP(K103,[1]Info!A$1:B$21,2,0)</f>
        <v>Skidder</v>
      </c>
      <c r="X103" t="str">
        <f>IF(M103="109595132","Material de Limpeza-Não Avaliar",IF(AND(K103="F20",M103&lt;&gt;109595132),IF(RIGHT(F103,2)="70","Infraestrutura de Planta","Prédios e Instalações"),IF(K103="FPC",VLOOKUP(F103,[1]Info!$E$2:$F$11,2,0),IF(K103="FGP",VLOOKUP(F103,[1]Info!$E$9:$F$10,2,0),IF(K103="F10",VLOOKUP(F103,[1]Info!$E$2:$F$3,2,0),VLOOKUP(K103,[1]Info!$A$1:$B$21,2,0))))))</f>
        <v>Skidder</v>
      </c>
    </row>
    <row r="104" spans="1:24" x14ac:dyDescent="0.35">
      <c r="A104" t="s">
        <v>41</v>
      </c>
      <c r="B104" t="s">
        <v>54</v>
      </c>
      <c r="C104" t="s">
        <v>55</v>
      </c>
      <c r="D104" t="s">
        <v>91</v>
      </c>
      <c r="E104" t="s">
        <v>42</v>
      </c>
      <c r="F104">
        <v>7098530</v>
      </c>
      <c r="G104" t="s">
        <v>57</v>
      </c>
      <c r="H104" t="s">
        <v>43</v>
      </c>
      <c r="I104" t="s">
        <v>44</v>
      </c>
      <c r="J104" t="s">
        <v>50</v>
      </c>
      <c r="K104" t="s">
        <v>15</v>
      </c>
      <c r="L104" t="s">
        <v>62</v>
      </c>
      <c r="M104" t="s">
        <v>195</v>
      </c>
      <c r="N104" t="s">
        <v>196</v>
      </c>
      <c r="O104" t="s">
        <v>141</v>
      </c>
      <c r="P104" t="s">
        <v>383</v>
      </c>
      <c r="Q104" t="s">
        <v>533</v>
      </c>
      <c r="R104" t="s">
        <v>534</v>
      </c>
      <c r="S104" t="s">
        <v>46</v>
      </c>
      <c r="T104" t="s">
        <v>46</v>
      </c>
      <c r="U104" s="4">
        <v>42.68</v>
      </c>
      <c r="V104" t="str">
        <f t="shared" si="1"/>
        <v>SK16</v>
      </c>
      <c r="W104" t="str">
        <f>VLOOKUP(K104,[1]Info!A$1:B$21,2,0)</f>
        <v>Skidder</v>
      </c>
      <c r="X104" t="str">
        <f>IF(M104="109595132","Material de Limpeza-Não Avaliar",IF(AND(K104="F20",M104&lt;&gt;109595132),IF(RIGHT(F104,2)="70","Infraestrutura de Planta","Prédios e Instalações"),IF(K104="FPC",VLOOKUP(F104,[1]Info!$E$2:$F$11,2,0),IF(K104="FGP",VLOOKUP(F104,[1]Info!$E$9:$F$10,2,0),IF(K104="F10",VLOOKUP(F104,[1]Info!$E$2:$F$3,2,0),VLOOKUP(K104,[1]Info!$A$1:$B$21,2,0))))))</f>
        <v>Skidder</v>
      </c>
    </row>
    <row r="105" spans="1:24" x14ac:dyDescent="0.35">
      <c r="A105" t="s">
        <v>41</v>
      </c>
      <c r="B105" t="s">
        <v>54</v>
      </c>
      <c r="C105" t="s">
        <v>55</v>
      </c>
      <c r="D105" t="s">
        <v>91</v>
      </c>
      <c r="E105" t="s">
        <v>42</v>
      </c>
      <c r="F105">
        <v>7098520</v>
      </c>
      <c r="G105" t="s">
        <v>58</v>
      </c>
      <c r="H105" t="s">
        <v>43</v>
      </c>
      <c r="I105" t="s">
        <v>44</v>
      </c>
      <c r="J105" t="s">
        <v>50</v>
      </c>
      <c r="K105" t="s">
        <v>4</v>
      </c>
      <c r="L105" t="s">
        <v>62</v>
      </c>
      <c r="M105" t="s">
        <v>535</v>
      </c>
      <c r="N105" t="s">
        <v>536</v>
      </c>
      <c r="O105" t="s">
        <v>85</v>
      </c>
      <c r="P105" t="s">
        <v>383</v>
      </c>
      <c r="Q105" t="s">
        <v>533</v>
      </c>
      <c r="R105" t="s">
        <v>534</v>
      </c>
      <c r="S105" t="s">
        <v>46</v>
      </c>
      <c r="T105" t="s">
        <v>46</v>
      </c>
      <c r="U105" s="4">
        <v>42.68</v>
      </c>
      <c r="V105" t="str">
        <f t="shared" si="1"/>
        <v>GT16</v>
      </c>
      <c r="W105" t="str">
        <f>VLOOKUP(K105,[1]Info!A$1:B$21,2,0)</f>
        <v>Garra Picadora</v>
      </c>
      <c r="X105" t="e">
        <f>IF(M105="109595132","Material de Limpeza-Não Avaliar",IF(AND(K105="F20",M105&lt;&gt;109595132),IF(RIGHT(F105,2)="70","Infraestrutura de Planta","Prédios e Instalações"),IF(K105="FPC",VLOOKUP(F105,[1]Info!$E$2:$F$11,2,0),IF(K105="FGP",VLOOKUP(F105,[1]Info!$E$9:$F$10,2,0),IF(K105="F10",VLOOKUP(F105,[1]Info!$E$2:$F$3,2,0),VLOOKUP(K105,[1]Info!$A$1:$B$21,2,0))))))</f>
        <v>#N/A</v>
      </c>
    </row>
    <row r="106" spans="1:24" x14ac:dyDescent="0.35">
      <c r="A106" t="s">
        <v>41</v>
      </c>
      <c r="B106" t="s">
        <v>54</v>
      </c>
      <c r="C106" t="s">
        <v>55</v>
      </c>
      <c r="D106" t="s">
        <v>91</v>
      </c>
      <c r="E106" t="s">
        <v>42</v>
      </c>
      <c r="F106">
        <v>7098510</v>
      </c>
      <c r="G106" t="s">
        <v>61</v>
      </c>
      <c r="H106" t="s">
        <v>43</v>
      </c>
      <c r="I106" t="s">
        <v>44</v>
      </c>
      <c r="J106" t="s">
        <v>50</v>
      </c>
      <c r="K106" t="s">
        <v>11</v>
      </c>
      <c r="L106" t="s">
        <v>62</v>
      </c>
      <c r="M106" t="s">
        <v>537</v>
      </c>
      <c r="N106" t="s">
        <v>538</v>
      </c>
      <c r="O106" t="s">
        <v>63</v>
      </c>
      <c r="P106" t="s">
        <v>383</v>
      </c>
      <c r="Q106" t="s">
        <v>533</v>
      </c>
      <c r="R106" t="s">
        <v>534</v>
      </c>
      <c r="S106" t="s">
        <v>46</v>
      </c>
      <c r="T106" t="s">
        <v>46</v>
      </c>
      <c r="U106" s="4">
        <v>42.68</v>
      </c>
      <c r="V106" t="str">
        <f t="shared" si="1"/>
        <v>FF15</v>
      </c>
      <c r="W106" t="str">
        <f>VLOOKUP(K106,[1]Info!A$1:B$21,2,0)</f>
        <v>Feller</v>
      </c>
      <c r="X106" t="str">
        <f>IF(M106="109595132","Material de Limpeza-Não Avaliar",IF(AND(K106="F20",M106&lt;&gt;109595132),IF(RIGHT(F106,2)="70","Infraestrutura de Planta","Prédios e Instalações"),IF(K106="FPC",VLOOKUP(F106,[1]Info!$E$2:$F$11,2,0),IF(K106="FGP",VLOOKUP(F106,[1]Info!$E$9:$F$10,2,0),IF(K106="F10",VLOOKUP(F106,[1]Info!$E$2:$F$3,2,0),VLOOKUP(K106,[1]Info!$A$1:$B$21,2,0))))))</f>
        <v>Feller</v>
      </c>
    </row>
    <row r="107" spans="1:24" x14ac:dyDescent="0.35">
      <c r="A107" t="s">
        <v>41</v>
      </c>
      <c r="B107" t="s">
        <v>54</v>
      </c>
      <c r="C107" t="s">
        <v>55</v>
      </c>
      <c r="D107" t="s">
        <v>91</v>
      </c>
      <c r="E107" t="s">
        <v>42</v>
      </c>
      <c r="F107">
        <v>7098510</v>
      </c>
      <c r="G107" t="s">
        <v>61</v>
      </c>
      <c r="H107" t="s">
        <v>43</v>
      </c>
      <c r="I107" t="s">
        <v>44</v>
      </c>
      <c r="J107" t="s">
        <v>50</v>
      </c>
      <c r="K107" t="s">
        <v>11</v>
      </c>
      <c r="L107" t="s">
        <v>62</v>
      </c>
      <c r="M107" t="s">
        <v>479</v>
      </c>
      <c r="N107" t="s">
        <v>190</v>
      </c>
      <c r="O107" t="s">
        <v>149</v>
      </c>
      <c r="P107" t="s">
        <v>383</v>
      </c>
      <c r="Q107" t="s">
        <v>533</v>
      </c>
      <c r="R107" t="s">
        <v>534</v>
      </c>
      <c r="S107" t="s">
        <v>46</v>
      </c>
      <c r="T107" t="s">
        <v>46</v>
      </c>
      <c r="U107" s="4">
        <v>42.68</v>
      </c>
      <c r="V107" t="str">
        <f t="shared" si="1"/>
        <v>FF12</v>
      </c>
      <c r="W107" t="str">
        <f>VLOOKUP(K107,[1]Info!A$1:B$21,2,0)</f>
        <v>Feller</v>
      </c>
      <c r="X107" t="str">
        <f>IF(M107="109595132","Material de Limpeza-Não Avaliar",IF(AND(K107="F20",M107&lt;&gt;109595132),IF(RIGHT(F107,2)="70","Infraestrutura de Planta","Prédios e Instalações"),IF(K107="FPC",VLOOKUP(F107,[1]Info!$E$2:$F$11,2,0),IF(K107="FGP",VLOOKUP(F107,[1]Info!$E$9:$F$10,2,0),IF(K107="F10",VLOOKUP(F107,[1]Info!$E$2:$F$3,2,0),VLOOKUP(K107,[1]Info!$A$1:$B$21,2,0))))))</f>
        <v>Feller</v>
      </c>
    </row>
    <row r="108" spans="1:24" x14ac:dyDescent="0.35">
      <c r="A108" t="s">
        <v>41</v>
      </c>
      <c r="B108" t="s">
        <v>54</v>
      </c>
      <c r="C108" t="s">
        <v>55</v>
      </c>
      <c r="D108" t="s">
        <v>91</v>
      </c>
      <c r="E108" t="s">
        <v>42</v>
      </c>
      <c r="F108">
        <v>7098510</v>
      </c>
      <c r="G108" t="s">
        <v>61</v>
      </c>
      <c r="H108" t="s">
        <v>43</v>
      </c>
      <c r="I108" t="s">
        <v>44</v>
      </c>
      <c r="J108" t="s">
        <v>50</v>
      </c>
      <c r="K108" t="s">
        <v>11</v>
      </c>
      <c r="L108" t="s">
        <v>62</v>
      </c>
      <c r="M108" t="s">
        <v>191</v>
      </c>
      <c r="N108" t="s">
        <v>192</v>
      </c>
      <c r="O108" t="s">
        <v>63</v>
      </c>
      <c r="P108" t="s">
        <v>383</v>
      </c>
      <c r="Q108" t="s">
        <v>533</v>
      </c>
      <c r="R108" t="s">
        <v>534</v>
      </c>
      <c r="S108" t="s">
        <v>46</v>
      </c>
      <c r="T108" t="s">
        <v>46</v>
      </c>
      <c r="U108" s="4">
        <v>42.68</v>
      </c>
      <c r="V108" t="str">
        <f t="shared" si="1"/>
        <v>FF15</v>
      </c>
      <c r="W108" t="str">
        <f>VLOOKUP(K108,[1]Info!A$1:B$21,2,0)</f>
        <v>Feller</v>
      </c>
      <c r="X108" t="str">
        <f>IF(M108="109595132","Material de Limpeza-Não Avaliar",IF(AND(K108="F20",M108&lt;&gt;109595132),IF(RIGHT(F108,2)="70","Infraestrutura de Planta","Prédios e Instalações"),IF(K108="FPC",VLOOKUP(F108,[1]Info!$E$2:$F$11,2,0),IF(K108="FGP",VLOOKUP(F108,[1]Info!$E$9:$F$10,2,0),IF(K108="F10",VLOOKUP(F108,[1]Info!$E$2:$F$3,2,0),VLOOKUP(K108,[1]Info!$A$1:$B$21,2,0))))))</f>
        <v>Feller</v>
      </c>
    </row>
    <row r="109" spans="1:24" x14ac:dyDescent="0.35">
      <c r="A109" t="s">
        <v>41</v>
      </c>
      <c r="B109" t="s">
        <v>54</v>
      </c>
      <c r="C109" t="s">
        <v>55</v>
      </c>
      <c r="D109" t="s">
        <v>91</v>
      </c>
      <c r="E109" t="s">
        <v>42</v>
      </c>
      <c r="F109">
        <v>7098510</v>
      </c>
      <c r="G109" t="s">
        <v>61</v>
      </c>
      <c r="H109" t="s">
        <v>43</v>
      </c>
      <c r="I109" t="s">
        <v>44</v>
      </c>
      <c r="J109" t="s">
        <v>50</v>
      </c>
      <c r="K109" t="s">
        <v>11</v>
      </c>
      <c r="L109" t="s">
        <v>62</v>
      </c>
      <c r="M109" t="s">
        <v>197</v>
      </c>
      <c r="N109" t="s">
        <v>198</v>
      </c>
      <c r="O109" t="s">
        <v>150</v>
      </c>
      <c r="P109" t="s">
        <v>383</v>
      </c>
      <c r="Q109" t="s">
        <v>533</v>
      </c>
      <c r="R109" t="s">
        <v>534</v>
      </c>
      <c r="S109" t="s">
        <v>46</v>
      </c>
      <c r="T109" t="s">
        <v>46</v>
      </c>
      <c r="U109" s="4">
        <v>42.68</v>
      </c>
      <c r="V109" t="str">
        <f t="shared" si="1"/>
        <v>FF16</v>
      </c>
      <c r="W109" t="str">
        <f>VLOOKUP(K109,[1]Info!A$1:B$21,2,0)</f>
        <v>Feller</v>
      </c>
      <c r="X109" t="str">
        <f>IF(M109="109595132","Material de Limpeza-Não Avaliar",IF(AND(K109="F20",M109&lt;&gt;109595132),IF(RIGHT(F109,2)="70","Infraestrutura de Planta","Prédios e Instalações"),IF(K109="FPC",VLOOKUP(F109,[1]Info!$E$2:$F$11,2,0),IF(K109="FGP",VLOOKUP(F109,[1]Info!$E$9:$F$10,2,0),IF(K109="F10",VLOOKUP(F109,[1]Info!$E$2:$F$3,2,0),VLOOKUP(K109,[1]Info!$A$1:$B$21,2,0))))))</f>
        <v>Feller</v>
      </c>
    </row>
    <row r="110" spans="1:24" x14ac:dyDescent="0.35">
      <c r="A110" t="s">
        <v>41</v>
      </c>
      <c r="B110" t="s">
        <v>54</v>
      </c>
      <c r="C110" t="s">
        <v>55</v>
      </c>
      <c r="D110" t="s">
        <v>91</v>
      </c>
      <c r="E110" t="s">
        <v>42</v>
      </c>
      <c r="F110">
        <v>7098510</v>
      </c>
      <c r="G110" t="s">
        <v>61</v>
      </c>
      <c r="H110" t="s">
        <v>43</v>
      </c>
      <c r="I110" t="s">
        <v>44</v>
      </c>
      <c r="J110" t="s">
        <v>50</v>
      </c>
      <c r="K110" t="s">
        <v>11</v>
      </c>
      <c r="L110" t="s">
        <v>62</v>
      </c>
      <c r="M110" t="s">
        <v>539</v>
      </c>
      <c r="N110" t="s">
        <v>190</v>
      </c>
      <c r="O110" t="s">
        <v>149</v>
      </c>
      <c r="P110" t="s">
        <v>383</v>
      </c>
      <c r="Q110" t="s">
        <v>533</v>
      </c>
      <c r="R110" t="s">
        <v>534</v>
      </c>
      <c r="S110" t="s">
        <v>46</v>
      </c>
      <c r="T110" t="s">
        <v>46</v>
      </c>
      <c r="U110" s="4">
        <v>42.68</v>
      </c>
      <c r="V110" t="str">
        <f t="shared" si="1"/>
        <v>FF12</v>
      </c>
      <c r="W110" t="str">
        <f>VLOOKUP(K110,[1]Info!A$1:B$21,2,0)</f>
        <v>Feller</v>
      </c>
      <c r="X110" t="str">
        <f>IF(M110="109595132","Material de Limpeza-Não Avaliar",IF(AND(K110="F20",M110&lt;&gt;109595132),IF(RIGHT(F110,2)="70","Infraestrutura de Planta","Prédios e Instalações"),IF(K110="FPC",VLOOKUP(F110,[1]Info!$E$2:$F$11,2,0),IF(K110="FGP",VLOOKUP(F110,[1]Info!$E$9:$F$10,2,0),IF(K110="F10",VLOOKUP(F110,[1]Info!$E$2:$F$3,2,0),VLOOKUP(K110,[1]Info!$A$1:$B$21,2,0))))))</f>
        <v>Feller</v>
      </c>
    </row>
    <row r="111" spans="1:24" x14ac:dyDescent="0.35">
      <c r="A111" t="s">
        <v>41</v>
      </c>
      <c r="B111" t="s">
        <v>54</v>
      </c>
      <c r="C111" t="s">
        <v>55</v>
      </c>
      <c r="D111" t="s">
        <v>96</v>
      </c>
      <c r="E111" t="s">
        <v>64</v>
      </c>
      <c r="F111">
        <v>7098510</v>
      </c>
      <c r="G111" t="s">
        <v>61</v>
      </c>
      <c r="H111" t="s">
        <v>43</v>
      </c>
      <c r="I111" t="s">
        <v>44</v>
      </c>
      <c r="J111" t="s">
        <v>50</v>
      </c>
      <c r="K111" t="s">
        <v>13</v>
      </c>
      <c r="L111" t="s">
        <v>51</v>
      </c>
      <c r="M111" t="s">
        <v>540</v>
      </c>
      <c r="N111" t="s">
        <v>541</v>
      </c>
      <c r="O111" t="s">
        <v>149</v>
      </c>
      <c r="P111" t="s">
        <v>383</v>
      </c>
      <c r="Q111" t="s">
        <v>339</v>
      </c>
      <c r="R111" t="s">
        <v>340</v>
      </c>
      <c r="S111" t="s">
        <v>46</v>
      </c>
      <c r="T111" t="s">
        <v>46</v>
      </c>
      <c r="U111" s="4">
        <v>3916.19</v>
      </c>
      <c r="V111" t="str">
        <f t="shared" si="1"/>
        <v>FF12</v>
      </c>
      <c r="W111" t="str">
        <f>VLOOKUP(K111,[1]Info!A$1:B$21,2,0)</f>
        <v>Carreta Prancha</v>
      </c>
      <c r="X111" t="str">
        <f>IF(M111="109595132","Material de Limpeza-Não Avaliar",IF(AND(K111="F20",M111&lt;&gt;109595132),IF(RIGHT(F111,2)="70","Infraestrutura de Planta","Prédios e Instalações"),IF(K111="FPC",VLOOKUP(F111,[1]Info!$E$2:$F$11,2,0),IF(K111="FGP",VLOOKUP(F111,[1]Info!$E$9:$F$10,2,0),IF(K111="F10",VLOOKUP(F111,[1]Info!$E$2:$F$3,2,0),VLOOKUP(K111,[1]Info!$A$1:$B$21,2,0))))))</f>
        <v>Carreta Prancha</v>
      </c>
    </row>
    <row r="112" spans="1:24" x14ac:dyDescent="0.35">
      <c r="A112" t="s">
        <v>41</v>
      </c>
      <c r="B112" t="s">
        <v>54</v>
      </c>
      <c r="C112" t="s">
        <v>55</v>
      </c>
      <c r="D112" t="s">
        <v>542</v>
      </c>
      <c r="E112" t="s">
        <v>543</v>
      </c>
      <c r="F112">
        <v>7098525</v>
      </c>
      <c r="G112" t="s">
        <v>168</v>
      </c>
      <c r="H112" t="s">
        <v>43</v>
      </c>
      <c r="I112" t="s">
        <v>44</v>
      </c>
      <c r="J112" t="s">
        <v>50</v>
      </c>
      <c r="K112" t="s">
        <v>4</v>
      </c>
      <c r="L112" t="s">
        <v>51</v>
      </c>
      <c r="M112" t="s">
        <v>544</v>
      </c>
      <c r="N112" t="s">
        <v>545</v>
      </c>
      <c r="O112" t="s">
        <v>546</v>
      </c>
      <c r="P112" t="s">
        <v>383</v>
      </c>
      <c r="Q112" t="s">
        <v>547</v>
      </c>
      <c r="R112" t="s">
        <v>548</v>
      </c>
      <c r="S112" t="s">
        <v>46</v>
      </c>
      <c r="T112" t="s">
        <v>46</v>
      </c>
      <c r="U112" s="4">
        <v>271.19</v>
      </c>
      <c r="V112" t="str">
        <f t="shared" si="1"/>
        <v>GP01</v>
      </c>
      <c r="W112" t="str">
        <f>VLOOKUP(K112,[1]Info!A$1:B$21,2,0)</f>
        <v>Garra Picadora</v>
      </c>
      <c r="X112" t="str">
        <f>IF(M112="109595132","Material de Limpeza-Não Avaliar",IF(AND(K112="F20",M112&lt;&gt;109595132),IF(RIGHT(F112,2)="70","Infraestrutura de Planta","Prédios e Instalações"),IF(K112="FPC",VLOOKUP(F112,[1]Info!$E$2:$F$11,2,0),IF(K112="FGP",VLOOKUP(F112,[1]Info!$E$9:$F$10,2,0),IF(K112="F10",VLOOKUP(F112,[1]Info!$E$2:$F$3,2,0),VLOOKUP(K112,[1]Info!$A$1:$B$21,2,0))))))</f>
        <v>Garra Picadora Canabrava</v>
      </c>
    </row>
    <row r="113" spans="1:24" x14ac:dyDescent="0.35">
      <c r="A113" t="s">
        <v>41</v>
      </c>
      <c r="B113" t="s">
        <v>54</v>
      </c>
      <c r="C113" t="s">
        <v>55</v>
      </c>
      <c r="D113" t="s">
        <v>542</v>
      </c>
      <c r="E113" t="s">
        <v>543</v>
      </c>
      <c r="F113">
        <v>7098520</v>
      </c>
      <c r="G113" t="s">
        <v>58</v>
      </c>
      <c r="H113" t="s">
        <v>43</v>
      </c>
      <c r="I113" t="s">
        <v>44</v>
      </c>
      <c r="J113" t="s">
        <v>50</v>
      </c>
      <c r="K113" t="s">
        <v>12</v>
      </c>
      <c r="L113" t="s">
        <v>51</v>
      </c>
      <c r="M113" t="s">
        <v>549</v>
      </c>
      <c r="N113" t="s">
        <v>550</v>
      </c>
      <c r="O113" t="s">
        <v>60</v>
      </c>
      <c r="P113" t="s">
        <v>383</v>
      </c>
      <c r="Q113" t="s">
        <v>551</v>
      </c>
      <c r="R113" t="s">
        <v>552</v>
      </c>
      <c r="S113" t="s">
        <v>46</v>
      </c>
      <c r="T113" t="s">
        <v>46</v>
      </c>
      <c r="U113" s="4">
        <v>67.12</v>
      </c>
      <c r="V113" t="str">
        <f t="shared" si="1"/>
        <v>GT18</v>
      </c>
      <c r="W113" t="str">
        <f>VLOOKUP(K113,[1]Info!A$1:B$21,2,0)</f>
        <v>Garra Traçadora</v>
      </c>
      <c r="X113" t="str">
        <f>IF(M113="109595132","Material de Limpeza-Não Avaliar",IF(AND(K113="F20",M113&lt;&gt;109595132),IF(RIGHT(F113,2)="70","Infraestrutura de Planta","Prédios e Instalações"),IF(K113="FPC",VLOOKUP(F113,[1]Info!$E$2:$F$11,2,0),IF(K113="FGP",VLOOKUP(F113,[1]Info!$E$9:$F$10,2,0),IF(K113="F10",VLOOKUP(F113,[1]Info!$E$2:$F$3,2,0),VLOOKUP(K113,[1]Info!$A$1:$B$21,2,0))))))</f>
        <v>Garra Traçadora</v>
      </c>
    </row>
    <row r="114" spans="1:24" x14ac:dyDescent="0.35">
      <c r="A114" t="s">
        <v>41</v>
      </c>
      <c r="B114" t="s">
        <v>54</v>
      </c>
      <c r="C114" t="s">
        <v>55</v>
      </c>
      <c r="D114" t="s">
        <v>542</v>
      </c>
      <c r="E114" t="s">
        <v>543</v>
      </c>
      <c r="F114">
        <v>7098510</v>
      </c>
      <c r="G114" t="s">
        <v>61</v>
      </c>
      <c r="H114" t="s">
        <v>43</v>
      </c>
      <c r="I114" t="s">
        <v>44</v>
      </c>
      <c r="J114" t="s">
        <v>50</v>
      </c>
      <c r="K114" t="s">
        <v>11</v>
      </c>
      <c r="L114" t="s">
        <v>51</v>
      </c>
      <c r="M114" t="s">
        <v>553</v>
      </c>
      <c r="N114" t="s">
        <v>554</v>
      </c>
      <c r="O114" t="s">
        <v>150</v>
      </c>
      <c r="P114" t="s">
        <v>383</v>
      </c>
      <c r="Q114" t="s">
        <v>551</v>
      </c>
      <c r="R114" t="s">
        <v>552</v>
      </c>
      <c r="S114" t="s">
        <v>46</v>
      </c>
      <c r="T114" t="s">
        <v>46</v>
      </c>
      <c r="U114" s="4">
        <v>22.38</v>
      </c>
      <c r="V114" t="str">
        <f t="shared" si="1"/>
        <v>FF16</v>
      </c>
      <c r="W114" t="str">
        <f>VLOOKUP(K114,[1]Info!A$1:B$21,2,0)</f>
        <v>Feller</v>
      </c>
      <c r="X114" t="str">
        <f>IF(M114="109595132","Material de Limpeza-Não Avaliar",IF(AND(K114="F20",M114&lt;&gt;109595132),IF(RIGHT(F114,2)="70","Infraestrutura de Planta","Prédios e Instalações"),IF(K114="FPC",VLOOKUP(F114,[1]Info!$E$2:$F$11,2,0),IF(K114="FGP",VLOOKUP(F114,[1]Info!$E$9:$F$10,2,0),IF(K114="F10",VLOOKUP(F114,[1]Info!$E$2:$F$3,2,0),VLOOKUP(K114,[1]Info!$A$1:$B$21,2,0))))))</f>
        <v>Feller</v>
      </c>
    </row>
    <row r="115" spans="1:24" x14ac:dyDescent="0.35">
      <c r="A115" t="s">
        <v>41</v>
      </c>
      <c r="B115" t="s">
        <v>54</v>
      </c>
      <c r="C115" t="s">
        <v>55</v>
      </c>
      <c r="D115" t="s">
        <v>542</v>
      </c>
      <c r="E115" t="s">
        <v>543</v>
      </c>
      <c r="F115">
        <v>7098510</v>
      </c>
      <c r="G115" t="s">
        <v>61</v>
      </c>
      <c r="H115" t="s">
        <v>43</v>
      </c>
      <c r="I115" t="s">
        <v>44</v>
      </c>
      <c r="J115" t="s">
        <v>50</v>
      </c>
      <c r="K115" t="s">
        <v>11</v>
      </c>
      <c r="L115" t="s">
        <v>51</v>
      </c>
      <c r="M115" t="s">
        <v>517</v>
      </c>
      <c r="N115" t="s">
        <v>518</v>
      </c>
      <c r="O115" t="s">
        <v>63</v>
      </c>
      <c r="P115" t="s">
        <v>383</v>
      </c>
      <c r="Q115" t="s">
        <v>551</v>
      </c>
      <c r="R115" t="s">
        <v>552</v>
      </c>
      <c r="S115" t="s">
        <v>46</v>
      </c>
      <c r="T115" t="s">
        <v>46</v>
      </c>
      <c r="U115" s="4">
        <v>22.37</v>
      </c>
      <c r="V115" t="str">
        <f t="shared" si="1"/>
        <v>FF15</v>
      </c>
      <c r="W115" t="str">
        <f>VLOOKUP(K115,[1]Info!A$1:B$21,2,0)</f>
        <v>Feller</v>
      </c>
      <c r="X115" t="str">
        <f>IF(M115="109595132","Material de Limpeza-Não Avaliar",IF(AND(K115="F20",M115&lt;&gt;109595132),IF(RIGHT(F115,2)="70","Infraestrutura de Planta","Prédios e Instalações"),IF(K115="FPC",VLOOKUP(F115,[1]Info!$E$2:$F$11,2,0),IF(K115="FGP",VLOOKUP(F115,[1]Info!$E$9:$F$10,2,0),IF(K115="F10",VLOOKUP(F115,[1]Info!$E$2:$F$3,2,0),VLOOKUP(K115,[1]Info!$A$1:$B$21,2,0))))))</f>
        <v>Feller</v>
      </c>
    </row>
    <row r="116" spans="1:24" x14ac:dyDescent="0.35">
      <c r="A116" t="s">
        <v>41</v>
      </c>
      <c r="B116" t="s">
        <v>54</v>
      </c>
      <c r="C116" t="s">
        <v>55</v>
      </c>
      <c r="D116" t="s">
        <v>94</v>
      </c>
      <c r="E116" t="s">
        <v>52</v>
      </c>
      <c r="F116">
        <v>7098590</v>
      </c>
      <c r="G116" t="s">
        <v>14</v>
      </c>
      <c r="H116" t="s">
        <v>48</v>
      </c>
      <c r="I116" t="s">
        <v>49</v>
      </c>
      <c r="J116" t="s">
        <v>50</v>
      </c>
      <c r="K116" t="s">
        <v>13</v>
      </c>
      <c r="L116" t="s">
        <v>51</v>
      </c>
      <c r="M116" t="s">
        <v>321</v>
      </c>
      <c r="N116" t="s">
        <v>322</v>
      </c>
      <c r="O116" t="s">
        <v>167</v>
      </c>
      <c r="P116" t="s">
        <v>1292</v>
      </c>
      <c r="Q116" t="s">
        <v>46</v>
      </c>
      <c r="R116" t="s">
        <v>47</v>
      </c>
      <c r="S116" t="s">
        <v>46</v>
      </c>
      <c r="T116" t="s">
        <v>46</v>
      </c>
      <c r="U116" s="4">
        <v>2129.2199999999998</v>
      </c>
      <c r="V116" t="str">
        <f t="shared" si="1"/>
        <v>CM05</v>
      </c>
      <c r="W116" t="str">
        <f>VLOOKUP(K116,[1]Info!A$1:B$21,2,0)</f>
        <v>Carreta Prancha</v>
      </c>
      <c r="X116" t="str">
        <f>IF(M116="109595132","Material de Limpeza-Não Avaliar",IF(AND(K116="F20",M116&lt;&gt;109595132),IF(RIGHT(F116,2)="70","Infraestrutura de Planta","Prédios e Instalações"),IF(K116="FPC",VLOOKUP(F116,[1]Info!$E$2:$F$11,2,0),IF(K116="FGP",VLOOKUP(F116,[1]Info!$E$9:$F$10,2,0),IF(K116="F10",VLOOKUP(F116,[1]Info!$E$2:$F$3,2,0),VLOOKUP(K116,[1]Info!$A$1:$B$21,2,0))))))</f>
        <v>Carreta Prancha</v>
      </c>
    </row>
    <row r="117" spans="1:24" x14ac:dyDescent="0.35">
      <c r="A117" t="s">
        <v>41</v>
      </c>
      <c r="B117" t="s">
        <v>54</v>
      </c>
      <c r="C117" t="s">
        <v>55</v>
      </c>
      <c r="D117" t="s">
        <v>94</v>
      </c>
      <c r="E117" t="s">
        <v>52</v>
      </c>
      <c r="F117">
        <v>7098590</v>
      </c>
      <c r="G117" t="s">
        <v>14</v>
      </c>
      <c r="H117" t="s">
        <v>48</v>
      </c>
      <c r="I117" t="s">
        <v>49</v>
      </c>
      <c r="J117" t="s">
        <v>50</v>
      </c>
      <c r="K117" t="s">
        <v>13</v>
      </c>
      <c r="L117" t="s">
        <v>51</v>
      </c>
      <c r="M117" t="s">
        <v>555</v>
      </c>
      <c r="N117" t="s">
        <v>556</v>
      </c>
      <c r="O117" t="s">
        <v>167</v>
      </c>
      <c r="P117" t="s">
        <v>383</v>
      </c>
      <c r="Q117" t="s">
        <v>146</v>
      </c>
      <c r="R117" t="s">
        <v>147</v>
      </c>
      <c r="S117" t="s">
        <v>46</v>
      </c>
      <c r="T117" t="s">
        <v>46</v>
      </c>
      <c r="U117" s="4">
        <v>5000</v>
      </c>
      <c r="V117" t="str">
        <f t="shared" si="1"/>
        <v>CM05</v>
      </c>
      <c r="W117" t="str">
        <f>VLOOKUP(K117,[1]Info!A$1:B$21,2,0)</f>
        <v>Carreta Prancha</v>
      </c>
      <c r="X117" t="str">
        <f>IF(M117="109595132","Material de Limpeza-Não Avaliar",IF(AND(K117="F20",M117&lt;&gt;109595132),IF(RIGHT(F117,2)="70","Infraestrutura de Planta","Prédios e Instalações"),IF(K117="FPC",VLOOKUP(F117,[1]Info!$E$2:$F$11,2,0),IF(K117="FGP",VLOOKUP(F117,[1]Info!$E$9:$F$10,2,0),IF(K117="F10",VLOOKUP(F117,[1]Info!$E$2:$F$3,2,0),VLOOKUP(K117,[1]Info!$A$1:$B$21,2,0))))))</f>
        <v>Carreta Prancha</v>
      </c>
    </row>
    <row r="118" spans="1:24" x14ac:dyDescent="0.35">
      <c r="A118" t="s">
        <v>41</v>
      </c>
      <c r="B118" t="s">
        <v>54</v>
      </c>
      <c r="C118" t="s">
        <v>55</v>
      </c>
      <c r="D118" t="s">
        <v>94</v>
      </c>
      <c r="E118" t="s">
        <v>52</v>
      </c>
      <c r="F118">
        <v>7098590</v>
      </c>
      <c r="G118" t="s">
        <v>14</v>
      </c>
      <c r="H118" t="s">
        <v>48</v>
      </c>
      <c r="I118" t="s">
        <v>49</v>
      </c>
      <c r="J118" t="s">
        <v>50</v>
      </c>
      <c r="K118" t="s">
        <v>13</v>
      </c>
      <c r="L118" t="s">
        <v>51</v>
      </c>
      <c r="M118" t="s">
        <v>555</v>
      </c>
      <c r="N118" t="s">
        <v>556</v>
      </c>
      <c r="O118" t="s">
        <v>167</v>
      </c>
      <c r="P118" t="s">
        <v>383</v>
      </c>
      <c r="Q118" t="s">
        <v>557</v>
      </c>
      <c r="R118" t="s">
        <v>558</v>
      </c>
      <c r="S118" t="s">
        <v>46</v>
      </c>
      <c r="T118" t="s">
        <v>46</v>
      </c>
      <c r="U118" s="4">
        <v>2921.9</v>
      </c>
      <c r="V118" t="str">
        <f t="shared" si="1"/>
        <v>CM05</v>
      </c>
      <c r="W118" t="str">
        <f>VLOOKUP(K118,[1]Info!A$1:B$21,2,0)</f>
        <v>Carreta Prancha</v>
      </c>
      <c r="X118" t="str">
        <f>IF(M118="109595132","Material de Limpeza-Não Avaliar",IF(AND(K118="F20",M118&lt;&gt;109595132),IF(RIGHT(F118,2)="70","Infraestrutura de Planta","Prédios e Instalações"),IF(K118="FPC",VLOOKUP(F118,[1]Info!$E$2:$F$11,2,0),IF(K118="FGP",VLOOKUP(F118,[1]Info!$E$9:$F$10,2,0),IF(K118="F10",VLOOKUP(F118,[1]Info!$E$2:$F$3,2,0),VLOOKUP(K118,[1]Info!$A$1:$B$21,2,0))))))</f>
        <v>Carreta Prancha</v>
      </c>
    </row>
    <row r="119" spans="1:24" x14ac:dyDescent="0.35">
      <c r="A119" t="s">
        <v>41</v>
      </c>
      <c r="B119" t="s">
        <v>54</v>
      </c>
      <c r="C119" t="s">
        <v>55</v>
      </c>
      <c r="D119" t="s">
        <v>94</v>
      </c>
      <c r="E119" t="s">
        <v>52</v>
      </c>
      <c r="F119">
        <v>7098590</v>
      </c>
      <c r="G119" t="s">
        <v>14</v>
      </c>
      <c r="H119" t="s">
        <v>48</v>
      </c>
      <c r="I119" t="s">
        <v>49</v>
      </c>
      <c r="J119" t="s">
        <v>50</v>
      </c>
      <c r="K119" t="s">
        <v>13</v>
      </c>
      <c r="L119" t="s">
        <v>51</v>
      </c>
      <c r="M119" t="s">
        <v>1364</v>
      </c>
      <c r="N119" t="s">
        <v>1365</v>
      </c>
      <c r="O119" t="s">
        <v>167</v>
      </c>
      <c r="P119" t="s">
        <v>1292</v>
      </c>
      <c r="Q119" t="s">
        <v>46</v>
      </c>
      <c r="R119" t="s">
        <v>47</v>
      </c>
      <c r="S119" t="s">
        <v>46</v>
      </c>
      <c r="T119" t="s">
        <v>46</v>
      </c>
      <c r="U119" s="4">
        <v>1676.99</v>
      </c>
      <c r="V119" t="str">
        <f t="shared" si="1"/>
        <v>CM05</v>
      </c>
      <c r="W119" t="str">
        <f>VLOOKUP(K119,[1]Info!A$1:B$21,2,0)</f>
        <v>Carreta Prancha</v>
      </c>
      <c r="X119" t="str">
        <f>IF(M119="109595132","Material de Limpeza-Não Avaliar",IF(AND(K119="F20",M119&lt;&gt;109595132),IF(RIGHT(F119,2)="70","Infraestrutura de Planta","Prédios e Instalações"),IF(K119="FPC",VLOOKUP(F119,[1]Info!$E$2:$F$11,2,0),IF(K119="FGP",VLOOKUP(F119,[1]Info!$E$9:$F$10,2,0),IF(K119="F10",VLOOKUP(F119,[1]Info!$E$2:$F$3,2,0),VLOOKUP(K119,[1]Info!$A$1:$B$21,2,0))))))</f>
        <v>Carreta Prancha</v>
      </c>
    </row>
    <row r="120" spans="1:24" x14ac:dyDescent="0.35">
      <c r="A120" t="s">
        <v>41</v>
      </c>
      <c r="B120" t="s">
        <v>54</v>
      </c>
      <c r="C120" t="s">
        <v>55</v>
      </c>
      <c r="D120" t="s">
        <v>94</v>
      </c>
      <c r="E120" t="s">
        <v>52</v>
      </c>
      <c r="F120">
        <v>7098590</v>
      </c>
      <c r="G120" t="s">
        <v>14</v>
      </c>
      <c r="H120" t="s">
        <v>48</v>
      </c>
      <c r="I120" t="s">
        <v>49</v>
      </c>
      <c r="J120" t="s">
        <v>50</v>
      </c>
      <c r="K120" t="s">
        <v>13</v>
      </c>
      <c r="L120" t="s">
        <v>51</v>
      </c>
      <c r="M120" t="s">
        <v>559</v>
      </c>
      <c r="N120" t="s">
        <v>560</v>
      </c>
      <c r="O120" t="s">
        <v>561</v>
      </c>
      <c r="P120" t="s">
        <v>383</v>
      </c>
      <c r="Q120" t="s">
        <v>146</v>
      </c>
      <c r="R120" t="s">
        <v>147</v>
      </c>
      <c r="S120" t="s">
        <v>46</v>
      </c>
      <c r="T120" t="s">
        <v>46</v>
      </c>
      <c r="U120" s="4">
        <v>3897.48</v>
      </c>
      <c r="V120" t="str">
        <f t="shared" si="1"/>
        <v>CM04</v>
      </c>
      <c r="W120" t="str">
        <f>VLOOKUP(K120,[1]Info!A$1:B$21,2,0)</f>
        <v>Carreta Prancha</v>
      </c>
      <c r="X120" t="str">
        <f>IF(M120="109595132","Material de Limpeza-Não Avaliar",IF(AND(K120="F20",M120&lt;&gt;109595132),IF(RIGHT(F120,2)="70","Infraestrutura de Planta","Prédios e Instalações"),IF(K120="FPC",VLOOKUP(F120,[1]Info!$E$2:$F$11,2,0),IF(K120="FGP",VLOOKUP(F120,[1]Info!$E$9:$F$10,2,0),IF(K120="F10",VLOOKUP(F120,[1]Info!$E$2:$F$3,2,0),VLOOKUP(K120,[1]Info!$A$1:$B$21,2,0))))))</f>
        <v>Carreta Prancha</v>
      </c>
    </row>
    <row r="121" spans="1:24" x14ac:dyDescent="0.35">
      <c r="A121" t="s">
        <v>41</v>
      </c>
      <c r="B121" t="s">
        <v>54</v>
      </c>
      <c r="C121" t="s">
        <v>55</v>
      </c>
      <c r="D121" t="s">
        <v>94</v>
      </c>
      <c r="E121" t="s">
        <v>52</v>
      </c>
      <c r="F121">
        <v>7098590</v>
      </c>
      <c r="G121" t="s">
        <v>14</v>
      </c>
      <c r="H121" t="s">
        <v>48</v>
      </c>
      <c r="I121" t="s">
        <v>49</v>
      </c>
      <c r="J121" t="s">
        <v>50</v>
      </c>
      <c r="K121" t="s">
        <v>13</v>
      </c>
      <c r="L121" t="s">
        <v>51</v>
      </c>
      <c r="M121" t="s">
        <v>559</v>
      </c>
      <c r="N121" t="s">
        <v>560</v>
      </c>
      <c r="O121" t="s">
        <v>561</v>
      </c>
      <c r="P121" t="s">
        <v>383</v>
      </c>
      <c r="Q121" t="s">
        <v>557</v>
      </c>
      <c r="R121" t="s">
        <v>558</v>
      </c>
      <c r="S121" t="s">
        <v>46</v>
      </c>
      <c r="T121" t="s">
        <v>46</v>
      </c>
      <c r="U121" s="4">
        <v>11687.59</v>
      </c>
      <c r="V121" t="str">
        <f t="shared" si="1"/>
        <v>CM04</v>
      </c>
      <c r="W121" t="str">
        <f>VLOOKUP(K121,[1]Info!A$1:B$21,2,0)</f>
        <v>Carreta Prancha</v>
      </c>
      <c r="X121" t="str">
        <f>IF(M121="109595132","Material de Limpeza-Não Avaliar",IF(AND(K121="F20",M121&lt;&gt;109595132),IF(RIGHT(F121,2)="70","Infraestrutura de Planta","Prédios e Instalações"),IF(K121="FPC",VLOOKUP(F121,[1]Info!$E$2:$F$11,2,0),IF(K121="FGP",VLOOKUP(F121,[1]Info!$E$9:$F$10,2,0),IF(K121="F10",VLOOKUP(F121,[1]Info!$E$2:$F$3,2,0),VLOOKUP(K121,[1]Info!$A$1:$B$21,2,0))))))</f>
        <v>Carreta Prancha</v>
      </c>
    </row>
    <row r="122" spans="1:24" x14ac:dyDescent="0.35">
      <c r="A122" t="s">
        <v>41</v>
      </c>
      <c r="B122" t="s">
        <v>54</v>
      </c>
      <c r="C122" t="s">
        <v>55</v>
      </c>
      <c r="D122" t="s">
        <v>94</v>
      </c>
      <c r="E122" t="s">
        <v>52</v>
      </c>
      <c r="F122">
        <v>7098590</v>
      </c>
      <c r="G122" t="s">
        <v>14</v>
      </c>
      <c r="H122" t="s">
        <v>48</v>
      </c>
      <c r="I122" t="s">
        <v>49</v>
      </c>
      <c r="J122" t="s">
        <v>50</v>
      </c>
      <c r="K122" t="s">
        <v>13</v>
      </c>
      <c r="L122" t="s">
        <v>51</v>
      </c>
      <c r="M122" t="s">
        <v>1366</v>
      </c>
      <c r="N122" t="s">
        <v>1367</v>
      </c>
      <c r="O122" t="s">
        <v>1368</v>
      </c>
      <c r="P122" t="s">
        <v>1292</v>
      </c>
      <c r="Q122" t="s">
        <v>46</v>
      </c>
      <c r="R122" t="s">
        <v>47</v>
      </c>
      <c r="S122" t="s">
        <v>46</v>
      </c>
      <c r="T122" t="s">
        <v>46</v>
      </c>
      <c r="U122" s="4">
        <v>290</v>
      </c>
      <c r="V122" t="str">
        <f t="shared" si="1"/>
        <v>SI03</v>
      </c>
      <c r="W122" t="str">
        <f>VLOOKUP(K122,[1]Info!A$1:B$21,2,0)</f>
        <v>Carreta Prancha</v>
      </c>
      <c r="X122" t="str">
        <f>IF(M122="109595132","Material de Limpeza-Não Avaliar",IF(AND(K122="F20",M122&lt;&gt;109595132),IF(RIGHT(F122,2)="70","Infraestrutura de Planta","Prédios e Instalações"),IF(K122="FPC",VLOOKUP(F122,[1]Info!$E$2:$F$11,2,0),IF(K122="FGP",VLOOKUP(F122,[1]Info!$E$9:$F$10,2,0),IF(K122="F10",VLOOKUP(F122,[1]Info!$E$2:$F$3,2,0),VLOOKUP(K122,[1]Info!$A$1:$B$21,2,0))))))</f>
        <v>Carreta Prancha</v>
      </c>
    </row>
    <row r="123" spans="1:24" x14ac:dyDescent="0.35">
      <c r="A123" t="s">
        <v>41</v>
      </c>
      <c r="B123" t="s">
        <v>54</v>
      </c>
      <c r="C123" t="s">
        <v>55</v>
      </c>
      <c r="D123" t="s">
        <v>94</v>
      </c>
      <c r="E123" t="s">
        <v>52</v>
      </c>
      <c r="F123">
        <v>7098530</v>
      </c>
      <c r="G123" t="s">
        <v>57</v>
      </c>
      <c r="H123" t="s">
        <v>43</v>
      </c>
      <c r="I123" t="s">
        <v>44</v>
      </c>
      <c r="J123" t="s">
        <v>50</v>
      </c>
      <c r="K123" t="s">
        <v>15</v>
      </c>
      <c r="L123" t="s">
        <v>62</v>
      </c>
      <c r="M123" t="s">
        <v>193</v>
      </c>
      <c r="N123" t="s">
        <v>194</v>
      </c>
      <c r="O123" t="s">
        <v>165</v>
      </c>
      <c r="P123" t="s">
        <v>383</v>
      </c>
      <c r="Q123" t="s">
        <v>110</v>
      </c>
      <c r="R123" t="s">
        <v>111</v>
      </c>
      <c r="S123" t="s">
        <v>46</v>
      </c>
      <c r="T123" t="s">
        <v>46</v>
      </c>
      <c r="U123" s="4">
        <v>302.12</v>
      </c>
      <c r="V123" t="str">
        <f t="shared" si="1"/>
        <v>SK15</v>
      </c>
      <c r="W123" t="str">
        <f>VLOOKUP(K123,[1]Info!A$1:B$21,2,0)</f>
        <v>Skidder</v>
      </c>
      <c r="X123" t="str">
        <f>IF(M123="109595132","Material de Limpeza-Não Avaliar",IF(AND(K123="F20",M123&lt;&gt;109595132),IF(RIGHT(F123,2)="70","Infraestrutura de Planta","Prédios e Instalações"),IF(K123="FPC",VLOOKUP(F123,[1]Info!$E$2:$F$11,2,0),IF(K123="FGP",VLOOKUP(F123,[1]Info!$E$9:$F$10,2,0),IF(K123="F10",VLOOKUP(F123,[1]Info!$E$2:$F$3,2,0),VLOOKUP(K123,[1]Info!$A$1:$B$21,2,0))))))</f>
        <v>Skidder</v>
      </c>
    </row>
    <row r="124" spans="1:24" x14ac:dyDescent="0.35">
      <c r="A124" t="s">
        <v>41</v>
      </c>
      <c r="B124" t="s">
        <v>54</v>
      </c>
      <c r="C124" t="s">
        <v>55</v>
      </c>
      <c r="D124" t="s">
        <v>94</v>
      </c>
      <c r="E124" t="s">
        <v>52</v>
      </c>
      <c r="F124">
        <v>7098530</v>
      </c>
      <c r="G124" t="s">
        <v>57</v>
      </c>
      <c r="H124" t="s">
        <v>43</v>
      </c>
      <c r="I124" t="s">
        <v>44</v>
      </c>
      <c r="J124" t="s">
        <v>50</v>
      </c>
      <c r="K124" t="s">
        <v>15</v>
      </c>
      <c r="L124" t="s">
        <v>62</v>
      </c>
      <c r="M124" t="s">
        <v>193</v>
      </c>
      <c r="N124" t="s">
        <v>194</v>
      </c>
      <c r="O124" t="s">
        <v>165</v>
      </c>
      <c r="P124" t="s">
        <v>383</v>
      </c>
      <c r="Q124" t="s">
        <v>114</v>
      </c>
      <c r="R124" t="s">
        <v>115</v>
      </c>
      <c r="S124" t="s">
        <v>46</v>
      </c>
      <c r="T124" t="s">
        <v>46</v>
      </c>
      <c r="U124" s="4">
        <v>165.65</v>
      </c>
      <c r="V124" t="str">
        <f t="shared" si="1"/>
        <v>SK15</v>
      </c>
      <c r="W124" t="str">
        <f>VLOOKUP(K124,[1]Info!A$1:B$21,2,0)</f>
        <v>Skidder</v>
      </c>
      <c r="X124" t="str">
        <f>IF(M124="109595132","Material de Limpeza-Não Avaliar",IF(AND(K124="F20",M124&lt;&gt;109595132),IF(RIGHT(F124,2)="70","Infraestrutura de Planta","Prédios e Instalações"),IF(K124="FPC",VLOOKUP(F124,[1]Info!$E$2:$F$11,2,0),IF(K124="FGP",VLOOKUP(F124,[1]Info!$E$9:$F$10,2,0),IF(K124="F10",VLOOKUP(F124,[1]Info!$E$2:$F$3,2,0),VLOOKUP(K124,[1]Info!$A$1:$B$21,2,0))))))</f>
        <v>Skidder</v>
      </c>
    </row>
    <row r="125" spans="1:24" x14ac:dyDescent="0.35">
      <c r="A125" t="s">
        <v>41</v>
      </c>
      <c r="B125" t="s">
        <v>54</v>
      </c>
      <c r="C125" t="s">
        <v>55</v>
      </c>
      <c r="D125" t="s">
        <v>94</v>
      </c>
      <c r="E125" t="s">
        <v>52</v>
      </c>
      <c r="F125">
        <v>7098530</v>
      </c>
      <c r="G125" t="s">
        <v>57</v>
      </c>
      <c r="H125" t="s">
        <v>43</v>
      </c>
      <c r="I125" t="s">
        <v>44</v>
      </c>
      <c r="J125" t="s">
        <v>50</v>
      </c>
      <c r="K125" t="s">
        <v>15</v>
      </c>
      <c r="L125" t="s">
        <v>62</v>
      </c>
      <c r="M125" t="s">
        <v>193</v>
      </c>
      <c r="N125" t="s">
        <v>194</v>
      </c>
      <c r="O125" t="s">
        <v>165</v>
      </c>
      <c r="P125" t="s">
        <v>383</v>
      </c>
      <c r="Q125" t="s">
        <v>562</v>
      </c>
      <c r="R125" t="s">
        <v>563</v>
      </c>
      <c r="S125" t="s">
        <v>46</v>
      </c>
      <c r="T125" t="s">
        <v>46</v>
      </c>
      <c r="U125" s="4">
        <v>329.06</v>
      </c>
      <c r="V125" t="str">
        <f t="shared" si="1"/>
        <v>SK15</v>
      </c>
      <c r="W125" t="str">
        <f>VLOOKUP(K125,[1]Info!A$1:B$21,2,0)</f>
        <v>Skidder</v>
      </c>
      <c r="X125" t="str">
        <f>IF(M125="109595132","Material de Limpeza-Não Avaliar",IF(AND(K125="F20",M125&lt;&gt;109595132),IF(RIGHT(F125,2)="70","Infraestrutura de Planta","Prédios e Instalações"),IF(K125="FPC",VLOOKUP(F125,[1]Info!$E$2:$F$11,2,0),IF(K125="FGP",VLOOKUP(F125,[1]Info!$E$9:$F$10,2,0),IF(K125="F10",VLOOKUP(F125,[1]Info!$E$2:$F$3,2,0),VLOOKUP(K125,[1]Info!$A$1:$B$21,2,0))))))</f>
        <v>Skidder</v>
      </c>
    </row>
    <row r="126" spans="1:24" x14ac:dyDescent="0.35">
      <c r="A126" t="s">
        <v>41</v>
      </c>
      <c r="B126" t="s">
        <v>54</v>
      </c>
      <c r="C126" t="s">
        <v>55</v>
      </c>
      <c r="D126" t="s">
        <v>94</v>
      </c>
      <c r="E126" t="s">
        <v>52</v>
      </c>
      <c r="F126">
        <v>7098530</v>
      </c>
      <c r="G126" t="s">
        <v>57</v>
      </c>
      <c r="H126" t="s">
        <v>43</v>
      </c>
      <c r="I126" t="s">
        <v>44</v>
      </c>
      <c r="J126" t="s">
        <v>50</v>
      </c>
      <c r="K126" t="s">
        <v>15</v>
      </c>
      <c r="L126" t="s">
        <v>62</v>
      </c>
      <c r="M126" t="s">
        <v>193</v>
      </c>
      <c r="N126" t="s">
        <v>194</v>
      </c>
      <c r="O126" t="s">
        <v>165</v>
      </c>
      <c r="P126" t="s">
        <v>383</v>
      </c>
      <c r="Q126" t="s">
        <v>116</v>
      </c>
      <c r="R126" t="s">
        <v>117</v>
      </c>
      <c r="S126" t="s">
        <v>46</v>
      </c>
      <c r="T126" t="s">
        <v>46</v>
      </c>
      <c r="U126" s="4">
        <v>290.13</v>
      </c>
      <c r="V126" t="str">
        <f t="shared" si="1"/>
        <v>SK15</v>
      </c>
      <c r="W126" t="str">
        <f>VLOOKUP(K126,[1]Info!A$1:B$21,2,0)</f>
        <v>Skidder</v>
      </c>
      <c r="X126" t="str">
        <f>IF(M126="109595132","Material de Limpeza-Não Avaliar",IF(AND(K126="F20",M126&lt;&gt;109595132),IF(RIGHT(F126,2)="70","Infraestrutura de Planta","Prédios e Instalações"),IF(K126="FPC",VLOOKUP(F126,[1]Info!$E$2:$F$11,2,0),IF(K126="FGP",VLOOKUP(F126,[1]Info!$E$9:$F$10,2,0),IF(K126="F10",VLOOKUP(F126,[1]Info!$E$2:$F$3,2,0),VLOOKUP(K126,[1]Info!$A$1:$B$21,2,0))))))</f>
        <v>Skidder</v>
      </c>
    </row>
    <row r="127" spans="1:24" x14ac:dyDescent="0.35">
      <c r="A127" t="s">
        <v>41</v>
      </c>
      <c r="B127" t="s">
        <v>54</v>
      </c>
      <c r="C127" t="s">
        <v>55</v>
      </c>
      <c r="D127" t="s">
        <v>94</v>
      </c>
      <c r="E127" t="s">
        <v>52</v>
      </c>
      <c r="F127">
        <v>7098530</v>
      </c>
      <c r="G127" t="s">
        <v>57</v>
      </c>
      <c r="H127" t="s">
        <v>43</v>
      </c>
      <c r="I127" t="s">
        <v>44</v>
      </c>
      <c r="J127" t="s">
        <v>50</v>
      </c>
      <c r="K127" t="s">
        <v>15</v>
      </c>
      <c r="L127" t="s">
        <v>62</v>
      </c>
      <c r="M127" t="s">
        <v>195</v>
      </c>
      <c r="N127" t="s">
        <v>196</v>
      </c>
      <c r="O127" t="s">
        <v>141</v>
      </c>
      <c r="P127" t="s">
        <v>383</v>
      </c>
      <c r="Q127" t="s">
        <v>110</v>
      </c>
      <c r="R127" t="s">
        <v>111</v>
      </c>
      <c r="S127" t="s">
        <v>46</v>
      </c>
      <c r="T127" t="s">
        <v>46</v>
      </c>
      <c r="U127" s="4">
        <v>302.12</v>
      </c>
      <c r="V127" t="str">
        <f t="shared" si="1"/>
        <v>SK16</v>
      </c>
      <c r="W127" t="str">
        <f>VLOOKUP(K127,[1]Info!A$1:B$21,2,0)</f>
        <v>Skidder</v>
      </c>
      <c r="X127" t="str">
        <f>IF(M127="109595132","Material de Limpeza-Não Avaliar",IF(AND(K127="F20",M127&lt;&gt;109595132),IF(RIGHT(F127,2)="70","Infraestrutura de Planta","Prédios e Instalações"),IF(K127="FPC",VLOOKUP(F127,[1]Info!$E$2:$F$11,2,0),IF(K127="FGP",VLOOKUP(F127,[1]Info!$E$9:$F$10,2,0),IF(K127="F10",VLOOKUP(F127,[1]Info!$E$2:$F$3,2,0),VLOOKUP(K127,[1]Info!$A$1:$B$21,2,0))))))</f>
        <v>Skidder</v>
      </c>
    </row>
    <row r="128" spans="1:24" x14ac:dyDescent="0.35">
      <c r="A128" t="s">
        <v>41</v>
      </c>
      <c r="B128" t="s">
        <v>54</v>
      </c>
      <c r="C128" t="s">
        <v>55</v>
      </c>
      <c r="D128" t="s">
        <v>94</v>
      </c>
      <c r="E128" t="s">
        <v>52</v>
      </c>
      <c r="F128">
        <v>7098530</v>
      </c>
      <c r="G128" t="s">
        <v>57</v>
      </c>
      <c r="H128" t="s">
        <v>43</v>
      </c>
      <c r="I128" t="s">
        <v>44</v>
      </c>
      <c r="J128" t="s">
        <v>50</v>
      </c>
      <c r="K128" t="s">
        <v>15</v>
      </c>
      <c r="L128" t="s">
        <v>62</v>
      </c>
      <c r="M128" t="s">
        <v>195</v>
      </c>
      <c r="N128" t="s">
        <v>196</v>
      </c>
      <c r="O128" t="s">
        <v>141</v>
      </c>
      <c r="P128" t="s">
        <v>383</v>
      </c>
      <c r="Q128" t="s">
        <v>114</v>
      </c>
      <c r="R128" t="s">
        <v>115</v>
      </c>
      <c r="S128" t="s">
        <v>46</v>
      </c>
      <c r="T128" t="s">
        <v>46</v>
      </c>
      <c r="U128" s="4">
        <v>165.65</v>
      </c>
      <c r="V128" t="str">
        <f t="shared" si="1"/>
        <v>SK16</v>
      </c>
      <c r="W128" t="str">
        <f>VLOOKUP(K128,[1]Info!A$1:B$21,2,0)</f>
        <v>Skidder</v>
      </c>
      <c r="X128" t="str">
        <f>IF(M128="109595132","Material de Limpeza-Não Avaliar",IF(AND(K128="F20",M128&lt;&gt;109595132),IF(RIGHT(F128,2)="70","Infraestrutura de Planta","Prédios e Instalações"),IF(K128="FPC",VLOOKUP(F128,[1]Info!$E$2:$F$11,2,0),IF(K128="FGP",VLOOKUP(F128,[1]Info!$E$9:$F$10,2,0),IF(K128="F10",VLOOKUP(F128,[1]Info!$E$2:$F$3,2,0),VLOOKUP(K128,[1]Info!$A$1:$B$21,2,0))))))</f>
        <v>Skidder</v>
      </c>
    </row>
    <row r="129" spans="1:24" x14ac:dyDescent="0.35">
      <c r="A129" t="s">
        <v>41</v>
      </c>
      <c r="B129" t="s">
        <v>54</v>
      </c>
      <c r="C129" t="s">
        <v>55</v>
      </c>
      <c r="D129" t="s">
        <v>94</v>
      </c>
      <c r="E129" t="s">
        <v>52</v>
      </c>
      <c r="F129">
        <v>7098530</v>
      </c>
      <c r="G129" t="s">
        <v>57</v>
      </c>
      <c r="H129" t="s">
        <v>43</v>
      </c>
      <c r="I129" t="s">
        <v>44</v>
      </c>
      <c r="J129" t="s">
        <v>50</v>
      </c>
      <c r="K129" t="s">
        <v>15</v>
      </c>
      <c r="L129" t="s">
        <v>62</v>
      </c>
      <c r="M129" t="s">
        <v>195</v>
      </c>
      <c r="N129" t="s">
        <v>196</v>
      </c>
      <c r="O129" t="s">
        <v>141</v>
      </c>
      <c r="P129" t="s">
        <v>383</v>
      </c>
      <c r="Q129" t="s">
        <v>562</v>
      </c>
      <c r="R129" t="s">
        <v>563</v>
      </c>
      <c r="S129" t="s">
        <v>46</v>
      </c>
      <c r="T129" t="s">
        <v>46</v>
      </c>
      <c r="U129" s="4">
        <v>329.06</v>
      </c>
      <c r="V129" t="str">
        <f t="shared" si="1"/>
        <v>SK16</v>
      </c>
      <c r="W129" t="str">
        <f>VLOOKUP(K129,[1]Info!A$1:B$21,2,0)</f>
        <v>Skidder</v>
      </c>
      <c r="X129" t="str">
        <f>IF(M129="109595132","Material de Limpeza-Não Avaliar",IF(AND(K129="F20",M129&lt;&gt;109595132),IF(RIGHT(F129,2)="70","Infraestrutura de Planta","Prédios e Instalações"),IF(K129="FPC",VLOOKUP(F129,[1]Info!$E$2:$F$11,2,0),IF(K129="FGP",VLOOKUP(F129,[1]Info!$E$9:$F$10,2,0),IF(K129="F10",VLOOKUP(F129,[1]Info!$E$2:$F$3,2,0),VLOOKUP(K129,[1]Info!$A$1:$B$21,2,0))))))</f>
        <v>Skidder</v>
      </c>
    </row>
    <row r="130" spans="1:24" x14ac:dyDescent="0.35">
      <c r="A130" t="s">
        <v>41</v>
      </c>
      <c r="B130" t="s">
        <v>54</v>
      </c>
      <c r="C130" t="s">
        <v>55</v>
      </c>
      <c r="D130" t="s">
        <v>94</v>
      </c>
      <c r="E130" t="s">
        <v>52</v>
      </c>
      <c r="F130">
        <v>7098530</v>
      </c>
      <c r="G130" t="s">
        <v>57</v>
      </c>
      <c r="H130" t="s">
        <v>43</v>
      </c>
      <c r="I130" t="s">
        <v>44</v>
      </c>
      <c r="J130" t="s">
        <v>50</v>
      </c>
      <c r="K130" t="s">
        <v>15</v>
      </c>
      <c r="L130" t="s">
        <v>62</v>
      </c>
      <c r="M130" t="s">
        <v>195</v>
      </c>
      <c r="N130" t="s">
        <v>196</v>
      </c>
      <c r="O130" t="s">
        <v>141</v>
      </c>
      <c r="P130" t="s">
        <v>383</v>
      </c>
      <c r="Q130" t="s">
        <v>116</v>
      </c>
      <c r="R130" t="s">
        <v>117</v>
      </c>
      <c r="S130" t="s">
        <v>46</v>
      </c>
      <c r="T130" t="s">
        <v>46</v>
      </c>
      <c r="U130" s="4">
        <v>290.13</v>
      </c>
      <c r="V130" t="str">
        <f t="shared" si="1"/>
        <v>SK16</v>
      </c>
      <c r="W130" t="str">
        <f>VLOOKUP(K130,[1]Info!A$1:B$21,2,0)</f>
        <v>Skidder</v>
      </c>
      <c r="X130" t="str">
        <f>IF(M130="109595132","Material de Limpeza-Não Avaliar",IF(AND(K130="F20",M130&lt;&gt;109595132),IF(RIGHT(F130,2)="70","Infraestrutura de Planta","Prédios e Instalações"),IF(K130="FPC",VLOOKUP(F130,[1]Info!$E$2:$F$11,2,0),IF(K130="FGP",VLOOKUP(F130,[1]Info!$E$9:$F$10,2,0),IF(K130="F10",VLOOKUP(F130,[1]Info!$E$2:$F$3,2,0),VLOOKUP(K130,[1]Info!$A$1:$B$21,2,0))))))</f>
        <v>Skidder</v>
      </c>
    </row>
    <row r="131" spans="1:24" x14ac:dyDescent="0.35">
      <c r="A131" t="s">
        <v>41</v>
      </c>
      <c r="B131" t="s">
        <v>54</v>
      </c>
      <c r="C131" t="s">
        <v>55</v>
      </c>
      <c r="D131" t="s">
        <v>94</v>
      </c>
      <c r="E131" t="s">
        <v>52</v>
      </c>
      <c r="F131">
        <v>7098530</v>
      </c>
      <c r="G131" t="s">
        <v>57</v>
      </c>
      <c r="H131" t="s">
        <v>43</v>
      </c>
      <c r="I131" t="s">
        <v>44</v>
      </c>
      <c r="J131" t="s">
        <v>50</v>
      </c>
      <c r="K131" t="s">
        <v>15</v>
      </c>
      <c r="L131" t="s">
        <v>62</v>
      </c>
      <c r="M131" t="s">
        <v>564</v>
      </c>
      <c r="N131" t="s">
        <v>565</v>
      </c>
      <c r="O131" t="s">
        <v>165</v>
      </c>
      <c r="P131" t="s">
        <v>383</v>
      </c>
      <c r="Q131" t="s">
        <v>110</v>
      </c>
      <c r="R131" t="s">
        <v>111</v>
      </c>
      <c r="S131" t="s">
        <v>46</v>
      </c>
      <c r="T131" t="s">
        <v>46</v>
      </c>
      <c r="U131" s="4">
        <v>338.99</v>
      </c>
      <c r="V131" t="str">
        <f t="shared" si="1"/>
        <v>SK15</v>
      </c>
      <c r="W131" t="str">
        <f>VLOOKUP(K131,[1]Info!A$1:B$21,2,0)</f>
        <v>Skidder</v>
      </c>
      <c r="X131" t="str">
        <f>IF(M131="109595132","Material de Limpeza-Não Avaliar",IF(AND(K131="F20",M131&lt;&gt;109595132),IF(RIGHT(F131,2)="70","Infraestrutura de Planta","Prédios e Instalações"),IF(K131="FPC",VLOOKUP(F131,[1]Info!$E$2:$F$11,2,0),IF(K131="FGP",VLOOKUP(F131,[1]Info!$E$9:$F$10,2,0),IF(K131="F10",VLOOKUP(F131,[1]Info!$E$2:$F$3,2,0),VLOOKUP(K131,[1]Info!$A$1:$B$21,2,0))))))</f>
        <v>Skidder</v>
      </c>
    </row>
    <row r="132" spans="1:24" x14ac:dyDescent="0.35">
      <c r="A132" t="s">
        <v>41</v>
      </c>
      <c r="B132" t="s">
        <v>54</v>
      </c>
      <c r="C132" t="s">
        <v>55</v>
      </c>
      <c r="D132" t="s">
        <v>94</v>
      </c>
      <c r="E132" t="s">
        <v>52</v>
      </c>
      <c r="F132">
        <v>7098530</v>
      </c>
      <c r="G132" t="s">
        <v>57</v>
      </c>
      <c r="H132" t="s">
        <v>43</v>
      </c>
      <c r="I132" t="s">
        <v>44</v>
      </c>
      <c r="J132" t="s">
        <v>50</v>
      </c>
      <c r="K132" t="s">
        <v>15</v>
      </c>
      <c r="L132" t="s">
        <v>62</v>
      </c>
      <c r="M132" t="s">
        <v>564</v>
      </c>
      <c r="N132" t="s">
        <v>565</v>
      </c>
      <c r="O132" t="s">
        <v>165</v>
      </c>
      <c r="P132" t="s">
        <v>383</v>
      </c>
      <c r="Q132" t="s">
        <v>114</v>
      </c>
      <c r="R132" t="s">
        <v>115</v>
      </c>
      <c r="S132" t="s">
        <v>46</v>
      </c>
      <c r="T132" t="s">
        <v>46</v>
      </c>
      <c r="U132" s="4">
        <v>165.86</v>
      </c>
      <c r="V132" t="str">
        <f t="shared" ref="V132:V195" si="2">RIGHT(O132,4)</f>
        <v>SK15</v>
      </c>
      <c r="W132" t="str">
        <f>VLOOKUP(K132,[1]Info!A$1:B$21,2,0)</f>
        <v>Skidder</v>
      </c>
      <c r="X132" t="str">
        <f>IF(M132="109595132","Material de Limpeza-Não Avaliar",IF(AND(K132="F20",M132&lt;&gt;109595132),IF(RIGHT(F132,2)="70","Infraestrutura de Planta","Prédios e Instalações"),IF(K132="FPC",VLOOKUP(F132,[1]Info!$E$2:$F$11,2,0),IF(K132="FGP",VLOOKUP(F132,[1]Info!$E$9:$F$10,2,0),IF(K132="F10",VLOOKUP(F132,[1]Info!$E$2:$F$3,2,0),VLOOKUP(K132,[1]Info!$A$1:$B$21,2,0))))))</f>
        <v>Skidder</v>
      </c>
    </row>
    <row r="133" spans="1:24" x14ac:dyDescent="0.35">
      <c r="A133" t="s">
        <v>41</v>
      </c>
      <c r="B133" t="s">
        <v>54</v>
      </c>
      <c r="C133" t="s">
        <v>55</v>
      </c>
      <c r="D133" t="s">
        <v>94</v>
      </c>
      <c r="E133" t="s">
        <v>52</v>
      </c>
      <c r="F133">
        <v>7098530</v>
      </c>
      <c r="G133" t="s">
        <v>57</v>
      </c>
      <c r="H133" t="s">
        <v>43</v>
      </c>
      <c r="I133" t="s">
        <v>44</v>
      </c>
      <c r="J133" t="s">
        <v>50</v>
      </c>
      <c r="K133" t="s">
        <v>15</v>
      </c>
      <c r="L133" t="s">
        <v>62</v>
      </c>
      <c r="M133" t="s">
        <v>564</v>
      </c>
      <c r="N133" t="s">
        <v>565</v>
      </c>
      <c r="O133" t="s">
        <v>165</v>
      </c>
      <c r="P133" t="s">
        <v>383</v>
      </c>
      <c r="Q133" t="s">
        <v>562</v>
      </c>
      <c r="R133" t="s">
        <v>563</v>
      </c>
      <c r="S133" t="s">
        <v>46</v>
      </c>
      <c r="T133" t="s">
        <v>46</v>
      </c>
      <c r="U133" s="4">
        <v>314.58</v>
      </c>
      <c r="V133" t="str">
        <f t="shared" si="2"/>
        <v>SK15</v>
      </c>
      <c r="W133" t="str">
        <f>VLOOKUP(K133,[1]Info!A$1:B$21,2,0)</f>
        <v>Skidder</v>
      </c>
      <c r="X133" t="str">
        <f>IF(M133="109595132","Material de Limpeza-Não Avaliar",IF(AND(K133="F20",M133&lt;&gt;109595132),IF(RIGHT(F133,2)="70","Infraestrutura de Planta","Prédios e Instalações"),IF(K133="FPC",VLOOKUP(F133,[1]Info!$E$2:$F$11,2,0),IF(K133="FGP",VLOOKUP(F133,[1]Info!$E$9:$F$10,2,0),IF(K133="F10",VLOOKUP(F133,[1]Info!$E$2:$F$3,2,0),VLOOKUP(K133,[1]Info!$A$1:$B$21,2,0))))))</f>
        <v>Skidder</v>
      </c>
    </row>
    <row r="134" spans="1:24" x14ac:dyDescent="0.35">
      <c r="A134" t="s">
        <v>41</v>
      </c>
      <c r="B134" t="s">
        <v>54</v>
      </c>
      <c r="C134" t="s">
        <v>55</v>
      </c>
      <c r="D134" t="s">
        <v>94</v>
      </c>
      <c r="E134" t="s">
        <v>52</v>
      </c>
      <c r="F134">
        <v>7098530</v>
      </c>
      <c r="G134" t="s">
        <v>57</v>
      </c>
      <c r="H134" t="s">
        <v>43</v>
      </c>
      <c r="I134" t="s">
        <v>44</v>
      </c>
      <c r="J134" t="s">
        <v>50</v>
      </c>
      <c r="K134" t="s">
        <v>15</v>
      </c>
      <c r="L134" t="s">
        <v>62</v>
      </c>
      <c r="M134" t="s">
        <v>564</v>
      </c>
      <c r="N134" t="s">
        <v>565</v>
      </c>
      <c r="O134" t="s">
        <v>165</v>
      </c>
      <c r="P134" t="s">
        <v>383</v>
      </c>
      <c r="Q134" t="s">
        <v>566</v>
      </c>
      <c r="R134" t="s">
        <v>567</v>
      </c>
      <c r="S134" t="s">
        <v>46</v>
      </c>
      <c r="T134" t="s">
        <v>46</v>
      </c>
      <c r="U134" s="4">
        <v>234.64</v>
      </c>
      <c r="V134" t="str">
        <f t="shared" si="2"/>
        <v>SK15</v>
      </c>
      <c r="W134" t="str">
        <f>VLOOKUP(K134,[1]Info!A$1:B$21,2,0)</f>
        <v>Skidder</v>
      </c>
      <c r="X134" t="str">
        <f>IF(M134="109595132","Material de Limpeza-Não Avaliar",IF(AND(K134="F20",M134&lt;&gt;109595132),IF(RIGHT(F134,2)="70","Infraestrutura de Planta","Prédios e Instalações"),IF(K134="FPC",VLOOKUP(F134,[1]Info!$E$2:$F$11,2,0),IF(K134="FGP",VLOOKUP(F134,[1]Info!$E$9:$F$10,2,0),IF(K134="F10",VLOOKUP(F134,[1]Info!$E$2:$F$3,2,0),VLOOKUP(K134,[1]Info!$A$1:$B$21,2,0))))))</f>
        <v>Skidder</v>
      </c>
    </row>
    <row r="135" spans="1:24" x14ac:dyDescent="0.35">
      <c r="A135" t="s">
        <v>41</v>
      </c>
      <c r="B135" t="s">
        <v>54</v>
      </c>
      <c r="C135" t="s">
        <v>55</v>
      </c>
      <c r="D135" t="s">
        <v>94</v>
      </c>
      <c r="E135" t="s">
        <v>52</v>
      </c>
      <c r="F135">
        <v>7098530</v>
      </c>
      <c r="G135" t="s">
        <v>57</v>
      </c>
      <c r="H135" t="s">
        <v>43</v>
      </c>
      <c r="I135" t="s">
        <v>44</v>
      </c>
      <c r="J135" t="s">
        <v>50</v>
      </c>
      <c r="K135" t="s">
        <v>15</v>
      </c>
      <c r="L135" t="s">
        <v>62</v>
      </c>
      <c r="M135" t="s">
        <v>564</v>
      </c>
      <c r="N135" t="s">
        <v>565</v>
      </c>
      <c r="O135" t="s">
        <v>165</v>
      </c>
      <c r="P135" t="s">
        <v>383</v>
      </c>
      <c r="Q135" t="s">
        <v>116</v>
      </c>
      <c r="R135" t="s">
        <v>117</v>
      </c>
      <c r="S135" t="s">
        <v>46</v>
      </c>
      <c r="T135" t="s">
        <v>46</v>
      </c>
      <c r="U135" s="4">
        <v>292.05</v>
      </c>
      <c r="V135" t="str">
        <f t="shared" si="2"/>
        <v>SK15</v>
      </c>
      <c r="W135" t="str">
        <f>VLOOKUP(K135,[1]Info!A$1:B$21,2,0)</f>
        <v>Skidder</v>
      </c>
      <c r="X135" t="str">
        <f>IF(M135="109595132","Material de Limpeza-Não Avaliar",IF(AND(K135="F20",M135&lt;&gt;109595132),IF(RIGHT(F135,2)="70","Infraestrutura de Planta","Prédios e Instalações"),IF(K135="FPC",VLOOKUP(F135,[1]Info!$E$2:$F$11,2,0),IF(K135="FGP",VLOOKUP(F135,[1]Info!$E$9:$F$10,2,0),IF(K135="F10",VLOOKUP(F135,[1]Info!$E$2:$F$3,2,0),VLOOKUP(K135,[1]Info!$A$1:$B$21,2,0))))))</f>
        <v>Skidder</v>
      </c>
    </row>
    <row r="136" spans="1:24" x14ac:dyDescent="0.35">
      <c r="A136" t="s">
        <v>41</v>
      </c>
      <c r="B136" t="s">
        <v>54</v>
      </c>
      <c r="C136" t="s">
        <v>55</v>
      </c>
      <c r="D136" t="s">
        <v>94</v>
      </c>
      <c r="E136" t="s">
        <v>52</v>
      </c>
      <c r="F136">
        <v>7098530</v>
      </c>
      <c r="G136" t="s">
        <v>57</v>
      </c>
      <c r="H136" t="s">
        <v>43</v>
      </c>
      <c r="I136" t="s">
        <v>44</v>
      </c>
      <c r="J136" t="s">
        <v>50</v>
      </c>
      <c r="K136" t="s">
        <v>15</v>
      </c>
      <c r="L136" t="s">
        <v>62</v>
      </c>
      <c r="M136" t="s">
        <v>568</v>
      </c>
      <c r="N136" t="s">
        <v>569</v>
      </c>
      <c r="O136" t="s">
        <v>141</v>
      </c>
      <c r="P136" t="s">
        <v>383</v>
      </c>
      <c r="Q136" t="s">
        <v>110</v>
      </c>
      <c r="R136" t="s">
        <v>111</v>
      </c>
      <c r="S136" t="s">
        <v>46</v>
      </c>
      <c r="T136" t="s">
        <v>46</v>
      </c>
      <c r="U136" s="4">
        <v>338.99</v>
      </c>
      <c r="V136" t="str">
        <f t="shared" si="2"/>
        <v>SK16</v>
      </c>
      <c r="W136" t="str">
        <f>VLOOKUP(K136,[1]Info!A$1:B$21,2,0)</f>
        <v>Skidder</v>
      </c>
      <c r="X136" t="str">
        <f>IF(M136="109595132","Material de Limpeza-Não Avaliar",IF(AND(K136="F20",M136&lt;&gt;109595132),IF(RIGHT(F136,2)="70","Infraestrutura de Planta","Prédios e Instalações"),IF(K136="FPC",VLOOKUP(F136,[1]Info!$E$2:$F$11,2,0),IF(K136="FGP",VLOOKUP(F136,[1]Info!$E$9:$F$10,2,0),IF(K136="F10",VLOOKUP(F136,[1]Info!$E$2:$F$3,2,0),VLOOKUP(K136,[1]Info!$A$1:$B$21,2,0))))))</f>
        <v>Skidder</v>
      </c>
    </row>
    <row r="137" spans="1:24" x14ac:dyDescent="0.35">
      <c r="A137" t="s">
        <v>41</v>
      </c>
      <c r="B137" t="s">
        <v>54</v>
      </c>
      <c r="C137" t="s">
        <v>55</v>
      </c>
      <c r="D137" t="s">
        <v>94</v>
      </c>
      <c r="E137" t="s">
        <v>52</v>
      </c>
      <c r="F137">
        <v>7098530</v>
      </c>
      <c r="G137" t="s">
        <v>57</v>
      </c>
      <c r="H137" t="s">
        <v>43</v>
      </c>
      <c r="I137" t="s">
        <v>44</v>
      </c>
      <c r="J137" t="s">
        <v>50</v>
      </c>
      <c r="K137" t="s">
        <v>15</v>
      </c>
      <c r="L137" t="s">
        <v>62</v>
      </c>
      <c r="M137" t="s">
        <v>568</v>
      </c>
      <c r="N137" t="s">
        <v>569</v>
      </c>
      <c r="O137" t="s">
        <v>141</v>
      </c>
      <c r="P137" t="s">
        <v>383</v>
      </c>
      <c r="Q137" t="s">
        <v>114</v>
      </c>
      <c r="R137" t="s">
        <v>115</v>
      </c>
      <c r="S137" t="s">
        <v>46</v>
      </c>
      <c r="T137" t="s">
        <v>46</v>
      </c>
      <c r="U137" s="4">
        <v>165.86</v>
      </c>
      <c r="V137" t="str">
        <f t="shared" si="2"/>
        <v>SK16</v>
      </c>
      <c r="W137" t="str">
        <f>VLOOKUP(K137,[1]Info!A$1:B$21,2,0)</f>
        <v>Skidder</v>
      </c>
      <c r="X137" t="str">
        <f>IF(M137="109595132","Material de Limpeza-Não Avaliar",IF(AND(K137="F20",M137&lt;&gt;109595132),IF(RIGHT(F137,2)="70","Infraestrutura de Planta","Prédios e Instalações"),IF(K137="FPC",VLOOKUP(F137,[1]Info!$E$2:$F$11,2,0),IF(K137="FGP",VLOOKUP(F137,[1]Info!$E$9:$F$10,2,0),IF(K137="F10",VLOOKUP(F137,[1]Info!$E$2:$F$3,2,0),VLOOKUP(K137,[1]Info!$A$1:$B$21,2,0))))))</f>
        <v>Skidder</v>
      </c>
    </row>
    <row r="138" spans="1:24" x14ac:dyDescent="0.35">
      <c r="A138" t="s">
        <v>41</v>
      </c>
      <c r="B138" t="s">
        <v>54</v>
      </c>
      <c r="C138" t="s">
        <v>55</v>
      </c>
      <c r="D138" t="s">
        <v>94</v>
      </c>
      <c r="E138" t="s">
        <v>52</v>
      </c>
      <c r="F138">
        <v>7098530</v>
      </c>
      <c r="G138" t="s">
        <v>57</v>
      </c>
      <c r="H138" t="s">
        <v>43</v>
      </c>
      <c r="I138" t="s">
        <v>44</v>
      </c>
      <c r="J138" t="s">
        <v>50</v>
      </c>
      <c r="K138" t="s">
        <v>15</v>
      </c>
      <c r="L138" t="s">
        <v>62</v>
      </c>
      <c r="M138" t="s">
        <v>568</v>
      </c>
      <c r="N138" t="s">
        <v>569</v>
      </c>
      <c r="O138" t="s">
        <v>141</v>
      </c>
      <c r="P138" t="s">
        <v>383</v>
      </c>
      <c r="Q138" t="s">
        <v>562</v>
      </c>
      <c r="R138" t="s">
        <v>563</v>
      </c>
      <c r="S138" t="s">
        <v>46</v>
      </c>
      <c r="T138" t="s">
        <v>46</v>
      </c>
      <c r="U138" s="4">
        <v>314.58</v>
      </c>
      <c r="V138" t="str">
        <f t="shared" si="2"/>
        <v>SK16</v>
      </c>
      <c r="W138" t="str">
        <f>VLOOKUP(K138,[1]Info!A$1:B$21,2,0)</f>
        <v>Skidder</v>
      </c>
      <c r="X138" t="str">
        <f>IF(M138="109595132","Material de Limpeza-Não Avaliar",IF(AND(K138="F20",M138&lt;&gt;109595132),IF(RIGHT(F138,2)="70","Infraestrutura de Planta","Prédios e Instalações"),IF(K138="FPC",VLOOKUP(F138,[1]Info!$E$2:$F$11,2,0),IF(K138="FGP",VLOOKUP(F138,[1]Info!$E$9:$F$10,2,0),IF(K138="F10",VLOOKUP(F138,[1]Info!$E$2:$F$3,2,0),VLOOKUP(K138,[1]Info!$A$1:$B$21,2,0))))))</f>
        <v>Skidder</v>
      </c>
    </row>
    <row r="139" spans="1:24" x14ac:dyDescent="0.35">
      <c r="A139" t="s">
        <v>41</v>
      </c>
      <c r="B139" t="s">
        <v>54</v>
      </c>
      <c r="C139" t="s">
        <v>55</v>
      </c>
      <c r="D139" t="s">
        <v>94</v>
      </c>
      <c r="E139" t="s">
        <v>52</v>
      </c>
      <c r="F139">
        <v>7098530</v>
      </c>
      <c r="G139" t="s">
        <v>57</v>
      </c>
      <c r="H139" t="s">
        <v>43</v>
      </c>
      <c r="I139" t="s">
        <v>44</v>
      </c>
      <c r="J139" t="s">
        <v>50</v>
      </c>
      <c r="K139" t="s">
        <v>15</v>
      </c>
      <c r="L139" t="s">
        <v>62</v>
      </c>
      <c r="M139" t="s">
        <v>568</v>
      </c>
      <c r="N139" t="s">
        <v>569</v>
      </c>
      <c r="O139" t="s">
        <v>141</v>
      </c>
      <c r="P139" t="s">
        <v>383</v>
      </c>
      <c r="Q139" t="s">
        <v>566</v>
      </c>
      <c r="R139" t="s">
        <v>567</v>
      </c>
      <c r="S139" t="s">
        <v>46</v>
      </c>
      <c r="T139" t="s">
        <v>46</v>
      </c>
      <c r="U139" s="4">
        <v>234.64</v>
      </c>
      <c r="V139" t="str">
        <f t="shared" si="2"/>
        <v>SK16</v>
      </c>
      <c r="W139" t="str">
        <f>VLOOKUP(K139,[1]Info!A$1:B$21,2,0)</f>
        <v>Skidder</v>
      </c>
      <c r="X139" t="str">
        <f>IF(M139="109595132","Material de Limpeza-Não Avaliar",IF(AND(K139="F20",M139&lt;&gt;109595132),IF(RIGHT(F139,2)="70","Infraestrutura de Planta","Prédios e Instalações"),IF(K139="FPC",VLOOKUP(F139,[1]Info!$E$2:$F$11,2,0),IF(K139="FGP",VLOOKUP(F139,[1]Info!$E$9:$F$10,2,0),IF(K139="F10",VLOOKUP(F139,[1]Info!$E$2:$F$3,2,0),VLOOKUP(K139,[1]Info!$A$1:$B$21,2,0))))))</f>
        <v>Skidder</v>
      </c>
    </row>
    <row r="140" spans="1:24" x14ac:dyDescent="0.35">
      <c r="A140" t="s">
        <v>41</v>
      </c>
      <c r="B140" t="s">
        <v>54</v>
      </c>
      <c r="C140" t="s">
        <v>55</v>
      </c>
      <c r="D140" t="s">
        <v>94</v>
      </c>
      <c r="E140" t="s">
        <v>52</v>
      </c>
      <c r="F140">
        <v>7098530</v>
      </c>
      <c r="G140" t="s">
        <v>57</v>
      </c>
      <c r="H140" t="s">
        <v>43</v>
      </c>
      <c r="I140" t="s">
        <v>44</v>
      </c>
      <c r="J140" t="s">
        <v>50</v>
      </c>
      <c r="K140" t="s">
        <v>15</v>
      </c>
      <c r="L140" t="s">
        <v>62</v>
      </c>
      <c r="M140" t="s">
        <v>568</v>
      </c>
      <c r="N140" t="s">
        <v>569</v>
      </c>
      <c r="O140" t="s">
        <v>141</v>
      </c>
      <c r="P140" t="s">
        <v>383</v>
      </c>
      <c r="Q140" t="s">
        <v>116</v>
      </c>
      <c r="R140" t="s">
        <v>117</v>
      </c>
      <c r="S140" t="s">
        <v>46</v>
      </c>
      <c r="T140" t="s">
        <v>46</v>
      </c>
      <c r="U140" s="4">
        <v>292.05</v>
      </c>
      <c r="V140" t="str">
        <f t="shared" si="2"/>
        <v>SK16</v>
      </c>
      <c r="W140" t="str">
        <f>VLOOKUP(K140,[1]Info!A$1:B$21,2,0)</f>
        <v>Skidder</v>
      </c>
      <c r="X140" t="str">
        <f>IF(M140="109595132","Material de Limpeza-Não Avaliar",IF(AND(K140="F20",M140&lt;&gt;109595132),IF(RIGHT(F140,2)="70","Infraestrutura de Planta","Prédios e Instalações"),IF(K140="FPC",VLOOKUP(F140,[1]Info!$E$2:$F$11,2,0),IF(K140="FGP",VLOOKUP(F140,[1]Info!$E$9:$F$10,2,0),IF(K140="F10",VLOOKUP(F140,[1]Info!$E$2:$F$3,2,0),VLOOKUP(K140,[1]Info!$A$1:$B$21,2,0))))))</f>
        <v>Skidder</v>
      </c>
    </row>
    <row r="141" spans="1:24" x14ac:dyDescent="0.35">
      <c r="A141" t="s">
        <v>41</v>
      </c>
      <c r="B141" t="s">
        <v>54</v>
      </c>
      <c r="C141" t="s">
        <v>55</v>
      </c>
      <c r="D141" t="s">
        <v>94</v>
      </c>
      <c r="E141" t="s">
        <v>52</v>
      </c>
      <c r="F141">
        <v>7098530</v>
      </c>
      <c r="G141" t="s">
        <v>57</v>
      </c>
      <c r="H141" t="s">
        <v>43</v>
      </c>
      <c r="I141" t="s">
        <v>44</v>
      </c>
      <c r="J141" t="s">
        <v>50</v>
      </c>
      <c r="K141" t="s">
        <v>15</v>
      </c>
      <c r="L141" t="s">
        <v>62</v>
      </c>
      <c r="M141" t="s">
        <v>570</v>
      </c>
      <c r="N141" t="s">
        <v>571</v>
      </c>
      <c r="O141" t="s">
        <v>210</v>
      </c>
      <c r="P141" t="s">
        <v>383</v>
      </c>
      <c r="Q141" t="s">
        <v>110</v>
      </c>
      <c r="R141" t="s">
        <v>111</v>
      </c>
      <c r="S141" t="s">
        <v>46</v>
      </c>
      <c r="T141" t="s">
        <v>46</v>
      </c>
      <c r="U141" s="4">
        <v>338.99</v>
      </c>
      <c r="V141" t="str">
        <f t="shared" si="2"/>
        <v>SK17</v>
      </c>
      <c r="W141" t="str">
        <f>VLOOKUP(K141,[1]Info!A$1:B$21,2,0)</f>
        <v>Skidder</v>
      </c>
      <c r="X141" t="str">
        <f>IF(M141="109595132","Material de Limpeza-Não Avaliar",IF(AND(K141="F20",M141&lt;&gt;109595132),IF(RIGHT(F141,2)="70","Infraestrutura de Planta","Prédios e Instalações"),IF(K141="FPC",VLOOKUP(F141,[1]Info!$E$2:$F$11,2,0),IF(K141="FGP",VLOOKUP(F141,[1]Info!$E$9:$F$10,2,0),IF(K141="F10",VLOOKUP(F141,[1]Info!$E$2:$F$3,2,0),VLOOKUP(K141,[1]Info!$A$1:$B$21,2,0))))))</f>
        <v>Skidder</v>
      </c>
    </row>
    <row r="142" spans="1:24" x14ac:dyDescent="0.35">
      <c r="A142" t="s">
        <v>41</v>
      </c>
      <c r="B142" t="s">
        <v>54</v>
      </c>
      <c r="C142" t="s">
        <v>55</v>
      </c>
      <c r="D142" t="s">
        <v>94</v>
      </c>
      <c r="E142" t="s">
        <v>52</v>
      </c>
      <c r="F142">
        <v>7098530</v>
      </c>
      <c r="G142" t="s">
        <v>57</v>
      </c>
      <c r="H142" t="s">
        <v>43</v>
      </c>
      <c r="I142" t="s">
        <v>44</v>
      </c>
      <c r="J142" t="s">
        <v>50</v>
      </c>
      <c r="K142" t="s">
        <v>15</v>
      </c>
      <c r="L142" t="s">
        <v>62</v>
      </c>
      <c r="M142" t="s">
        <v>570</v>
      </c>
      <c r="N142" t="s">
        <v>571</v>
      </c>
      <c r="O142" t="s">
        <v>210</v>
      </c>
      <c r="P142" t="s">
        <v>383</v>
      </c>
      <c r="Q142" t="s">
        <v>114</v>
      </c>
      <c r="R142" t="s">
        <v>115</v>
      </c>
      <c r="S142" t="s">
        <v>46</v>
      </c>
      <c r="T142" t="s">
        <v>46</v>
      </c>
      <c r="U142" s="4">
        <v>165.86</v>
      </c>
      <c r="V142" t="str">
        <f t="shared" si="2"/>
        <v>SK17</v>
      </c>
      <c r="W142" t="str">
        <f>VLOOKUP(K142,[1]Info!A$1:B$21,2,0)</f>
        <v>Skidder</v>
      </c>
      <c r="X142" t="str">
        <f>IF(M142="109595132","Material de Limpeza-Não Avaliar",IF(AND(K142="F20",M142&lt;&gt;109595132),IF(RIGHT(F142,2)="70","Infraestrutura de Planta","Prédios e Instalações"),IF(K142="FPC",VLOOKUP(F142,[1]Info!$E$2:$F$11,2,0),IF(K142="FGP",VLOOKUP(F142,[1]Info!$E$9:$F$10,2,0),IF(K142="F10",VLOOKUP(F142,[1]Info!$E$2:$F$3,2,0),VLOOKUP(K142,[1]Info!$A$1:$B$21,2,0))))))</f>
        <v>Skidder</v>
      </c>
    </row>
    <row r="143" spans="1:24" x14ac:dyDescent="0.35">
      <c r="A143" t="s">
        <v>41</v>
      </c>
      <c r="B143" t="s">
        <v>54</v>
      </c>
      <c r="C143" t="s">
        <v>55</v>
      </c>
      <c r="D143" t="s">
        <v>94</v>
      </c>
      <c r="E143" t="s">
        <v>52</v>
      </c>
      <c r="F143">
        <v>7098530</v>
      </c>
      <c r="G143" t="s">
        <v>57</v>
      </c>
      <c r="H143" t="s">
        <v>43</v>
      </c>
      <c r="I143" t="s">
        <v>44</v>
      </c>
      <c r="J143" t="s">
        <v>50</v>
      </c>
      <c r="K143" t="s">
        <v>15</v>
      </c>
      <c r="L143" t="s">
        <v>62</v>
      </c>
      <c r="M143" t="s">
        <v>570</v>
      </c>
      <c r="N143" t="s">
        <v>571</v>
      </c>
      <c r="O143" t="s">
        <v>210</v>
      </c>
      <c r="P143" t="s">
        <v>383</v>
      </c>
      <c r="Q143" t="s">
        <v>562</v>
      </c>
      <c r="R143" t="s">
        <v>563</v>
      </c>
      <c r="S143" t="s">
        <v>46</v>
      </c>
      <c r="T143" t="s">
        <v>46</v>
      </c>
      <c r="U143" s="4">
        <v>314.58</v>
      </c>
      <c r="V143" t="str">
        <f t="shared" si="2"/>
        <v>SK17</v>
      </c>
      <c r="W143" t="str">
        <f>VLOOKUP(K143,[1]Info!A$1:B$21,2,0)</f>
        <v>Skidder</v>
      </c>
      <c r="X143" t="str">
        <f>IF(M143="109595132","Material de Limpeza-Não Avaliar",IF(AND(K143="F20",M143&lt;&gt;109595132),IF(RIGHT(F143,2)="70","Infraestrutura de Planta","Prédios e Instalações"),IF(K143="FPC",VLOOKUP(F143,[1]Info!$E$2:$F$11,2,0),IF(K143="FGP",VLOOKUP(F143,[1]Info!$E$9:$F$10,2,0),IF(K143="F10",VLOOKUP(F143,[1]Info!$E$2:$F$3,2,0),VLOOKUP(K143,[1]Info!$A$1:$B$21,2,0))))))</f>
        <v>Skidder</v>
      </c>
    </row>
    <row r="144" spans="1:24" x14ac:dyDescent="0.35">
      <c r="A144" t="s">
        <v>41</v>
      </c>
      <c r="B144" t="s">
        <v>54</v>
      </c>
      <c r="C144" t="s">
        <v>55</v>
      </c>
      <c r="D144" t="s">
        <v>94</v>
      </c>
      <c r="E144" t="s">
        <v>52</v>
      </c>
      <c r="F144">
        <v>7098530</v>
      </c>
      <c r="G144" t="s">
        <v>57</v>
      </c>
      <c r="H144" t="s">
        <v>43</v>
      </c>
      <c r="I144" t="s">
        <v>44</v>
      </c>
      <c r="J144" t="s">
        <v>50</v>
      </c>
      <c r="K144" t="s">
        <v>15</v>
      </c>
      <c r="L144" t="s">
        <v>62</v>
      </c>
      <c r="M144" t="s">
        <v>570</v>
      </c>
      <c r="N144" t="s">
        <v>571</v>
      </c>
      <c r="O144" t="s">
        <v>210</v>
      </c>
      <c r="P144" t="s">
        <v>383</v>
      </c>
      <c r="Q144" t="s">
        <v>116</v>
      </c>
      <c r="R144" t="s">
        <v>117</v>
      </c>
      <c r="S144" t="s">
        <v>46</v>
      </c>
      <c r="T144" t="s">
        <v>46</v>
      </c>
      <c r="U144" s="4">
        <v>292.05</v>
      </c>
      <c r="V144" t="str">
        <f t="shared" si="2"/>
        <v>SK17</v>
      </c>
      <c r="W144" t="str">
        <f>VLOOKUP(K144,[1]Info!A$1:B$21,2,0)</f>
        <v>Skidder</v>
      </c>
      <c r="X144" t="str">
        <f>IF(M144="109595132","Material de Limpeza-Não Avaliar",IF(AND(K144="F20",M144&lt;&gt;109595132),IF(RIGHT(F144,2)="70","Infraestrutura de Planta","Prédios e Instalações"),IF(K144="FPC",VLOOKUP(F144,[1]Info!$E$2:$F$11,2,0),IF(K144="FGP",VLOOKUP(F144,[1]Info!$E$9:$F$10,2,0),IF(K144="F10",VLOOKUP(F144,[1]Info!$E$2:$F$3,2,0),VLOOKUP(K144,[1]Info!$A$1:$B$21,2,0))))))</f>
        <v>Skidder</v>
      </c>
    </row>
    <row r="145" spans="1:24" x14ac:dyDescent="0.35">
      <c r="A145" t="s">
        <v>41</v>
      </c>
      <c r="B145" t="s">
        <v>54</v>
      </c>
      <c r="C145" t="s">
        <v>55</v>
      </c>
      <c r="D145" t="s">
        <v>94</v>
      </c>
      <c r="E145" t="s">
        <v>52</v>
      </c>
      <c r="F145">
        <v>7098530</v>
      </c>
      <c r="G145" t="s">
        <v>57</v>
      </c>
      <c r="H145" t="s">
        <v>43</v>
      </c>
      <c r="I145" t="s">
        <v>44</v>
      </c>
      <c r="J145" t="s">
        <v>50</v>
      </c>
      <c r="K145" t="s">
        <v>15</v>
      </c>
      <c r="L145" t="s">
        <v>51</v>
      </c>
      <c r="M145" t="s">
        <v>1369</v>
      </c>
      <c r="N145" t="s">
        <v>1370</v>
      </c>
      <c r="O145" t="s">
        <v>165</v>
      </c>
      <c r="P145" t="s">
        <v>1292</v>
      </c>
      <c r="Q145" t="s">
        <v>46</v>
      </c>
      <c r="R145" t="s">
        <v>47</v>
      </c>
      <c r="S145" t="s">
        <v>46</v>
      </c>
      <c r="T145" t="s">
        <v>46</v>
      </c>
      <c r="U145" s="4">
        <v>5421.42</v>
      </c>
      <c r="V145" t="str">
        <f t="shared" si="2"/>
        <v>SK15</v>
      </c>
      <c r="W145" t="str">
        <f>VLOOKUP(K145,[1]Info!A$1:B$21,2,0)</f>
        <v>Skidder</v>
      </c>
      <c r="X145" t="str">
        <f>IF(M145="109595132","Material de Limpeza-Não Avaliar",IF(AND(K145="F20",M145&lt;&gt;109595132),IF(RIGHT(F145,2)="70","Infraestrutura de Planta","Prédios e Instalações"),IF(K145="FPC",VLOOKUP(F145,[1]Info!$E$2:$F$11,2,0),IF(K145="FGP",VLOOKUP(F145,[1]Info!$E$9:$F$10,2,0),IF(K145="F10",VLOOKUP(F145,[1]Info!$E$2:$F$3,2,0),VLOOKUP(K145,[1]Info!$A$1:$B$21,2,0))))))</f>
        <v>Skidder</v>
      </c>
    </row>
    <row r="146" spans="1:24" x14ac:dyDescent="0.35">
      <c r="A146" t="s">
        <v>41</v>
      </c>
      <c r="B146" t="s">
        <v>54</v>
      </c>
      <c r="C146" t="s">
        <v>55</v>
      </c>
      <c r="D146" t="s">
        <v>94</v>
      </c>
      <c r="E146" t="s">
        <v>52</v>
      </c>
      <c r="F146">
        <v>7098530</v>
      </c>
      <c r="G146" t="s">
        <v>57</v>
      </c>
      <c r="H146" t="s">
        <v>43</v>
      </c>
      <c r="I146" t="s">
        <v>44</v>
      </c>
      <c r="J146" t="s">
        <v>50</v>
      </c>
      <c r="K146" t="s">
        <v>15</v>
      </c>
      <c r="L146" t="s">
        <v>51</v>
      </c>
      <c r="M146" t="s">
        <v>1371</v>
      </c>
      <c r="N146" t="s">
        <v>1372</v>
      </c>
      <c r="O146" t="s">
        <v>141</v>
      </c>
      <c r="P146" t="s">
        <v>1292</v>
      </c>
      <c r="Q146" t="s">
        <v>46</v>
      </c>
      <c r="R146" t="s">
        <v>47</v>
      </c>
      <c r="S146" t="s">
        <v>46</v>
      </c>
      <c r="T146" t="s">
        <v>46</v>
      </c>
      <c r="U146" s="4">
        <v>1193.8900000000001</v>
      </c>
      <c r="V146" t="str">
        <f t="shared" si="2"/>
        <v>SK16</v>
      </c>
      <c r="W146" t="str">
        <f>VLOOKUP(K146,[1]Info!A$1:B$21,2,0)</f>
        <v>Skidder</v>
      </c>
      <c r="X146" t="str">
        <f>IF(M146="109595132","Material de Limpeza-Não Avaliar",IF(AND(K146="F20",M146&lt;&gt;109595132),IF(RIGHT(F146,2)="70","Infraestrutura de Planta","Prédios e Instalações"),IF(K146="FPC",VLOOKUP(F146,[1]Info!$E$2:$F$11,2,0),IF(K146="FGP",VLOOKUP(F146,[1]Info!$E$9:$F$10,2,0),IF(K146="F10",VLOOKUP(F146,[1]Info!$E$2:$F$3,2,0),VLOOKUP(K146,[1]Info!$A$1:$B$21,2,0))))))</f>
        <v>Skidder</v>
      </c>
    </row>
    <row r="147" spans="1:24" x14ac:dyDescent="0.35">
      <c r="A147" t="s">
        <v>41</v>
      </c>
      <c r="B147" t="s">
        <v>54</v>
      </c>
      <c r="C147" t="s">
        <v>55</v>
      </c>
      <c r="D147" t="s">
        <v>94</v>
      </c>
      <c r="E147" t="s">
        <v>52</v>
      </c>
      <c r="F147">
        <v>7098530</v>
      </c>
      <c r="G147" t="s">
        <v>57</v>
      </c>
      <c r="H147" t="s">
        <v>43</v>
      </c>
      <c r="I147" t="s">
        <v>44</v>
      </c>
      <c r="J147" t="s">
        <v>50</v>
      </c>
      <c r="K147" t="s">
        <v>15</v>
      </c>
      <c r="L147" t="s">
        <v>51</v>
      </c>
      <c r="M147" t="s">
        <v>1373</v>
      </c>
      <c r="N147" t="s">
        <v>1374</v>
      </c>
      <c r="O147" t="s">
        <v>165</v>
      </c>
      <c r="P147" t="s">
        <v>1292</v>
      </c>
      <c r="Q147" t="s">
        <v>46</v>
      </c>
      <c r="R147" t="s">
        <v>47</v>
      </c>
      <c r="S147" t="s">
        <v>46</v>
      </c>
      <c r="T147" t="s">
        <v>46</v>
      </c>
      <c r="U147" s="4">
        <v>20</v>
      </c>
      <c r="V147" t="str">
        <f t="shared" si="2"/>
        <v>SK15</v>
      </c>
      <c r="W147" t="str">
        <f>VLOOKUP(K147,[1]Info!A$1:B$21,2,0)</f>
        <v>Skidder</v>
      </c>
      <c r="X147" t="str">
        <f>IF(M147="109595132","Material de Limpeza-Não Avaliar",IF(AND(K147="F20",M147&lt;&gt;109595132),IF(RIGHT(F147,2)="70","Infraestrutura de Planta","Prédios e Instalações"),IF(K147="FPC",VLOOKUP(F147,[1]Info!$E$2:$F$11,2,0),IF(K147="FGP",VLOOKUP(F147,[1]Info!$E$9:$F$10,2,0),IF(K147="F10",VLOOKUP(F147,[1]Info!$E$2:$F$3,2,0),VLOOKUP(K147,[1]Info!$A$1:$B$21,2,0))))))</f>
        <v>Skidder</v>
      </c>
    </row>
    <row r="148" spans="1:24" x14ac:dyDescent="0.35">
      <c r="A148" t="s">
        <v>41</v>
      </c>
      <c r="B148" t="s">
        <v>54</v>
      </c>
      <c r="C148" t="s">
        <v>55</v>
      </c>
      <c r="D148" t="s">
        <v>94</v>
      </c>
      <c r="E148" t="s">
        <v>52</v>
      </c>
      <c r="F148">
        <v>7098530</v>
      </c>
      <c r="G148" t="s">
        <v>57</v>
      </c>
      <c r="H148" t="s">
        <v>43</v>
      </c>
      <c r="I148" t="s">
        <v>44</v>
      </c>
      <c r="J148" t="s">
        <v>50</v>
      </c>
      <c r="K148" t="s">
        <v>15</v>
      </c>
      <c r="L148" t="s">
        <v>51</v>
      </c>
      <c r="M148" t="s">
        <v>1375</v>
      </c>
      <c r="N148" t="s">
        <v>1376</v>
      </c>
      <c r="O148" t="s">
        <v>210</v>
      </c>
      <c r="P148" t="s">
        <v>1292</v>
      </c>
      <c r="Q148" t="s">
        <v>46</v>
      </c>
      <c r="R148" t="s">
        <v>47</v>
      </c>
      <c r="S148" t="s">
        <v>46</v>
      </c>
      <c r="T148" t="s">
        <v>46</v>
      </c>
      <c r="U148" s="4">
        <v>3174.49</v>
      </c>
      <c r="V148" t="str">
        <f t="shared" si="2"/>
        <v>SK17</v>
      </c>
      <c r="W148" t="str">
        <f>VLOOKUP(K148,[1]Info!A$1:B$21,2,0)</f>
        <v>Skidder</v>
      </c>
      <c r="X148" t="str">
        <f>IF(M148="109595132","Material de Limpeza-Não Avaliar",IF(AND(K148="F20",M148&lt;&gt;109595132),IF(RIGHT(F148,2)="70","Infraestrutura de Planta","Prédios e Instalações"),IF(K148="FPC",VLOOKUP(F148,[1]Info!$E$2:$F$11,2,0),IF(K148="FGP",VLOOKUP(F148,[1]Info!$E$9:$F$10,2,0),IF(K148="F10",VLOOKUP(F148,[1]Info!$E$2:$F$3,2,0),VLOOKUP(K148,[1]Info!$A$1:$B$21,2,0))))))</f>
        <v>Skidder</v>
      </c>
    </row>
    <row r="149" spans="1:24" x14ac:dyDescent="0.35">
      <c r="A149" t="s">
        <v>41</v>
      </c>
      <c r="B149" t="s">
        <v>54</v>
      </c>
      <c r="C149" t="s">
        <v>55</v>
      </c>
      <c r="D149" t="s">
        <v>94</v>
      </c>
      <c r="E149" t="s">
        <v>52</v>
      </c>
      <c r="F149">
        <v>7098530</v>
      </c>
      <c r="G149" t="s">
        <v>57</v>
      </c>
      <c r="H149" t="s">
        <v>43</v>
      </c>
      <c r="I149" t="s">
        <v>44</v>
      </c>
      <c r="J149" t="s">
        <v>50</v>
      </c>
      <c r="K149" t="s">
        <v>15</v>
      </c>
      <c r="L149" t="s">
        <v>51</v>
      </c>
      <c r="M149" t="s">
        <v>1377</v>
      </c>
      <c r="N149" t="s">
        <v>1378</v>
      </c>
      <c r="O149" t="s">
        <v>165</v>
      </c>
      <c r="P149" t="s">
        <v>1292</v>
      </c>
      <c r="Q149" t="s">
        <v>46</v>
      </c>
      <c r="R149" t="s">
        <v>47</v>
      </c>
      <c r="S149" t="s">
        <v>46</v>
      </c>
      <c r="T149" t="s">
        <v>46</v>
      </c>
      <c r="U149" s="4">
        <v>1439.45</v>
      </c>
      <c r="V149" t="str">
        <f t="shared" si="2"/>
        <v>SK15</v>
      </c>
      <c r="W149" t="str">
        <f>VLOOKUP(K149,[1]Info!A$1:B$21,2,0)</f>
        <v>Skidder</v>
      </c>
      <c r="X149" t="str">
        <f>IF(M149="109595132","Material de Limpeza-Não Avaliar",IF(AND(K149="F20",M149&lt;&gt;109595132),IF(RIGHT(F149,2)="70","Infraestrutura de Planta","Prédios e Instalações"),IF(K149="FPC",VLOOKUP(F149,[1]Info!$E$2:$F$11,2,0),IF(K149="FGP",VLOOKUP(F149,[1]Info!$E$9:$F$10,2,0),IF(K149="F10",VLOOKUP(F149,[1]Info!$E$2:$F$3,2,0),VLOOKUP(K149,[1]Info!$A$1:$B$21,2,0))))))</f>
        <v>Skidder</v>
      </c>
    </row>
    <row r="150" spans="1:24" x14ac:dyDescent="0.35">
      <c r="A150" t="s">
        <v>41</v>
      </c>
      <c r="B150" t="s">
        <v>54</v>
      </c>
      <c r="C150" t="s">
        <v>55</v>
      </c>
      <c r="D150" t="s">
        <v>94</v>
      </c>
      <c r="E150" t="s">
        <v>52</v>
      </c>
      <c r="F150">
        <v>7098530</v>
      </c>
      <c r="G150" t="s">
        <v>57</v>
      </c>
      <c r="H150" t="s">
        <v>43</v>
      </c>
      <c r="I150" t="s">
        <v>44</v>
      </c>
      <c r="J150" t="s">
        <v>50</v>
      </c>
      <c r="K150" t="s">
        <v>15</v>
      </c>
      <c r="L150" t="s">
        <v>51</v>
      </c>
      <c r="M150" t="s">
        <v>259</v>
      </c>
      <c r="N150" t="s">
        <v>260</v>
      </c>
      <c r="O150" t="s">
        <v>165</v>
      </c>
      <c r="P150" t="s">
        <v>1292</v>
      </c>
      <c r="Q150" t="s">
        <v>46</v>
      </c>
      <c r="R150" t="s">
        <v>47</v>
      </c>
      <c r="S150" t="s">
        <v>46</v>
      </c>
      <c r="T150" t="s">
        <v>46</v>
      </c>
      <c r="U150" s="4">
        <v>2313.46</v>
      </c>
      <c r="V150" t="str">
        <f t="shared" si="2"/>
        <v>SK15</v>
      </c>
      <c r="W150" t="str">
        <f>VLOOKUP(K150,[1]Info!A$1:B$21,2,0)</f>
        <v>Skidder</v>
      </c>
      <c r="X150" t="str">
        <f>IF(M150="109595132","Material de Limpeza-Não Avaliar",IF(AND(K150="F20",M150&lt;&gt;109595132),IF(RIGHT(F150,2)="70","Infraestrutura de Planta","Prédios e Instalações"),IF(K150="FPC",VLOOKUP(F150,[1]Info!$E$2:$F$11,2,0),IF(K150="FGP",VLOOKUP(F150,[1]Info!$E$9:$F$10,2,0),IF(K150="F10",VLOOKUP(F150,[1]Info!$E$2:$F$3,2,0),VLOOKUP(K150,[1]Info!$A$1:$B$21,2,0))))))</f>
        <v>Skidder</v>
      </c>
    </row>
    <row r="151" spans="1:24" x14ac:dyDescent="0.35">
      <c r="A151" t="s">
        <v>41</v>
      </c>
      <c r="B151" t="s">
        <v>54</v>
      </c>
      <c r="C151" t="s">
        <v>55</v>
      </c>
      <c r="D151" t="s">
        <v>94</v>
      </c>
      <c r="E151" t="s">
        <v>52</v>
      </c>
      <c r="F151">
        <v>7098530</v>
      </c>
      <c r="G151" t="s">
        <v>57</v>
      </c>
      <c r="H151" t="s">
        <v>43</v>
      </c>
      <c r="I151" t="s">
        <v>44</v>
      </c>
      <c r="J151" t="s">
        <v>50</v>
      </c>
      <c r="K151" t="s">
        <v>15</v>
      </c>
      <c r="L151" t="s">
        <v>51</v>
      </c>
      <c r="M151" t="s">
        <v>1379</v>
      </c>
      <c r="N151" t="s">
        <v>1380</v>
      </c>
      <c r="O151" t="s">
        <v>99</v>
      </c>
      <c r="P151" t="s">
        <v>1292</v>
      </c>
      <c r="Q151" t="s">
        <v>46</v>
      </c>
      <c r="R151" t="s">
        <v>47</v>
      </c>
      <c r="S151" t="s">
        <v>46</v>
      </c>
      <c r="T151" t="s">
        <v>46</v>
      </c>
      <c r="U151" s="4">
        <v>17707.36</v>
      </c>
      <c r="V151" t="str">
        <f t="shared" si="2"/>
        <v>SK14</v>
      </c>
      <c r="W151" t="str">
        <f>VLOOKUP(K151,[1]Info!A$1:B$21,2,0)</f>
        <v>Skidder</v>
      </c>
      <c r="X151" t="str">
        <f>IF(M151="109595132","Material de Limpeza-Não Avaliar",IF(AND(K151="F20",M151&lt;&gt;109595132),IF(RIGHT(F151,2)="70","Infraestrutura de Planta","Prédios e Instalações"),IF(K151="FPC",VLOOKUP(F151,[1]Info!$E$2:$F$11,2,0),IF(K151="FGP",VLOOKUP(F151,[1]Info!$E$9:$F$10,2,0),IF(K151="F10",VLOOKUP(F151,[1]Info!$E$2:$F$3,2,0),VLOOKUP(K151,[1]Info!$A$1:$B$21,2,0))))))</f>
        <v>Skidder</v>
      </c>
    </row>
    <row r="152" spans="1:24" x14ac:dyDescent="0.35">
      <c r="A152" t="s">
        <v>41</v>
      </c>
      <c r="B152" t="s">
        <v>54</v>
      </c>
      <c r="C152" t="s">
        <v>55</v>
      </c>
      <c r="D152" t="s">
        <v>94</v>
      </c>
      <c r="E152" t="s">
        <v>52</v>
      </c>
      <c r="F152">
        <v>7098530</v>
      </c>
      <c r="G152" t="s">
        <v>57</v>
      </c>
      <c r="H152" t="s">
        <v>43</v>
      </c>
      <c r="I152" t="s">
        <v>44</v>
      </c>
      <c r="J152" t="s">
        <v>50</v>
      </c>
      <c r="K152" t="s">
        <v>15</v>
      </c>
      <c r="L152" t="s">
        <v>51</v>
      </c>
      <c r="M152" t="s">
        <v>1381</v>
      </c>
      <c r="N152" t="s">
        <v>1382</v>
      </c>
      <c r="O152" t="s">
        <v>251</v>
      </c>
      <c r="P152" t="s">
        <v>1292</v>
      </c>
      <c r="Q152" t="s">
        <v>46</v>
      </c>
      <c r="R152" t="s">
        <v>47</v>
      </c>
      <c r="S152" t="s">
        <v>46</v>
      </c>
      <c r="T152" t="s">
        <v>46</v>
      </c>
      <c r="U152" s="4">
        <v>25175.45</v>
      </c>
      <c r="V152" t="str">
        <f t="shared" si="2"/>
        <v>SK13</v>
      </c>
      <c r="W152" t="str">
        <f>VLOOKUP(K152,[1]Info!A$1:B$21,2,0)</f>
        <v>Skidder</v>
      </c>
      <c r="X152" t="str">
        <f>IF(M152="109595132","Material de Limpeza-Não Avaliar",IF(AND(K152="F20",M152&lt;&gt;109595132),IF(RIGHT(F152,2)="70","Infraestrutura de Planta","Prédios e Instalações"),IF(K152="FPC",VLOOKUP(F152,[1]Info!$E$2:$F$11,2,0),IF(K152="FGP",VLOOKUP(F152,[1]Info!$E$9:$F$10,2,0),IF(K152="F10",VLOOKUP(F152,[1]Info!$E$2:$F$3,2,0),VLOOKUP(K152,[1]Info!$A$1:$B$21,2,0))))))</f>
        <v>Skidder</v>
      </c>
    </row>
    <row r="153" spans="1:24" x14ac:dyDescent="0.35">
      <c r="A153" t="s">
        <v>41</v>
      </c>
      <c r="B153" t="s">
        <v>54</v>
      </c>
      <c r="C153" t="s">
        <v>55</v>
      </c>
      <c r="D153" t="s">
        <v>94</v>
      </c>
      <c r="E153" t="s">
        <v>52</v>
      </c>
      <c r="F153">
        <v>7098530</v>
      </c>
      <c r="G153" t="s">
        <v>57</v>
      </c>
      <c r="H153" t="s">
        <v>43</v>
      </c>
      <c r="I153" t="s">
        <v>44</v>
      </c>
      <c r="J153" t="s">
        <v>50</v>
      </c>
      <c r="K153" t="s">
        <v>15</v>
      </c>
      <c r="L153" t="s">
        <v>51</v>
      </c>
      <c r="M153" t="s">
        <v>341</v>
      </c>
      <c r="N153" t="s">
        <v>342</v>
      </c>
      <c r="O153" t="s">
        <v>99</v>
      </c>
      <c r="P153" t="s">
        <v>1292</v>
      </c>
      <c r="Q153" t="s">
        <v>46</v>
      </c>
      <c r="R153" t="s">
        <v>47</v>
      </c>
      <c r="S153" t="s">
        <v>46</v>
      </c>
      <c r="T153" t="s">
        <v>46</v>
      </c>
      <c r="U153" s="4">
        <v>1620</v>
      </c>
      <c r="V153" t="str">
        <f t="shared" si="2"/>
        <v>SK14</v>
      </c>
      <c r="W153" t="str">
        <f>VLOOKUP(K153,[1]Info!A$1:B$21,2,0)</f>
        <v>Skidder</v>
      </c>
      <c r="X153" t="str">
        <f>IF(M153="109595132","Material de Limpeza-Não Avaliar",IF(AND(K153="F20",M153&lt;&gt;109595132),IF(RIGHT(F153,2)="70","Infraestrutura de Planta","Prédios e Instalações"),IF(K153="FPC",VLOOKUP(F153,[1]Info!$E$2:$F$11,2,0),IF(K153="FGP",VLOOKUP(F153,[1]Info!$E$9:$F$10,2,0),IF(K153="F10",VLOOKUP(F153,[1]Info!$E$2:$F$3,2,0),VLOOKUP(K153,[1]Info!$A$1:$B$21,2,0))))))</f>
        <v>Skidder</v>
      </c>
    </row>
    <row r="154" spans="1:24" x14ac:dyDescent="0.35">
      <c r="A154" t="s">
        <v>41</v>
      </c>
      <c r="B154" t="s">
        <v>54</v>
      </c>
      <c r="C154" t="s">
        <v>55</v>
      </c>
      <c r="D154" t="s">
        <v>94</v>
      </c>
      <c r="E154" t="s">
        <v>52</v>
      </c>
      <c r="F154">
        <v>7098530</v>
      </c>
      <c r="G154" t="s">
        <v>57</v>
      </c>
      <c r="H154" t="s">
        <v>43</v>
      </c>
      <c r="I154" t="s">
        <v>44</v>
      </c>
      <c r="J154" t="s">
        <v>50</v>
      </c>
      <c r="K154" t="s">
        <v>15</v>
      </c>
      <c r="L154" t="s">
        <v>51</v>
      </c>
      <c r="M154" t="s">
        <v>1383</v>
      </c>
      <c r="N154" t="s">
        <v>1384</v>
      </c>
      <c r="O154" t="s">
        <v>1385</v>
      </c>
      <c r="P154" t="s">
        <v>1292</v>
      </c>
      <c r="Q154" t="s">
        <v>46</v>
      </c>
      <c r="R154" t="s">
        <v>47</v>
      </c>
      <c r="S154" t="s">
        <v>46</v>
      </c>
      <c r="T154" t="s">
        <v>46</v>
      </c>
      <c r="U154" s="4">
        <v>1013.37</v>
      </c>
      <c r="V154" t="str">
        <f t="shared" si="2"/>
        <v>0070</v>
      </c>
      <c r="W154" t="str">
        <f>VLOOKUP(K154,[1]Info!A$1:B$21,2,0)</f>
        <v>Skidder</v>
      </c>
      <c r="X154" t="str">
        <f>IF(M154="109595132","Material de Limpeza-Não Avaliar",IF(AND(K154="F20",M154&lt;&gt;109595132),IF(RIGHT(F154,2)="70","Infraestrutura de Planta","Prédios e Instalações"),IF(K154="FPC",VLOOKUP(F154,[1]Info!$E$2:$F$11,2,0),IF(K154="FGP",VLOOKUP(F154,[1]Info!$E$9:$F$10,2,0),IF(K154="F10",VLOOKUP(F154,[1]Info!$E$2:$F$3,2,0),VLOOKUP(K154,[1]Info!$A$1:$B$21,2,0))))))</f>
        <v>Skidder</v>
      </c>
    </row>
    <row r="155" spans="1:24" x14ac:dyDescent="0.35">
      <c r="A155" t="s">
        <v>41</v>
      </c>
      <c r="B155" t="s">
        <v>54</v>
      </c>
      <c r="C155" t="s">
        <v>55</v>
      </c>
      <c r="D155" t="s">
        <v>94</v>
      </c>
      <c r="E155" t="s">
        <v>52</v>
      </c>
      <c r="F155">
        <v>7098530</v>
      </c>
      <c r="G155" t="s">
        <v>57</v>
      </c>
      <c r="H155" t="s">
        <v>43</v>
      </c>
      <c r="I155" t="s">
        <v>44</v>
      </c>
      <c r="J155" t="s">
        <v>50</v>
      </c>
      <c r="K155" t="s">
        <v>15</v>
      </c>
      <c r="L155" t="s">
        <v>51</v>
      </c>
      <c r="M155" t="s">
        <v>1386</v>
      </c>
      <c r="N155" t="s">
        <v>1387</v>
      </c>
      <c r="O155" t="s">
        <v>1388</v>
      </c>
      <c r="P155" t="s">
        <v>1292</v>
      </c>
      <c r="Q155" t="s">
        <v>46</v>
      </c>
      <c r="R155" t="s">
        <v>47</v>
      </c>
      <c r="S155" t="s">
        <v>46</v>
      </c>
      <c r="T155" t="s">
        <v>46</v>
      </c>
      <c r="U155" s="4">
        <v>4999</v>
      </c>
      <c r="V155" t="str">
        <f t="shared" si="2"/>
        <v>-C01</v>
      </c>
      <c r="W155" t="str">
        <f>VLOOKUP(K155,[1]Info!A$1:B$21,2,0)</f>
        <v>Skidder</v>
      </c>
      <c r="X155" t="str">
        <f>IF(M155="109595132","Material de Limpeza-Não Avaliar",IF(AND(K155="F20",M155&lt;&gt;109595132),IF(RIGHT(F155,2)="70","Infraestrutura de Planta","Prédios e Instalações"),IF(K155="FPC",VLOOKUP(F155,[1]Info!$E$2:$F$11,2,0),IF(K155="FGP",VLOOKUP(F155,[1]Info!$E$9:$F$10,2,0),IF(K155="F10",VLOOKUP(F155,[1]Info!$E$2:$F$3,2,0),VLOOKUP(K155,[1]Info!$A$1:$B$21,2,0))))))</f>
        <v>Skidder</v>
      </c>
    </row>
    <row r="156" spans="1:24" x14ac:dyDescent="0.35">
      <c r="A156" t="s">
        <v>41</v>
      </c>
      <c r="B156" t="s">
        <v>54</v>
      </c>
      <c r="C156" t="s">
        <v>55</v>
      </c>
      <c r="D156" t="s">
        <v>94</v>
      </c>
      <c r="E156" t="s">
        <v>52</v>
      </c>
      <c r="F156">
        <v>7098530</v>
      </c>
      <c r="G156" t="s">
        <v>57</v>
      </c>
      <c r="H156" t="s">
        <v>43</v>
      </c>
      <c r="I156" t="s">
        <v>44</v>
      </c>
      <c r="J156" t="s">
        <v>50</v>
      </c>
      <c r="K156" t="s">
        <v>15</v>
      </c>
      <c r="L156" t="s">
        <v>51</v>
      </c>
      <c r="M156" t="s">
        <v>1389</v>
      </c>
      <c r="N156" t="s">
        <v>1390</v>
      </c>
      <c r="O156" t="s">
        <v>1391</v>
      </c>
      <c r="P156" t="s">
        <v>1292</v>
      </c>
      <c r="Q156" t="s">
        <v>46</v>
      </c>
      <c r="R156" t="s">
        <v>47</v>
      </c>
      <c r="S156" t="s">
        <v>46</v>
      </c>
      <c r="T156" t="s">
        <v>46</v>
      </c>
      <c r="U156" s="4">
        <v>647.24</v>
      </c>
      <c r="V156" t="str">
        <f t="shared" si="2"/>
        <v>SI03</v>
      </c>
      <c r="W156" t="str">
        <f>VLOOKUP(K156,[1]Info!A$1:B$21,2,0)</f>
        <v>Skidder</v>
      </c>
      <c r="X156" t="str">
        <f>IF(M156="109595132","Material de Limpeza-Não Avaliar",IF(AND(K156="F20",M156&lt;&gt;109595132),IF(RIGHT(F156,2)="70","Infraestrutura de Planta","Prédios e Instalações"),IF(K156="FPC",VLOOKUP(F156,[1]Info!$E$2:$F$11,2,0),IF(K156="FGP",VLOOKUP(F156,[1]Info!$E$9:$F$10,2,0),IF(K156="F10",VLOOKUP(F156,[1]Info!$E$2:$F$3,2,0),VLOOKUP(K156,[1]Info!$A$1:$B$21,2,0))))))</f>
        <v>Skidder</v>
      </c>
    </row>
    <row r="157" spans="1:24" x14ac:dyDescent="0.35">
      <c r="A157" t="s">
        <v>41</v>
      </c>
      <c r="B157" t="s">
        <v>54</v>
      </c>
      <c r="C157" t="s">
        <v>55</v>
      </c>
      <c r="D157" t="s">
        <v>94</v>
      </c>
      <c r="E157" t="s">
        <v>52</v>
      </c>
      <c r="F157">
        <v>7098530</v>
      </c>
      <c r="G157" t="s">
        <v>57</v>
      </c>
      <c r="H157" t="s">
        <v>43</v>
      </c>
      <c r="I157" t="s">
        <v>44</v>
      </c>
      <c r="J157" t="s">
        <v>50</v>
      </c>
      <c r="K157" t="s">
        <v>15</v>
      </c>
      <c r="L157" t="s">
        <v>51</v>
      </c>
      <c r="M157" t="s">
        <v>572</v>
      </c>
      <c r="N157" t="s">
        <v>573</v>
      </c>
      <c r="O157" t="s">
        <v>210</v>
      </c>
      <c r="P157" t="s">
        <v>383</v>
      </c>
      <c r="Q157" t="s">
        <v>574</v>
      </c>
      <c r="R157" t="s">
        <v>575</v>
      </c>
      <c r="S157" t="s">
        <v>46</v>
      </c>
      <c r="T157" t="s">
        <v>46</v>
      </c>
      <c r="U157" s="4">
        <v>424.68</v>
      </c>
      <c r="V157" t="str">
        <f t="shared" si="2"/>
        <v>SK17</v>
      </c>
      <c r="W157" t="str">
        <f>VLOOKUP(K157,[1]Info!A$1:B$21,2,0)</f>
        <v>Skidder</v>
      </c>
      <c r="X157" t="str">
        <f>IF(M157="109595132","Material de Limpeza-Não Avaliar",IF(AND(K157="F20",M157&lt;&gt;109595132),IF(RIGHT(F157,2)="70","Infraestrutura de Planta","Prédios e Instalações"),IF(K157="FPC",VLOOKUP(F157,[1]Info!$E$2:$F$11,2,0),IF(K157="FGP",VLOOKUP(F157,[1]Info!$E$9:$F$10,2,0),IF(K157="F10",VLOOKUP(F157,[1]Info!$E$2:$F$3,2,0),VLOOKUP(K157,[1]Info!$A$1:$B$21,2,0))))))</f>
        <v>Skidder</v>
      </c>
    </row>
    <row r="158" spans="1:24" x14ac:dyDescent="0.35">
      <c r="A158" t="s">
        <v>41</v>
      </c>
      <c r="B158" t="s">
        <v>54</v>
      </c>
      <c r="C158" t="s">
        <v>55</v>
      </c>
      <c r="D158" t="s">
        <v>94</v>
      </c>
      <c r="E158" t="s">
        <v>52</v>
      </c>
      <c r="F158">
        <v>7098530</v>
      </c>
      <c r="G158" t="s">
        <v>57</v>
      </c>
      <c r="H158" t="s">
        <v>43</v>
      </c>
      <c r="I158" t="s">
        <v>44</v>
      </c>
      <c r="J158" t="s">
        <v>50</v>
      </c>
      <c r="K158" t="s">
        <v>15</v>
      </c>
      <c r="L158" t="s">
        <v>51</v>
      </c>
      <c r="M158" t="s">
        <v>572</v>
      </c>
      <c r="N158" t="s">
        <v>573</v>
      </c>
      <c r="O158" t="s">
        <v>210</v>
      </c>
      <c r="P158" t="s">
        <v>383</v>
      </c>
      <c r="Q158" t="s">
        <v>576</v>
      </c>
      <c r="R158" t="s">
        <v>577</v>
      </c>
      <c r="S158" t="s">
        <v>46</v>
      </c>
      <c r="T158" t="s">
        <v>46</v>
      </c>
      <c r="U158" s="4">
        <v>439.3</v>
      </c>
      <c r="V158" t="str">
        <f t="shared" si="2"/>
        <v>SK17</v>
      </c>
      <c r="W158" t="str">
        <f>VLOOKUP(K158,[1]Info!A$1:B$21,2,0)</f>
        <v>Skidder</v>
      </c>
      <c r="X158" t="str">
        <f>IF(M158="109595132","Material de Limpeza-Não Avaliar",IF(AND(K158="F20",M158&lt;&gt;109595132),IF(RIGHT(F158,2)="70","Infraestrutura de Planta","Prédios e Instalações"),IF(K158="FPC",VLOOKUP(F158,[1]Info!$E$2:$F$11,2,0),IF(K158="FGP",VLOOKUP(F158,[1]Info!$E$9:$F$10,2,0),IF(K158="F10",VLOOKUP(F158,[1]Info!$E$2:$F$3,2,0),VLOOKUP(K158,[1]Info!$A$1:$B$21,2,0))))))</f>
        <v>Skidder</v>
      </c>
    </row>
    <row r="159" spans="1:24" x14ac:dyDescent="0.35">
      <c r="A159" t="s">
        <v>41</v>
      </c>
      <c r="B159" t="s">
        <v>54</v>
      </c>
      <c r="C159" t="s">
        <v>55</v>
      </c>
      <c r="D159" t="s">
        <v>94</v>
      </c>
      <c r="E159" t="s">
        <v>52</v>
      </c>
      <c r="F159">
        <v>7098530</v>
      </c>
      <c r="G159" t="s">
        <v>57</v>
      </c>
      <c r="H159" t="s">
        <v>43</v>
      </c>
      <c r="I159" t="s">
        <v>44</v>
      </c>
      <c r="J159" t="s">
        <v>50</v>
      </c>
      <c r="K159" t="s">
        <v>15</v>
      </c>
      <c r="L159" t="s">
        <v>51</v>
      </c>
      <c r="M159" t="s">
        <v>572</v>
      </c>
      <c r="N159" t="s">
        <v>573</v>
      </c>
      <c r="O159" t="s">
        <v>210</v>
      </c>
      <c r="P159" t="s">
        <v>383</v>
      </c>
      <c r="Q159" t="s">
        <v>578</v>
      </c>
      <c r="R159" t="s">
        <v>579</v>
      </c>
      <c r="S159" t="s">
        <v>46</v>
      </c>
      <c r="T159" t="s">
        <v>46</v>
      </c>
      <c r="U159" s="4">
        <v>607.27</v>
      </c>
      <c r="V159" t="str">
        <f t="shared" si="2"/>
        <v>SK17</v>
      </c>
      <c r="W159" t="str">
        <f>VLOOKUP(K159,[1]Info!A$1:B$21,2,0)</f>
        <v>Skidder</v>
      </c>
      <c r="X159" t="str">
        <f>IF(M159="109595132","Material de Limpeza-Não Avaliar",IF(AND(K159="F20",M159&lt;&gt;109595132),IF(RIGHT(F159,2)="70","Infraestrutura de Planta","Prédios e Instalações"),IF(K159="FPC",VLOOKUP(F159,[1]Info!$E$2:$F$11,2,0),IF(K159="FGP",VLOOKUP(F159,[1]Info!$E$9:$F$10,2,0),IF(K159="F10",VLOOKUP(F159,[1]Info!$E$2:$F$3,2,0),VLOOKUP(K159,[1]Info!$A$1:$B$21,2,0))))))</f>
        <v>Skidder</v>
      </c>
    </row>
    <row r="160" spans="1:24" x14ac:dyDescent="0.35">
      <c r="A160" t="s">
        <v>41</v>
      </c>
      <c r="B160" t="s">
        <v>54</v>
      </c>
      <c r="C160" t="s">
        <v>55</v>
      </c>
      <c r="D160" t="s">
        <v>94</v>
      </c>
      <c r="E160" t="s">
        <v>52</v>
      </c>
      <c r="F160">
        <v>7098530</v>
      </c>
      <c r="G160" t="s">
        <v>57</v>
      </c>
      <c r="H160" t="s">
        <v>43</v>
      </c>
      <c r="I160" t="s">
        <v>44</v>
      </c>
      <c r="J160" t="s">
        <v>50</v>
      </c>
      <c r="K160" t="s">
        <v>15</v>
      </c>
      <c r="L160" t="s">
        <v>51</v>
      </c>
      <c r="M160" t="s">
        <v>580</v>
      </c>
      <c r="N160" t="s">
        <v>581</v>
      </c>
      <c r="O160" t="s">
        <v>99</v>
      </c>
      <c r="P160" t="s">
        <v>383</v>
      </c>
      <c r="Q160" t="s">
        <v>110</v>
      </c>
      <c r="R160" t="s">
        <v>111</v>
      </c>
      <c r="S160" t="s">
        <v>46</v>
      </c>
      <c r="T160" t="s">
        <v>46</v>
      </c>
      <c r="U160" s="4">
        <v>602.57000000000005</v>
      </c>
      <c r="V160" t="str">
        <f t="shared" si="2"/>
        <v>SK14</v>
      </c>
      <c r="W160" t="str">
        <f>VLOOKUP(K160,[1]Info!A$1:B$21,2,0)</f>
        <v>Skidder</v>
      </c>
      <c r="X160" t="str">
        <f>IF(M160="109595132","Material de Limpeza-Não Avaliar",IF(AND(K160="F20",M160&lt;&gt;109595132),IF(RIGHT(F160,2)="70","Infraestrutura de Planta","Prédios e Instalações"),IF(K160="FPC",VLOOKUP(F160,[1]Info!$E$2:$F$11,2,0),IF(K160="FGP",VLOOKUP(F160,[1]Info!$E$9:$F$10,2,0),IF(K160="F10",VLOOKUP(F160,[1]Info!$E$2:$F$3,2,0),VLOOKUP(K160,[1]Info!$A$1:$B$21,2,0))))))</f>
        <v>Skidder</v>
      </c>
    </row>
    <row r="161" spans="1:24" x14ac:dyDescent="0.35">
      <c r="A161" t="s">
        <v>41</v>
      </c>
      <c r="B161" t="s">
        <v>54</v>
      </c>
      <c r="C161" t="s">
        <v>55</v>
      </c>
      <c r="D161" t="s">
        <v>94</v>
      </c>
      <c r="E161" t="s">
        <v>52</v>
      </c>
      <c r="F161">
        <v>7098530</v>
      </c>
      <c r="G161" t="s">
        <v>57</v>
      </c>
      <c r="H161" t="s">
        <v>43</v>
      </c>
      <c r="I161" t="s">
        <v>44</v>
      </c>
      <c r="J161" t="s">
        <v>50</v>
      </c>
      <c r="K161" t="s">
        <v>15</v>
      </c>
      <c r="L161" t="s">
        <v>51</v>
      </c>
      <c r="M161" t="s">
        <v>463</v>
      </c>
      <c r="N161" t="s">
        <v>464</v>
      </c>
      <c r="O161" t="s">
        <v>465</v>
      </c>
      <c r="P161" t="s">
        <v>383</v>
      </c>
      <c r="Q161" t="s">
        <v>582</v>
      </c>
      <c r="R161" t="s">
        <v>583</v>
      </c>
      <c r="S161" t="s">
        <v>46</v>
      </c>
      <c r="T161" t="s">
        <v>46</v>
      </c>
      <c r="U161" s="4">
        <v>19.87</v>
      </c>
      <c r="V161" t="str">
        <f t="shared" si="2"/>
        <v>0060</v>
      </c>
      <c r="W161" t="str">
        <f>VLOOKUP(K161,[1]Info!A$1:B$21,2,0)</f>
        <v>Skidder</v>
      </c>
      <c r="X161" t="str">
        <f>IF(M161="109595132","Material de Limpeza-Não Avaliar",IF(AND(K161="F20",M161&lt;&gt;109595132),IF(RIGHT(F161,2)="70","Infraestrutura de Planta","Prédios e Instalações"),IF(K161="FPC",VLOOKUP(F161,[1]Info!$E$2:$F$11,2,0),IF(K161="FGP",VLOOKUP(F161,[1]Info!$E$9:$F$10,2,0),IF(K161="F10",VLOOKUP(F161,[1]Info!$E$2:$F$3,2,0),VLOOKUP(K161,[1]Info!$A$1:$B$21,2,0))))))</f>
        <v>Skidder</v>
      </c>
    </row>
    <row r="162" spans="1:24" x14ac:dyDescent="0.35">
      <c r="A162" t="s">
        <v>41</v>
      </c>
      <c r="B162" t="s">
        <v>54</v>
      </c>
      <c r="C162" t="s">
        <v>55</v>
      </c>
      <c r="D162" t="s">
        <v>94</v>
      </c>
      <c r="E162" t="s">
        <v>52</v>
      </c>
      <c r="F162">
        <v>7098525</v>
      </c>
      <c r="G162" t="s">
        <v>168</v>
      </c>
      <c r="H162" t="s">
        <v>43</v>
      </c>
      <c r="I162" t="s">
        <v>44</v>
      </c>
      <c r="J162" t="s">
        <v>50</v>
      </c>
      <c r="K162" t="s">
        <v>4</v>
      </c>
      <c r="L162" t="s">
        <v>62</v>
      </c>
      <c r="M162" t="s">
        <v>343</v>
      </c>
      <c r="N162" t="s">
        <v>344</v>
      </c>
      <c r="O162" t="s">
        <v>169</v>
      </c>
      <c r="P162" t="s">
        <v>383</v>
      </c>
      <c r="Q162" t="s">
        <v>110</v>
      </c>
      <c r="R162" t="s">
        <v>111</v>
      </c>
      <c r="S162" t="s">
        <v>46</v>
      </c>
      <c r="T162" t="s">
        <v>46</v>
      </c>
      <c r="U162" s="4">
        <v>341.43</v>
      </c>
      <c r="V162" t="str">
        <f t="shared" si="2"/>
        <v>GT14</v>
      </c>
      <c r="W162" t="str">
        <f>VLOOKUP(K162,[1]Info!A$1:B$21,2,0)</f>
        <v>Garra Picadora</v>
      </c>
      <c r="X162" t="str">
        <f>IF(M162="109595132","Material de Limpeza-Não Avaliar",IF(AND(K162="F20",M162&lt;&gt;109595132),IF(RIGHT(F162,2)="70","Infraestrutura de Planta","Prédios e Instalações"),IF(K162="FPC",VLOOKUP(F162,[1]Info!$E$2:$F$11,2,0),IF(K162="FGP",VLOOKUP(F162,[1]Info!$E$9:$F$10,2,0),IF(K162="F10",VLOOKUP(F162,[1]Info!$E$2:$F$3,2,0),VLOOKUP(K162,[1]Info!$A$1:$B$21,2,0))))))</f>
        <v>Garra Picadora Canabrava</v>
      </c>
    </row>
    <row r="163" spans="1:24" x14ac:dyDescent="0.35">
      <c r="A163" t="s">
        <v>41</v>
      </c>
      <c r="B163" t="s">
        <v>54</v>
      </c>
      <c r="C163" t="s">
        <v>55</v>
      </c>
      <c r="D163" t="s">
        <v>94</v>
      </c>
      <c r="E163" t="s">
        <v>52</v>
      </c>
      <c r="F163">
        <v>7098525</v>
      </c>
      <c r="G163" t="s">
        <v>168</v>
      </c>
      <c r="H163" t="s">
        <v>43</v>
      </c>
      <c r="I163" t="s">
        <v>44</v>
      </c>
      <c r="J163" t="s">
        <v>50</v>
      </c>
      <c r="K163" t="s">
        <v>4</v>
      </c>
      <c r="L163" t="s">
        <v>62</v>
      </c>
      <c r="M163" t="s">
        <v>343</v>
      </c>
      <c r="N163" t="s">
        <v>344</v>
      </c>
      <c r="O163" t="s">
        <v>169</v>
      </c>
      <c r="P163" t="s">
        <v>383</v>
      </c>
      <c r="Q163" t="s">
        <v>114</v>
      </c>
      <c r="R163" t="s">
        <v>115</v>
      </c>
      <c r="S163" t="s">
        <v>46</v>
      </c>
      <c r="T163" t="s">
        <v>46</v>
      </c>
      <c r="U163" s="4">
        <v>165.86</v>
      </c>
      <c r="V163" t="str">
        <f t="shared" si="2"/>
        <v>GT14</v>
      </c>
      <c r="W163" t="str">
        <f>VLOOKUP(K163,[1]Info!A$1:B$21,2,0)</f>
        <v>Garra Picadora</v>
      </c>
      <c r="X163" t="str">
        <f>IF(M163="109595132","Material de Limpeza-Não Avaliar",IF(AND(K163="F20",M163&lt;&gt;109595132),IF(RIGHT(F163,2)="70","Infraestrutura de Planta","Prédios e Instalações"),IF(K163="FPC",VLOOKUP(F163,[1]Info!$E$2:$F$11,2,0),IF(K163="FGP",VLOOKUP(F163,[1]Info!$E$9:$F$10,2,0),IF(K163="F10",VLOOKUP(F163,[1]Info!$E$2:$F$3,2,0),VLOOKUP(K163,[1]Info!$A$1:$B$21,2,0))))))</f>
        <v>Garra Picadora Canabrava</v>
      </c>
    </row>
    <row r="164" spans="1:24" x14ac:dyDescent="0.35">
      <c r="A164" t="s">
        <v>41</v>
      </c>
      <c r="B164" t="s">
        <v>54</v>
      </c>
      <c r="C164" t="s">
        <v>55</v>
      </c>
      <c r="D164" t="s">
        <v>94</v>
      </c>
      <c r="E164" t="s">
        <v>52</v>
      </c>
      <c r="F164">
        <v>7098525</v>
      </c>
      <c r="G164" t="s">
        <v>168</v>
      </c>
      <c r="H164" t="s">
        <v>43</v>
      </c>
      <c r="I164" t="s">
        <v>44</v>
      </c>
      <c r="J164" t="s">
        <v>50</v>
      </c>
      <c r="K164" t="s">
        <v>4</v>
      </c>
      <c r="L164" t="s">
        <v>62</v>
      </c>
      <c r="M164" t="s">
        <v>343</v>
      </c>
      <c r="N164" t="s">
        <v>344</v>
      </c>
      <c r="O164" t="s">
        <v>169</v>
      </c>
      <c r="P164" t="s">
        <v>383</v>
      </c>
      <c r="Q164" t="s">
        <v>116</v>
      </c>
      <c r="R164" t="s">
        <v>117</v>
      </c>
      <c r="S164" t="s">
        <v>46</v>
      </c>
      <c r="T164" t="s">
        <v>46</v>
      </c>
      <c r="U164" s="4">
        <v>292.05</v>
      </c>
      <c r="V164" t="str">
        <f t="shared" si="2"/>
        <v>GT14</v>
      </c>
      <c r="W164" t="str">
        <f>VLOOKUP(K164,[1]Info!A$1:B$21,2,0)</f>
        <v>Garra Picadora</v>
      </c>
      <c r="X164" t="str">
        <f>IF(M164="109595132","Material de Limpeza-Não Avaliar",IF(AND(K164="F20",M164&lt;&gt;109595132),IF(RIGHT(F164,2)="70","Infraestrutura de Planta","Prédios e Instalações"),IF(K164="FPC",VLOOKUP(F164,[1]Info!$E$2:$F$11,2,0),IF(K164="FGP",VLOOKUP(F164,[1]Info!$E$9:$F$10,2,0),IF(K164="F10",VLOOKUP(F164,[1]Info!$E$2:$F$3,2,0),VLOOKUP(K164,[1]Info!$A$1:$B$21,2,0))))))</f>
        <v>Garra Picadora Canabrava</v>
      </c>
    </row>
    <row r="165" spans="1:24" x14ac:dyDescent="0.35">
      <c r="A165" t="s">
        <v>41</v>
      </c>
      <c r="B165" t="s">
        <v>54</v>
      </c>
      <c r="C165" t="s">
        <v>55</v>
      </c>
      <c r="D165" t="s">
        <v>94</v>
      </c>
      <c r="E165" t="s">
        <v>52</v>
      </c>
      <c r="F165">
        <v>7098525</v>
      </c>
      <c r="G165" t="s">
        <v>168</v>
      </c>
      <c r="H165" t="s">
        <v>43</v>
      </c>
      <c r="I165" t="s">
        <v>44</v>
      </c>
      <c r="J165" t="s">
        <v>50</v>
      </c>
      <c r="K165" t="s">
        <v>4</v>
      </c>
      <c r="L165" t="s">
        <v>62</v>
      </c>
      <c r="M165" t="s">
        <v>343</v>
      </c>
      <c r="N165" t="s">
        <v>344</v>
      </c>
      <c r="O165" t="s">
        <v>169</v>
      </c>
      <c r="P165" t="s">
        <v>383</v>
      </c>
      <c r="Q165" t="s">
        <v>345</v>
      </c>
      <c r="R165" t="s">
        <v>346</v>
      </c>
      <c r="S165" t="s">
        <v>46</v>
      </c>
      <c r="T165" t="s">
        <v>46</v>
      </c>
      <c r="U165" s="4">
        <v>374.67</v>
      </c>
      <c r="V165" t="str">
        <f t="shared" si="2"/>
        <v>GT14</v>
      </c>
      <c r="W165" t="str">
        <f>VLOOKUP(K165,[1]Info!A$1:B$21,2,0)</f>
        <v>Garra Picadora</v>
      </c>
      <c r="X165" t="str">
        <f>IF(M165="109595132","Material de Limpeza-Não Avaliar",IF(AND(K165="F20",M165&lt;&gt;109595132),IF(RIGHT(F165,2)="70","Infraestrutura de Planta","Prédios e Instalações"),IF(K165="FPC",VLOOKUP(F165,[1]Info!$E$2:$F$11,2,0),IF(K165="FGP",VLOOKUP(F165,[1]Info!$E$9:$F$10,2,0),IF(K165="F10",VLOOKUP(F165,[1]Info!$E$2:$F$3,2,0),VLOOKUP(K165,[1]Info!$A$1:$B$21,2,0))))))</f>
        <v>Garra Picadora Canabrava</v>
      </c>
    </row>
    <row r="166" spans="1:24" x14ac:dyDescent="0.35">
      <c r="A166" t="s">
        <v>41</v>
      </c>
      <c r="B166" t="s">
        <v>54</v>
      </c>
      <c r="C166" t="s">
        <v>55</v>
      </c>
      <c r="D166" t="s">
        <v>94</v>
      </c>
      <c r="E166" t="s">
        <v>52</v>
      </c>
      <c r="F166">
        <v>7098525</v>
      </c>
      <c r="G166" t="s">
        <v>168</v>
      </c>
      <c r="H166" t="s">
        <v>43</v>
      </c>
      <c r="I166" t="s">
        <v>44</v>
      </c>
      <c r="J166" t="s">
        <v>50</v>
      </c>
      <c r="K166" t="s">
        <v>4</v>
      </c>
      <c r="L166" t="s">
        <v>51</v>
      </c>
      <c r="M166" t="s">
        <v>1392</v>
      </c>
      <c r="N166" t="s">
        <v>1393</v>
      </c>
      <c r="O166" t="s">
        <v>173</v>
      </c>
      <c r="P166" t="s">
        <v>1292</v>
      </c>
      <c r="Q166" t="s">
        <v>46</v>
      </c>
      <c r="R166" t="s">
        <v>47</v>
      </c>
      <c r="S166" t="s">
        <v>46</v>
      </c>
      <c r="T166" t="s">
        <v>46</v>
      </c>
      <c r="U166" s="4">
        <v>71.17</v>
      </c>
      <c r="V166" t="str">
        <f t="shared" si="2"/>
        <v>GP02</v>
      </c>
      <c r="W166" t="str">
        <f>VLOOKUP(K166,[1]Info!A$1:B$21,2,0)</f>
        <v>Garra Picadora</v>
      </c>
      <c r="X166" t="str">
        <f>IF(M166="109595132","Material de Limpeza-Não Avaliar",IF(AND(K166="F20",M166&lt;&gt;109595132),IF(RIGHT(F166,2)="70","Infraestrutura de Planta","Prédios e Instalações"),IF(K166="FPC",VLOOKUP(F166,[1]Info!$E$2:$F$11,2,0),IF(K166="FGP",VLOOKUP(F166,[1]Info!$E$9:$F$10,2,0),IF(K166="F10",VLOOKUP(F166,[1]Info!$E$2:$F$3,2,0),VLOOKUP(K166,[1]Info!$A$1:$B$21,2,0))))))</f>
        <v>Garra Picadora Canabrava</v>
      </c>
    </row>
    <row r="167" spans="1:24" x14ac:dyDescent="0.35">
      <c r="A167" t="s">
        <v>41</v>
      </c>
      <c r="B167" t="s">
        <v>54</v>
      </c>
      <c r="C167" t="s">
        <v>55</v>
      </c>
      <c r="D167" t="s">
        <v>94</v>
      </c>
      <c r="E167" t="s">
        <v>52</v>
      </c>
      <c r="F167">
        <v>7098525</v>
      </c>
      <c r="G167" t="s">
        <v>168</v>
      </c>
      <c r="H167" t="s">
        <v>43</v>
      </c>
      <c r="I167" t="s">
        <v>44</v>
      </c>
      <c r="J167" t="s">
        <v>50</v>
      </c>
      <c r="K167" t="s">
        <v>4</v>
      </c>
      <c r="L167" t="s">
        <v>51</v>
      </c>
      <c r="M167" t="s">
        <v>1394</v>
      </c>
      <c r="N167" t="s">
        <v>1395</v>
      </c>
      <c r="O167" t="s">
        <v>546</v>
      </c>
      <c r="P167" t="s">
        <v>1292</v>
      </c>
      <c r="Q167" t="s">
        <v>46</v>
      </c>
      <c r="R167" t="s">
        <v>47</v>
      </c>
      <c r="S167" t="s">
        <v>46</v>
      </c>
      <c r="T167" t="s">
        <v>46</v>
      </c>
      <c r="U167" s="4">
        <v>5448.51</v>
      </c>
      <c r="V167" t="str">
        <f t="shared" si="2"/>
        <v>GP01</v>
      </c>
      <c r="W167" t="str">
        <f>VLOOKUP(K167,[1]Info!A$1:B$21,2,0)</f>
        <v>Garra Picadora</v>
      </c>
      <c r="X167" t="str">
        <f>IF(M167="109595132","Material de Limpeza-Não Avaliar",IF(AND(K167="F20",M167&lt;&gt;109595132),IF(RIGHT(F167,2)="70","Infraestrutura de Planta","Prédios e Instalações"),IF(K167="FPC",VLOOKUP(F167,[1]Info!$E$2:$F$11,2,0),IF(K167="FGP",VLOOKUP(F167,[1]Info!$E$9:$F$10,2,0),IF(K167="F10",VLOOKUP(F167,[1]Info!$E$2:$F$3,2,0),VLOOKUP(K167,[1]Info!$A$1:$B$21,2,0))))))</f>
        <v>Garra Picadora Canabrava</v>
      </c>
    </row>
    <row r="168" spans="1:24" x14ac:dyDescent="0.35">
      <c r="A168" t="s">
        <v>41</v>
      </c>
      <c r="B168" t="s">
        <v>54</v>
      </c>
      <c r="C168" t="s">
        <v>55</v>
      </c>
      <c r="D168" t="s">
        <v>94</v>
      </c>
      <c r="E168" t="s">
        <v>52</v>
      </c>
      <c r="F168">
        <v>7098525</v>
      </c>
      <c r="G168" t="s">
        <v>168</v>
      </c>
      <c r="H168" t="s">
        <v>43</v>
      </c>
      <c r="I168" t="s">
        <v>44</v>
      </c>
      <c r="J168" t="s">
        <v>50</v>
      </c>
      <c r="K168" t="s">
        <v>4</v>
      </c>
      <c r="L168" t="s">
        <v>51</v>
      </c>
      <c r="M168" t="s">
        <v>1396</v>
      </c>
      <c r="N168" t="s">
        <v>1397</v>
      </c>
      <c r="O168" t="s">
        <v>169</v>
      </c>
      <c r="P168" t="s">
        <v>1292</v>
      </c>
      <c r="Q168" t="s">
        <v>46</v>
      </c>
      <c r="R168" t="s">
        <v>47</v>
      </c>
      <c r="S168" t="s">
        <v>46</v>
      </c>
      <c r="T168" t="s">
        <v>46</v>
      </c>
      <c r="U168" s="4">
        <v>5836.85</v>
      </c>
      <c r="V168" t="str">
        <f t="shared" si="2"/>
        <v>GT14</v>
      </c>
      <c r="W168" t="str">
        <f>VLOOKUP(K168,[1]Info!A$1:B$21,2,0)</f>
        <v>Garra Picadora</v>
      </c>
      <c r="X168" t="str">
        <f>IF(M168="109595132","Material de Limpeza-Não Avaliar",IF(AND(K168="F20",M168&lt;&gt;109595132),IF(RIGHT(F168,2)="70","Infraestrutura de Planta","Prédios e Instalações"),IF(K168="FPC",VLOOKUP(F168,[1]Info!$E$2:$F$11,2,0),IF(K168="FGP",VLOOKUP(F168,[1]Info!$E$9:$F$10,2,0),IF(K168="F10",VLOOKUP(F168,[1]Info!$E$2:$F$3,2,0),VLOOKUP(K168,[1]Info!$A$1:$B$21,2,0))))))</f>
        <v>Garra Picadora Canabrava</v>
      </c>
    </row>
    <row r="169" spans="1:24" x14ac:dyDescent="0.35">
      <c r="A169" t="s">
        <v>41</v>
      </c>
      <c r="B169" t="s">
        <v>54</v>
      </c>
      <c r="C169" t="s">
        <v>55</v>
      </c>
      <c r="D169" t="s">
        <v>94</v>
      </c>
      <c r="E169" t="s">
        <v>52</v>
      </c>
      <c r="F169">
        <v>7098525</v>
      </c>
      <c r="G169" t="s">
        <v>168</v>
      </c>
      <c r="H169" t="s">
        <v>43</v>
      </c>
      <c r="I169" t="s">
        <v>44</v>
      </c>
      <c r="J169" t="s">
        <v>50</v>
      </c>
      <c r="K169" t="s">
        <v>4</v>
      </c>
      <c r="L169" t="s">
        <v>51</v>
      </c>
      <c r="M169" t="s">
        <v>1398</v>
      </c>
      <c r="N169" t="s">
        <v>1399</v>
      </c>
      <c r="O169" t="s">
        <v>169</v>
      </c>
      <c r="P169" t="s">
        <v>1292</v>
      </c>
      <c r="Q169" t="s">
        <v>46</v>
      </c>
      <c r="R169" t="s">
        <v>47</v>
      </c>
      <c r="S169" t="s">
        <v>46</v>
      </c>
      <c r="T169" t="s">
        <v>46</v>
      </c>
      <c r="U169" s="4">
        <v>267.22000000000003</v>
      </c>
      <c r="V169" t="str">
        <f t="shared" si="2"/>
        <v>GT14</v>
      </c>
      <c r="W169" t="str">
        <f>VLOOKUP(K169,[1]Info!A$1:B$21,2,0)</f>
        <v>Garra Picadora</v>
      </c>
      <c r="X169" t="str">
        <f>IF(M169="109595132","Material de Limpeza-Não Avaliar",IF(AND(K169="F20",M169&lt;&gt;109595132),IF(RIGHT(F169,2)="70","Infraestrutura de Planta","Prédios e Instalações"),IF(K169="FPC",VLOOKUP(F169,[1]Info!$E$2:$F$11,2,0),IF(K169="FGP",VLOOKUP(F169,[1]Info!$E$9:$F$10,2,0),IF(K169="F10",VLOOKUP(F169,[1]Info!$E$2:$F$3,2,0),VLOOKUP(K169,[1]Info!$A$1:$B$21,2,0))))))</f>
        <v>Garra Picadora Canabrava</v>
      </c>
    </row>
    <row r="170" spans="1:24" x14ac:dyDescent="0.35">
      <c r="A170" t="s">
        <v>41</v>
      </c>
      <c r="B170" t="s">
        <v>54</v>
      </c>
      <c r="C170" t="s">
        <v>55</v>
      </c>
      <c r="D170" t="s">
        <v>94</v>
      </c>
      <c r="E170" t="s">
        <v>52</v>
      </c>
      <c r="F170">
        <v>7098525</v>
      </c>
      <c r="G170" t="s">
        <v>168</v>
      </c>
      <c r="H170" t="s">
        <v>43</v>
      </c>
      <c r="I170" t="s">
        <v>44</v>
      </c>
      <c r="J170" t="s">
        <v>50</v>
      </c>
      <c r="K170" t="s">
        <v>4</v>
      </c>
      <c r="L170" t="s">
        <v>51</v>
      </c>
      <c r="M170" t="s">
        <v>1400</v>
      </c>
      <c r="N170" t="s">
        <v>1401</v>
      </c>
      <c r="O170" t="s">
        <v>1402</v>
      </c>
      <c r="P170" t="s">
        <v>1292</v>
      </c>
      <c r="Q170" t="s">
        <v>46</v>
      </c>
      <c r="R170" t="s">
        <v>47</v>
      </c>
      <c r="S170" t="s">
        <v>46</v>
      </c>
      <c r="T170" t="s">
        <v>46</v>
      </c>
      <c r="U170" s="4">
        <v>189.21</v>
      </c>
      <c r="V170" t="str">
        <f t="shared" si="2"/>
        <v>SI04</v>
      </c>
      <c r="W170" t="str">
        <f>VLOOKUP(K170,[1]Info!A$1:B$21,2,0)</f>
        <v>Garra Picadora</v>
      </c>
      <c r="X170" t="str">
        <f>IF(M170="109595132","Material de Limpeza-Não Avaliar",IF(AND(K170="F20",M170&lt;&gt;109595132),IF(RIGHT(F170,2)="70","Infraestrutura de Planta","Prédios e Instalações"),IF(K170="FPC",VLOOKUP(F170,[1]Info!$E$2:$F$11,2,0),IF(K170="FGP",VLOOKUP(F170,[1]Info!$E$9:$F$10,2,0),IF(K170="F10",VLOOKUP(F170,[1]Info!$E$2:$F$3,2,0),VLOOKUP(K170,[1]Info!$A$1:$B$21,2,0))))))</f>
        <v>Garra Picadora Canabrava</v>
      </c>
    </row>
    <row r="171" spans="1:24" x14ac:dyDescent="0.35">
      <c r="A171" t="s">
        <v>41</v>
      </c>
      <c r="B171" t="s">
        <v>54</v>
      </c>
      <c r="C171" t="s">
        <v>55</v>
      </c>
      <c r="D171" t="s">
        <v>94</v>
      </c>
      <c r="E171" t="s">
        <v>52</v>
      </c>
      <c r="F171">
        <v>7098525</v>
      </c>
      <c r="G171" t="s">
        <v>168</v>
      </c>
      <c r="H171" t="s">
        <v>43</v>
      </c>
      <c r="I171" t="s">
        <v>44</v>
      </c>
      <c r="J171" t="s">
        <v>50</v>
      </c>
      <c r="K171" t="s">
        <v>4</v>
      </c>
      <c r="L171" t="s">
        <v>51</v>
      </c>
      <c r="M171" t="s">
        <v>1403</v>
      </c>
      <c r="N171" t="s">
        <v>1404</v>
      </c>
      <c r="O171" t="s">
        <v>546</v>
      </c>
      <c r="P171" t="s">
        <v>1292</v>
      </c>
      <c r="Q171" t="s">
        <v>46</v>
      </c>
      <c r="R171" t="s">
        <v>47</v>
      </c>
      <c r="S171" t="s">
        <v>46</v>
      </c>
      <c r="T171" t="s">
        <v>46</v>
      </c>
      <c r="U171" s="4">
        <v>100.92</v>
      </c>
      <c r="V171" t="str">
        <f t="shared" si="2"/>
        <v>GP01</v>
      </c>
      <c r="W171" t="str">
        <f>VLOOKUP(K171,[1]Info!A$1:B$21,2,0)</f>
        <v>Garra Picadora</v>
      </c>
      <c r="X171" t="str">
        <f>IF(M171="109595132","Material de Limpeza-Não Avaliar",IF(AND(K171="F20",M171&lt;&gt;109595132),IF(RIGHT(F171,2)="70","Infraestrutura de Planta","Prédios e Instalações"),IF(K171="FPC",VLOOKUP(F171,[1]Info!$E$2:$F$11,2,0),IF(K171="FGP",VLOOKUP(F171,[1]Info!$E$9:$F$10,2,0),IF(K171="F10",VLOOKUP(F171,[1]Info!$E$2:$F$3,2,0),VLOOKUP(K171,[1]Info!$A$1:$B$21,2,0))))))</f>
        <v>Garra Picadora Canabrava</v>
      </c>
    </row>
    <row r="172" spans="1:24" x14ac:dyDescent="0.35">
      <c r="A172" t="s">
        <v>41</v>
      </c>
      <c r="B172" t="s">
        <v>54</v>
      </c>
      <c r="C172" t="s">
        <v>55</v>
      </c>
      <c r="D172" t="s">
        <v>94</v>
      </c>
      <c r="E172" t="s">
        <v>52</v>
      </c>
      <c r="F172">
        <v>7098525</v>
      </c>
      <c r="G172" t="s">
        <v>168</v>
      </c>
      <c r="H172" t="s">
        <v>43</v>
      </c>
      <c r="I172" t="s">
        <v>44</v>
      </c>
      <c r="J172" t="s">
        <v>50</v>
      </c>
      <c r="K172" t="s">
        <v>4</v>
      </c>
      <c r="L172" t="s">
        <v>51</v>
      </c>
      <c r="M172" t="s">
        <v>584</v>
      </c>
      <c r="N172" t="s">
        <v>199</v>
      </c>
      <c r="O172" t="s">
        <v>169</v>
      </c>
      <c r="P172" t="s">
        <v>383</v>
      </c>
      <c r="Q172" t="s">
        <v>585</v>
      </c>
      <c r="R172" t="s">
        <v>586</v>
      </c>
      <c r="S172" t="s">
        <v>46</v>
      </c>
      <c r="T172" t="s">
        <v>46</v>
      </c>
      <c r="U172" s="4">
        <v>200.37</v>
      </c>
      <c r="V172" t="str">
        <f t="shared" si="2"/>
        <v>GT14</v>
      </c>
      <c r="W172" t="str">
        <f>VLOOKUP(K172,[1]Info!A$1:B$21,2,0)</f>
        <v>Garra Picadora</v>
      </c>
      <c r="X172" t="str">
        <f>IF(M172="109595132","Material de Limpeza-Não Avaliar",IF(AND(K172="F20",M172&lt;&gt;109595132),IF(RIGHT(F172,2)="70","Infraestrutura de Planta","Prédios e Instalações"),IF(K172="FPC",VLOOKUP(F172,[1]Info!$E$2:$F$11,2,0),IF(K172="FGP",VLOOKUP(F172,[1]Info!$E$9:$F$10,2,0),IF(K172="F10",VLOOKUP(F172,[1]Info!$E$2:$F$3,2,0),VLOOKUP(K172,[1]Info!$A$1:$B$21,2,0))))))</f>
        <v>Garra Picadora Canabrava</v>
      </c>
    </row>
    <row r="173" spans="1:24" x14ac:dyDescent="0.35">
      <c r="A173" t="s">
        <v>41</v>
      </c>
      <c r="B173" t="s">
        <v>54</v>
      </c>
      <c r="C173" t="s">
        <v>55</v>
      </c>
      <c r="D173" t="s">
        <v>94</v>
      </c>
      <c r="E173" t="s">
        <v>52</v>
      </c>
      <c r="F173">
        <v>7098520</v>
      </c>
      <c r="G173" t="s">
        <v>58</v>
      </c>
      <c r="H173" t="s">
        <v>43</v>
      </c>
      <c r="I173" t="s">
        <v>44</v>
      </c>
      <c r="J173" t="s">
        <v>50</v>
      </c>
      <c r="K173" t="s">
        <v>12</v>
      </c>
      <c r="L173" t="s">
        <v>62</v>
      </c>
      <c r="M173" t="s">
        <v>535</v>
      </c>
      <c r="N173" t="s">
        <v>536</v>
      </c>
      <c r="O173" t="s">
        <v>85</v>
      </c>
      <c r="P173" t="s">
        <v>383</v>
      </c>
      <c r="Q173" t="s">
        <v>587</v>
      </c>
      <c r="R173" t="s">
        <v>588</v>
      </c>
      <c r="S173" t="s">
        <v>46</v>
      </c>
      <c r="T173" t="s">
        <v>46</v>
      </c>
      <c r="U173" s="4">
        <v>112.18</v>
      </c>
      <c r="V173" t="str">
        <f t="shared" si="2"/>
        <v>GT16</v>
      </c>
      <c r="W173" t="str">
        <f>VLOOKUP(K173,[1]Info!A$1:B$21,2,0)</f>
        <v>Garra Traçadora</v>
      </c>
      <c r="X173" t="str">
        <f>IF(M173="109595132","Material de Limpeza-Não Avaliar",IF(AND(K173="F20",M173&lt;&gt;109595132),IF(RIGHT(F173,2)="70","Infraestrutura de Planta","Prédios e Instalações"),IF(K173="FPC",VLOOKUP(F173,[1]Info!$E$2:$F$11,2,0),IF(K173="FGP",VLOOKUP(F173,[1]Info!$E$9:$F$10,2,0),IF(K173="F10",VLOOKUP(F173,[1]Info!$E$2:$F$3,2,0),VLOOKUP(K173,[1]Info!$A$1:$B$21,2,0))))))</f>
        <v>Garra Traçadora</v>
      </c>
    </row>
    <row r="174" spans="1:24" x14ac:dyDescent="0.35">
      <c r="A174" t="s">
        <v>41</v>
      </c>
      <c r="B174" t="s">
        <v>54</v>
      </c>
      <c r="C174" t="s">
        <v>55</v>
      </c>
      <c r="D174" t="s">
        <v>94</v>
      </c>
      <c r="E174" t="s">
        <v>52</v>
      </c>
      <c r="F174">
        <v>7098520</v>
      </c>
      <c r="G174" t="s">
        <v>58</v>
      </c>
      <c r="H174" t="s">
        <v>43</v>
      </c>
      <c r="I174" t="s">
        <v>44</v>
      </c>
      <c r="J174" t="s">
        <v>50</v>
      </c>
      <c r="K174" t="s">
        <v>12</v>
      </c>
      <c r="L174" t="s">
        <v>62</v>
      </c>
      <c r="M174" t="s">
        <v>535</v>
      </c>
      <c r="N174" t="s">
        <v>536</v>
      </c>
      <c r="O174" t="s">
        <v>85</v>
      </c>
      <c r="P174" t="s">
        <v>383</v>
      </c>
      <c r="Q174" t="s">
        <v>589</v>
      </c>
      <c r="R174" t="s">
        <v>590</v>
      </c>
      <c r="S174" t="s">
        <v>46</v>
      </c>
      <c r="T174" t="s">
        <v>46</v>
      </c>
      <c r="U174" s="4">
        <v>540.04999999999995</v>
      </c>
      <c r="V174" t="str">
        <f t="shared" si="2"/>
        <v>GT16</v>
      </c>
      <c r="W174" t="str">
        <f>VLOOKUP(K174,[1]Info!A$1:B$21,2,0)</f>
        <v>Garra Traçadora</v>
      </c>
      <c r="X174" t="str">
        <f>IF(M174="109595132","Material de Limpeza-Não Avaliar",IF(AND(K174="F20",M174&lt;&gt;109595132),IF(RIGHT(F174,2)="70","Infraestrutura de Planta","Prédios e Instalações"),IF(K174="FPC",VLOOKUP(F174,[1]Info!$E$2:$F$11,2,0),IF(K174="FGP",VLOOKUP(F174,[1]Info!$E$9:$F$10,2,0),IF(K174="F10",VLOOKUP(F174,[1]Info!$E$2:$F$3,2,0),VLOOKUP(K174,[1]Info!$A$1:$B$21,2,0))))))</f>
        <v>Garra Traçadora</v>
      </c>
    </row>
    <row r="175" spans="1:24" x14ac:dyDescent="0.35">
      <c r="A175" t="s">
        <v>41</v>
      </c>
      <c r="B175" t="s">
        <v>54</v>
      </c>
      <c r="C175" t="s">
        <v>55</v>
      </c>
      <c r="D175" t="s">
        <v>94</v>
      </c>
      <c r="E175" t="s">
        <v>52</v>
      </c>
      <c r="F175">
        <v>7098520</v>
      </c>
      <c r="G175" t="s">
        <v>58</v>
      </c>
      <c r="H175" t="s">
        <v>43</v>
      </c>
      <c r="I175" t="s">
        <v>44</v>
      </c>
      <c r="J175" t="s">
        <v>50</v>
      </c>
      <c r="K175" t="s">
        <v>12</v>
      </c>
      <c r="L175" t="s">
        <v>62</v>
      </c>
      <c r="M175" t="s">
        <v>535</v>
      </c>
      <c r="N175" t="s">
        <v>536</v>
      </c>
      <c r="O175" t="s">
        <v>85</v>
      </c>
      <c r="P175" t="s">
        <v>383</v>
      </c>
      <c r="Q175" t="s">
        <v>591</v>
      </c>
      <c r="R175" t="s">
        <v>592</v>
      </c>
      <c r="S175" t="s">
        <v>46</v>
      </c>
      <c r="T175" t="s">
        <v>46</v>
      </c>
      <c r="U175" s="4">
        <v>1032.17</v>
      </c>
      <c r="V175" t="str">
        <f t="shared" si="2"/>
        <v>GT16</v>
      </c>
      <c r="W175" t="str">
        <f>VLOOKUP(K175,[1]Info!A$1:B$21,2,0)</f>
        <v>Garra Traçadora</v>
      </c>
      <c r="X175" t="str">
        <f>IF(M175="109595132","Material de Limpeza-Não Avaliar",IF(AND(K175="F20",M175&lt;&gt;109595132),IF(RIGHT(F175,2)="70","Infraestrutura de Planta","Prédios e Instalações"),IF(K175="FPC",VLOOKUP(F175,[1]Info!$E$2:$F$11,2,0),IF(K175="FGP",VLOOKUP(F175,[1]Info!$E$9:$F$10,2,0),IF(K175="F10",VLOOKUP(F175,[1]Info!$E$2:$F$3,2,0),VLOOKUP(K175,[1]Info!$A$1:$B$21,2,0))))))</f>
        <v>Garra Traçadora</v>
      </c>
    </row>
    <row r="176" spans="1:24" x14ac:dyDescent="0.35">
      <c r="A176" t="s">
        <v>41</v>
      </c>
      <c r="B176" t="s">
        <v>54</v>
      </c>
      <c r="C176" t="s">
        <v>55</v>
      </c>
      <c r="D176" t="s">
        <v>94</v>
      </c>
      <c r="E176" t="s">
        <v>52</v>
      </c>
      <c r="F176">
        <v>7098520</v>
      </c>
      <c r="G176" t="s">
        <v>58</v>
      </c>
      <c r="H176" t="s">
        <v>43</v>
      </c>
      <c r="I176" t="s">
        <v>44</v>
      </c>
      <c r="J176" t="s">
        <v>50</v>
      </c>
      <c r="K176" t="s">
        <v>12</v>
      </c>
      <c r="L176" t="s">
        <v>62</v>
      </c>
      <c r="M176" t="s">
        <v>535</v>
      </c>
      <c r="N176" t="s">
        <v>536</v>
      </c>
      <c r="O176" t="s">
        <v>85</v>
      </c>
      <c r="P176" t="s">
        <v>383</v>
      </c>
      <c r="Q176" t="s">
        <v>593</v>
      </c>
      <c r="R176" t="s">
        <v>594</v>
      </c>
      <c r="S176" t="s">
        <v>46</v>
      </c>
      <c r="T176" t="s">
        <v>46</v>
      </c>
      <c r="U176" s="4">
        <v>990.31</v>
      </c>
      <c r="V176" t="str">
        <f t="shared" si="2"/>
        <v>GT16</v>
      </c>
      <c r="W176" t="str">
        <f>VLOOKUP(K176,[1]Info!A$1:B$21,2,0)</f>
        <v>Garra Traçadora</v>
      </c>
      <c r="X176" t="str">
        <f>IF(M176="109595132","Material de Limpeza-Não Avaliar",IF(AND(K176="F20",M176&lt;&gt;109595132),IF(RIGHT(F176,2)="70","Infraestrutura de Planta","Prédios e Instalações"),IF(K176="FPC",VLOOKUP(F176,[1]Info!$E$2:$F$11,2,0),IF(K176="FGP",VLOOKUP(F176,[1]Info!$E$9:$F$10,2,0),IF(K176="F10",VLOOKUP(F176,[1]Info!$E$2:$F$3,2,0),VLOOKUP(K176,[1]Info!$A$1:$B$21,2,0))))))</f>
        <v>Garra Traçadora</v>
      </c>
    </row>
    <row r="177" spans="1:24" x14ac:dyDescent="0.35">
      <c r="A177" t="s">
        <v>41</v>
      </c>
      <c r="B177" t="s">
        <v>54</v>
      </c>
      <c r="C177" t="s">
        <v>55</v>
      </c>
      <c r="D177" t="s">
        <v>94</v>
      </c>
      <c r="E177" t="s">
        <v>52</v>
      </c>
      <c r="F177">
        <v>7098520</v>
      </c>
      <c r="G177" t="s">
        <v>58</v>
      </c>
      <c r="H177" t="s">
        <v>43</v>
      </c>
      <c r="I177" t="s">
        <v>44</v>
      </c>
      <c r="J177" t="s">
        <v>50</v>
      </c>
      <c r="K177" t="s">
        <v>12</v>
      </c>
      <c r="L177" t="s">
        <v>62</v>
      </c>
      <c r="M177" t="s">
        <v>535</v>
      </c>
      <c r="N177" t="s">
        <v>536</v>
      </c>
      <c r="O177" t="s">
        <v>85</v>
      </c>
      <c r="P177" t="s">
        <v>383</v>
      </c>
      <c r="Q177" t="s">
        <v>595</v>
      </c>
      <c r="R177" t="s">
        <v>596</v>
      </c>
      <c r="S177" t="s">
        <v>46</v>
      </c>
      <c r="T177" t="s">
        <v>46</v>
      </c>
      <c r="U177" s="4">
        <v>275.95999999999998</v>
      </c>
      <c r="V177" t="str">
        <f t="shared" si="2"/>
        <v>GT16</v>
      </c>
      <c r="W177" t="str">
        <f>VLOOKUP(K177,[1]Info!A$1:B$21,2,0)</f>
        <v>Garra Traçadora</v>
      </c>
      <c r="X177" t="str">
        <f>IF(M177="109595132","Material de Limpeza-Não Avaliar",IF(AND(K177="F20",M177&lt;&gt;109595132),IF(RIGHT(F177,2)="70","Infraestrutura de Planta","Prédios e Instalações"),IF(K177="FPC",VLOOKUP(F177,[1]Info!$E$2:$F$11,2,0),IF(K177="FGP",VLOOKUP(F177,[1]Info!$E$9:$F$10,2,0),IF(K177="F10",VLOOKUP(F177,[1]Info!$E$2:$F$3,2,0),VLOOKUP(K177,[1]Info!$A$1:$B$21,2,0))))))</f>
        <v>Garra Traçadora</v>
      </c>
    </row>
    <row r="178" spans="1:24" x14ac:dyDescent="0.35">
      <c r="A178" t="s">
        <v>41</v>
      </c>
      <c r="B178" t="s">
        <v>54</v>
      </c>
      <c r="C178" t="s">
        <v>55</v>
      </c>
      <c r="D178" t="s">
        <v>94</v>
      </c>
      <c r="E178" t="s">
        <v>52</v>
      </c>
      <c r="F178">
        <v>7098520</v>
      </c>
      <c r="G178" t="s">
        <v>58</v>
      </c>
      <c r="H178" t="s">
        <v>43</v>
      </c>
      <c r="I178" t="s">
        <v>44</v>
      </c>
      <c r="J178" t="s">
        <v>50</v>
      </c>
      <c r="K178" t="s">
        <v>12</v>
      </c>
      <c r="L178" t="s">
        <v>62</v>
      </c>
      <c r="M178" t="s">
        <v>535</v>
      </c>
      <c r="N178" t="s">
        <v>536</v>
      </c>
      <c r="O178" t="s">
        <v>85</v>
      </c>
      <c r="P178" t="s">
        <v>383</v>
      </c>
      <c r="Q178" t="s">
        <v>597</v>
      </c>
      <c r="R178" t="s">
        <v>598</v>
      </c>
      <c r="S178" t="s">
        <v>46</v>
      </c>
      <c r="T178" t="s">
        <v>46</v>
      </c>
      <c r="U178" s="4">
        <v>190.05</v>
      </c>
      <c r="V178" t="str">
        <f t="shared" si="2"/>
        <v>GT16</v>
      </c>
      <c r="W178" t="str">
        <f>VLOOKUP(K178,[1]Info!A$1:B$21,2,0)</f>
        <v>Garra Traçadora</v>
      </c>
      <c r="X178" t="str">
        <f>IF(M178="109595132","Material de Limpeza-Não Avaliar",IF(AND(K178="F20",M178&lt;&gt;109595132),IF(RIGHT(F178,2)="70","Infraestrutura de Planta","Prédios e Instalações"),IF(K178="FPC",VLOOKUP(F178,[1]Info!$E$2:$F$11,2,0),IF(K178="FGP",VLOOKUP(F178,[1]Info!$E$9:$F$10,2,0),IF(K178="F10",VLOOKUP(F178,[1]Info!$E$2:$F$3,2,0),VLOOKUP(K178,[1]Info!$A$1:$B$21,2,0))))))</f>
        <v>Garra Traçadora</v>
      </c>
    </row>
    <row r="179" spans="1:24" x14ac:dyDescent="0.35">
      <c r="A179" t="s">
        <v>41</v>
      </c>
      <c r="B179" t="s">
        <v>54</v>
      </c>
      <c r="C179" t="s">
        <v>55</v>
      </c>
      <c r="D179" t="s">
        <v>94</v>
      </c>
      <c r="E179" t="s">
        <v>52</v>
      </c>
      <c r="F179">
        <v>7098520</v>
      </c>
      <c r="G179" t="s">
        <v>58</v>
      </c>
      <c r="H179" t="s">
        <v>43</v>
      </c>
      <c r="I179" t="s">
        <v>44</v>
      </c>
      <c r="J179" t="s">
        <v>50</v>
      </c>
      <c r="K179" t="s">
        <v>12</v>
      </c>
      <c r="L179" t="s">
        <v>62</v>
      </c>
      <c r="M179" t="s">
        <v>535</v>
      </c>
      <c r="N179" t="s">
        <v>536</v>
      </c>
      <c r="O179" t="s">
        <v>85</v>
      </c>
      <c r="P179" t="s">
        <v>383</v>
      </c>
      <c r="Q179" t="s">
        <v>599</v>
      </c>
      <c r="R179" t="s">
        <v>600</v>
      </c>
      <c r="S179" t="s">
        <v>46</v>
      </c>
      <c r="T179" t="s">
        <v>46</v>
      </c>
      <c r="U179" s="4">
        <v>334.62</v>
      </c>
      <c r="V179" t="str">
        <f t="shared" si="2"/>
        <v>GT16</v>
      </c>
      <c r="W179" t="str">
        <f>VLOOKUP(K179,[1]Info!A$1:B$21,2,0)</f>
        <v>Garra Traçadora</v>
      </c>
      <c r="X179" t="str">
        <f>IF(M179="109595132","Material de Limpeza-Não Avaliar",IF(AND(K179="F20",M179&lt;&gt;109595132),IF(RIGHT(F179,2)="70","Infraestrutura de Planta","Prédios e Instalações"),IF(K179="FPC",VLOOKUP(F179,[1]Info!$E$2:$F$11,2,0),IF(K179="FGP",VLOOKUP(F179,[1]Info!$E$9:$F$10,2,0),IF(K179="F10",VLOOKUP(F179,[1]Info!$E$2:$F$3,2,0),VLOOKUP(K179,[1]Info!$A$1:$B$21,2,0))))))</f>
        <v>Garra Traçadora</v>
      </c>
    </row>
    <row r="180" spans="1:24" x14ac:dyDescent="0.35">
      <c r="A180" t="s">
        <v>41</v>
      </c>
      <c r="B180" t="s">
        <v>54</v>
      </c>
      <c r="C180" t="s">
        <v>55</v>
      </c>
      <c r="D180" t="s">
        <v>94</v>
      </c>
      <c r="E180" t="s">
        <v>52</v>
      </c>
      <c r="F180">
        <v>7098520</v>
      </c>
      <c r="G180" t="s">
        <v>58</v>
      </c>
      <c r="H180" t="s">
        <v>43</v>
      </c>
      <c r="I180" t="s">
        <v>44</v>
      </c>
      <c r="J180" t="s">
        <v>50</v>
      </c>
      <c r="K180" t="s">
        <v>12</v>
      </c>
      <c r="L180" t="s">
        <v>62</v>
      </c>
      <c r="M180" t="s">
        <v>535</v>
      </c>
      <c r="N180" t="s">
        <v>536</v>
      </c>
      <c r="O180" t="s">
        <v>85</v>
      </c>
      <c r="P180" t="s">
        <v>383</v>
      </c>
      <c r="Q180" t="s">
        <v>601</v>
      </c>
      <c r="R180" t="s">
        <v>602</v>
      </c>
      <c r="S180" t="s">
        <v>46</v>
      </c>
      <c r="T180" t="s">
        <v>46</v>
      </c>
      <c r="U180" s="4">
        <v>1306.69</v>
      </c>
      <c r="V180" t="str">
        <f t="shared" si="2"/>
        <v>GT16</v>
      </c>
      <c r="W180" t="str">
        <f>VLOOKUP(K180,[1]Info!A$1:B$21,2,0)</f>
        <v>Garra Traçadora</v>
      </c>
      <c r="X180" t="str">
        <f>IF(M180="109595132","Material de Limpeza-Não Avaliar",IF(AND(K180="F20",M180&lt;&gt;109595132),IF(RIGHT(F180,2)="70","Infraestrutura de Planta","Prédios e Instalações"),IF(K180="FPC",VLOOKUP(F180,[1]Info!$E$2:$F$11,2,0),IF(K180="FGP",VLOOKUP(F180,[1]Info!$E$9:$F$10,2,0),IF(K180="F10",VLOOKUP(F180,[1]Info!$E$2:$F$3,2,0),VLOOKUP(K180,[1]Info!$A$1:$B$21,2,0))))))</f>
        <v>Garra Traçadora</v>
      </c>
    </row>
    <row r="181" spans="1:24" x14ac:dyDescent="0.35">
      <c r="A181" t="s">
        <v>41</v>
      </c>
      <c r="B181" t="s">
        <v>54</v>
      </c>
      <c r="C181" t="s">
        <v>55</v>
      </c>
      <c r="D181" t="s">
        <v>94</v>
      </c>
      <c r="E181" t="s">
        <v>52</v>
      </c>
      <c r="F181">
        <v>7098520</v>
      </c>
      <c r="G181" t="s">
        <v>58</v>
      </c>
      <c r="H181" t="s">
        <v>43</v>
      </c>
      <c r="I181" t="s">
        <v>44</v>
      </c>
      <c r="J181" t="s">
        <v>50</v>
      </c>
      <c r="K181" t="s">
        <v>12</v>
      </c>
      <c r="L181" t="s">
        <v>62</v>
      </c>
      <c r="M181" t="s">
        <v>535</v>
      </c>
      <c r="N181" t="s">
        <v>536</v>
      </c>
      <c r="O181" t="s">
        <v>85</v>
      </c>
      <c r="P181" t="s">
        <v>383</v>
      </c>
      <c r="Q181" t="s">
        <v>603</v>
      </c>
      <c r="R181" t="s">
        <v>604</v>
      </c>
      <c r="S181" t="s">
        <v>46</v>
      </c>
      <c r="T181" t="s">
        <v>46</v>
      </c>
      <c r="U181" s="4">
        <v>527.78</v>
      </c>
      <c r="V181" t="str">
        <f t="shared" si="2"/>
        <v>GT16</v>
      </c>
      <c r="W181" t="str">
        <f>VLOOKUP(K181,[1]Info!A$1:B$21,2,0)</f>
        <v>Garra Traçadora</v>
      </c>
      <c r="X181" t="str">
        <f>IF(M181="109595132","Material de Limpeza-Não Avaliar",IF(AND(K181="F20",M181&lt;&gt;109595132),IF(RIGHT(F181,2)="70","Infraestrutura de Planta","Prédios e Instalações"),IF(K181="FPC",VLOOKUP(F181,[1]Info!$E$2:$F$11,2,0),IF(K181="FGP",VLOOKUP(F181,[1]Info!$E$9:$F$10,2,0),IF(K181="F10",VLOOKUP(F181,[1]Info!$E$2:$F$3,2,0),VLOOKUP(K181,[1]Info!$A$1:$B$21,2,0))))))</f>
        <v>Garra Traçadora</v>
      </c>
    </row>
    <row r="182" spans="1:24" x14ac:dyDescent="0.35">
      <c r="A182" t="s">
        <v>41</v>
      </c>
      <c r="B182" t="s">
        <v>54</v>
      </c>
      <c r="C182" t="s">
        <v>55</v>
      </c>
      <c r="D182" t="s">
        <v>94</v>
      </c>
      <c r="E182" t="s">
        <v>52</v>
      </c>
      <c r="F182">
        <v>7098520</v>
      </c>
      <c r="G182" t="s">
        <v>58</v>
      </c>
      <c r="H182" t="s">
        <v>43</v>
      </c>
      <c r="I182" t="s">
        <v>44</v>
      </c>
      <c r="J182" t="s">
        <v>50</v>
      </c>
      <c r="K182" t="s">
        <v>12</v>
      </c>
      <c r="L182" t="s">
        <v>62</v>
      </c>
      <c r="M182" t="s">
        <v>535</v>
      </c>
      <c r="N182" t="s">
        <v>536</v>
      </c>
      <c r="O182" t="s">
        <v>85</v>
      </c>
      <c r="P182" t="s">
        <v>383</v>
      </c>
      <c r="Q182" t="s">
        <v>605</v>
      </c>
      <c r="R182" t="s">
        <v>606</v>
      </c>
      <c r="S182" t="s">
        <v>46</v>
      </c>
      <c r="T182" t="s">
        <v>46</v>
      </c>
      <c r="U182" s="4">
        <v>173.48</v>
      </c>
      <c r="V182" t="str">
        <f t="shared" si="2"/>
        <v>GT16</v>
      </c>
      <c r="W182" t="str">
        <f>VLOOKUP(K182,[1]Info!A$1:B$21,2,0)</f>
        <v>Garra Traçadora</v>
      </c>
      <c r="X182" t="str">
        <f>IF(M182="109595132","Material de Limpeza-Não Avaliar",IF(AND(K182="F20",M182&lt;&gt;109595132),IF(RIGHT(F182,2)="70","Infraestrutura de Planta","Prédios e Instalações"),IF(K182="FPC",VLOOKUP(F182,[1]Info!$E$2:$F$11,2,0),IF(K182="FGP",VLOOKUP(F182,[1]Info!$E$9:$F$10,2,0),IF(K182="F10",VLOOKUP(F182,[1]Info!$E$2:$F$3,2,0),VLOOKUP(K182,[1]Info!$A$1:$B$21,2,0))))))</f>
        <v>Garra Traçadora</v>
      </c>
    </row>
    <row r="183" spans="1:24" x14ac:dyDescent="0.35">
      <c r="A183" t="s">
        <v>41</v>
      </c>
      <c r="B183" t="s">
        <v>54</v>
      </c>
      <c r="C183" t="s">
        <v>55</v>
      </c>
      <c r="D183" t="s">
        <v>94</v>
      </c>
      <c r="E183" t="s">
        <v>52</v>
      </c>
      <c r="F183">
        <v>7098520</v>
      </c>
      <c r="G183" t="s">
        <v>58</v>
      </c>
      <c r="H183" t="s">
        <v>43</v>
      </c>
      <c r="I183" t="s">
        <v>44</v>
      </c>
      <c r="J183" t="s">
        <v>50</v>
      </c>
      <c r="K183" t="s">
        <v>12</v>
      </c>
      <c r="L183" t="s">
        <v>62</v>
      </c>
      <c r="M183" t="s">
        <v>535</v>
      </c>
      <c r="N183" t="s">
        <v>536</v>
      </c>
      <c r="O183" t="s">
        <v>85</v>
      </c>
      <c r="P183" t="s">
        <v>383</v>
      </c>
      <c r="Q183" t="s">
        <v>607</v>
      </c>
      <c r="R183" t="s">
        <v>608</v>
      </c>
      <c r="S183" t="s">
        <v>46</v>
      </c>
      <c r="T183" t="s">
        <v>46</v>
      </c>
      <c r="U183" s="4">
        <v>1962.27</v>
      </c>
      <c r="V183" t="str">
        <f t="shared" si="2"/>
        <v>GT16</v>
      </c>
      <c r="W183" t="str">
        <f>VLOOKUP(K183,[1]Info!A$1:B$21,2,0)</f>
        <v>Garra Traçadora</v>
      </c>
      <c r="X183" t="str">
        <f>IF(M183="109595132","Material de Limpeza-Não Avaliar",IF(AND(K183="F20",M183&lt;&gt;109595132),IF(RIGHT(F183,2)="70","Infraestrutura de Planta","Prédios e Instalações"),IF(K183="FPC",VLOOKUP(F183,[1]Info!$E$2:$F$11,2,0),IF(K183="FGP",VLOOKUP(F183,[1]Info!$E$9:$F$10,2,0),IF(K183="F10",VLOOKUP(F183,[1]Info!$E$2:$F$3,2,0),VLOOKUP(K183,[1]Info!$A$1:$B$21,2,0))))))</f>
        <v>Garra Traçadora</v>
      </c>
    </row>
    <row r="184" spans="1:24" x14ac:dyDescent="0.35">
      <c r="A184" t="s">
        <v>41</v>
      </c>
      <c r="B184" t="s">
        <v>54</v>
      </c>
      <c r="C184" t="s">
        <v>55</v>
      </c>
      <c r="D184" t="s">
        <v>94</v>
      </c>
      <c r="E184" t="s">
        <v>52</v>
      </c>
      <c r="F184">
        <v>7098520</v>
      </c>
      <c r="G184" t="s">
        <v>58</v>
      </c>
      <c r="H184" t="s">
        <v>43</v>
      </c>
      <c r="I184" t="s">
        <v>44</v>
      </c>
      <c r="J184" t="s">
        <v>50</v>
      </c>
      <c r="K184" t="s">
        <v>12</v>
      </c>
      <c r="L184" t="s">
        <v>62</v>
      </c>
      <c r="M184" t="s">
        <v>535</v>
      </c>
      <c r="N184" t="s">
        <v>536</v>
      </c>
      <c r="O184" t="s">
        <v>85</v>
      </c>
      <c r="P184" t="s">
        <v>383</v>
      </c>
      <c r="Q184" t="s">
        <v>609</v>
      </c>
      <c r="R184" t="s">
        <v>610</v>
      </c>
      <c r="S184" t="s">
        <v>46</v>
      </c>
      <c r="T184" t="s">
        <v>46</v>
      </c>
      <c r="U184" s="4">
        <v>1225.92</v>
      </c>
      <c r="V184" t="str">
        <f t="shared" si="2"/>
        <v>GT16</v>
      </c>
      <c r="W184" t="str">
        <f>VLOOKUP(K184,[1]Info!A$1:B$21,2,0)</f>
        <v>Garra Traçadora</v>
      </c>
      <c r="X184" t="str">
        <f>IF(M184="109595132","Material de Limpeza-Não Avaliar",IF(AND(K184="F20",M184&lt;&gt;109595132),IF(RIGHT(F184,2)="70","Infraestrutura de Planta","Prédios e Instalações"),IF(K184="FPC",VLOOKUP(F184,[1]Info!$E$2:$F$11,2,0),IF(K184="FGP",VLOOKUP(F184,[1]Info!$E$9:$F$10,2,0),IF(K184="F10",VLOOKUP(F184,[1]Info!$E$2:$F$3,2,0),VLOOKUP(K184,[1]Info!$A$1:$B$21,2,0))))))</f>
        <v>Garra Traçadora</v>
      </c>
    </row>
    <row r="185" spans="1:24" x14ac:dyDescent="0.35">
      <c r="A185" t="s">
        <v>41</v>
      </c>
      <c r="B185" t="s">
        <v>54</v>
      </c>
      <c r="C185" t="s">
        <v>55</v>
      </c>
      <c r="D185" t="s">
        <v>94</v>
      </c>
      <c r="E185" t="s">
        <v>52</v>
      </c>
      <c r="F185">
        <v>7098520</v>
      </c>
      <c r="G185" t="s">
        <v>58</v>
      </c>
      <c r="H185" t="s">
        <v>43</v>
      </c>
      <c r="I185" t="s">
        <v>44</v>
      </c>
      <c r="J185" t="s">
        <v>50</v>
      </c>
      <c r="K185" t="s">
        <v>12</v>
      </c>
      <c r="L185" t="s">
        <v>62</v>
      </c>
      <c r="M185" t="s">
        <v>535</v>
      </c>
      <c r="N185" t="s">
        <v>536</v>
      </c>
      <c r="O185" t="s">
        <v>85</v>
      </c>
      <c r="P185" t="s">
        <v>383</v>
      </c>
      <c r="Q185" t="s">
        <v>611</v>
      </c>
      <c r="R185" t="s">
        <v>612</v>
      </c>
      <c r="S185" t="s">
        <v>46</v>
      </c>
      <c r="T185" t="s">
        <v>46</v>
      </c>
      <c r="U185" s="4">
        <v>219.36</v>
      </c>
      <c r="V185" t="str">
        <f t="shared" si="2"/>
        <v>GT16</v>
      </c>
      <c r="W185" t="str">
        <f>VLOOKUP(K185,[1]Info!A$1:B$21,2,0)</f>
        <v>Garra Traçadora</v>
      </c>
      <c r="X185" t="str">
        <f>IF(M185="109595132","Material de Limpeza-Não Avaliar",IF(AND(K185="F20",M185&lt;&gt;109595132),IF(RIGHT(F185,2)="70","Infraestrutura de Planta","Prédios e Instalações"),IF(K185="FPC",VLOOKUP(F185,[1]Info!$E$2:$F$11,2,0),IF(K185="FGP",VLOOKUP(F185,[1]Info!$E$9:$F$10,2,0),IF(K185="F10",VLOOKUP(F185,[1]Info!$E$2:$F$3,2,0),VLOOKUP(K185,[1]Info!$A$1:$B$21,2,0))))))</f>
        <v>Garra Traçadora</v>
      </c>
    </row>
    <row r="186" spans="1:24" x14ac:dyDescent="0.35">
      <c r="A186" t="s">
        <v>41</v>
      </c>
      <c r="B186" t="s">
        <v>54</v>
      </c>
      <c r="C186" t="s">
        <v>55</v>
      </c>
      <c r="D186" t="s">
        <v>94</v>
      </c>
      <c r="E186" t="s">
        <v>52</v>
      </c>
      <c r="F186">
        <v>7098520</v>
      </c>
      <c r="G186" t="s">
        <v>58</v>
      </c>
      <c r="H186" t="s">
        <v>43</v>
      </c>
      <c r="I186" t="s">
        <v>44</v>
      </c>
      <c r="J186" t="s">
        <v>50</v>
      </c>
      <c r="K186" t="s">
        <v>12</v>
      </c>
      <c r="L186" t="s">
        <v>62</v>
      </c>
      <c r="M186" t="s">
        <v>535</v>
      </c>
      <c r="N186" t="s">
        <v>536</v>
      </c>
      <c r="O186" t="s">
        <v>85</v>
      </c>
      <c r="P186" t="s">
        <v>383</v>
      </c>
      <c r="Q186" t="s">
        <v>613</v>
      </c>
      <c r="R186" t="s">
        <v>614</v>
      </c>
      <c r="S186" t="s">
        <v>46</v>
      </c>
      <c r="T186" t="s">
        <v>46</v>
      </c>
      <c r="U186" s="4">
        <v>833.14</v>
      </c>
      <c r="V186" t="str">
        <f t="shared" si="2"/>
        <v>GT16</v>
      </c>
      <c r="W186" t="str">
        <f>VLOOKUP(K186,[1]Info!A$1:B$21,2,0)</f>
        <v>Garra Traçadora</v>
      </c>
      <c r="X186" t="str">
        <f>IF(M186="109595132","Material de Limpeza-Não Avaliar",IF(AND(K186="F20",M186&lt;&gt;109595132),IF(RIGHT(F186,2)="70","Infraestrutura de Planta","Prédios e Instalações"),IF(K186="FPC",VLOOKUP(F186,[1]Info!$E$2:$F$11,2,0),IF(K186="FGP",VLOOKUP(F186,[1]Info!$E$9:$F$10,2,0),IF(K186="F10",VLOOKUP(F186,[1]Info!$E$2:$F$3,2,0),VLOOKUP(K186,[1]Info!$A$1:$B$21,2,0))))))</f>
        <v>Garra Traçadora</v>
      </c>
    </row>
    <row r="187" spans="1:24" x14ac:dyDescent="0.35">
      <c r="A187" t="s">
        <v>41</v>
      </c>
      <c r="B187" t="s">
        <v>54</v>
      </c>
      <c r="C187" t="s">
        <v>55</v>
      </c>
      <c r="D187" t="s">
        <v>94</v>
      </c>
      <c r="E187" t="s">
        <v>52</v>
      </c>
      <c r="F187">
        <v>7098520</v>
      </c>
      <c r="G187" t="s">
        <v>58</v>
      </c>
      <c r="H187" t="s">
        <v>43</v>
      </c>
      <c r="I187" t="s">
        <v>44</v>
      </c>
      <c r="J187" t="s">
        <v>50</v>
      </c>
      <c r="K187" t="s">
        <v>12</v>
      </c>
      <c r="L187" t="s">
        <v>62</v>
      </c>
      <c r="M187" t="s">
        <v>615</v>
      </c>
      <c r="N187" t="s">
        <v>616</v>
      </c>
      <c r="O187" t="s">
        <v>85</v>
      </c>
      <c r="P187" t="s">
        <v>383</v>
      </c>
      <c r="Q187" t="s">
        <v>617</v>
      </c>
      <c r="R187" t="s">
        <v>618</v>
      </c>
      <c r="S187" t="s">
        <v>46</v>
      </c>
      <c r="T187" t="s">
        <v>46</v>
      </c>
      <c r="U187" s="4">
        <v>131.9</v>
      </c>
      <c r="V187" t="str">
        <f t="shared" si="2"/>
        <v>GT16</v>
      </c>
      <c r="W187" t="str">
        <f>VLOOKUP(K187,[1]Info!A$1:B$21,2,0)</f>
        <v>Garra Traçadora</v>
      </c>
      <c r="X187" t="str">
        <f>IF(M187="109595132","Material de Limpeza-Não Avaliar",IF(AND(K187="F20",M187&lt;&gt;109595132),IF(RIGHT(F187,2)="70","Infraestrutura de Planta","Prédios e Instalações"),IF(K187="FPC",VLOOKUP(F187,[1]Info!$E$2:$F$11,2,0),IF(K187="FGP",VLOOKUP(F187,[1]Info!$E$9:$F$10,2,0),IF(K187="F10",VLOOKUP(F187,[1]Info!$E$2:$F$3,2,0),VLOOKUP(K187,[1]Info!$A$1:$B$21,2,0))))))</f>
        <v>Garra Traçadora</v>
      </c>
    </row>
    <row r="188" spans="1:24" x14ac:dyDescent="0.35">
      <c r="A188" t="s">
        <v>41</v>
      </c>
      <c r="B188" t="s">
        <v>54</v>
      </c>
      <c r="C188" t="s">
        <v>55</v>
      </c>
      <c r="D188" t="s">
        <v>94</v>
      </c>
      <c r="E188" t="s">
        <v>52</v>
      </c>
      <c r="F188">
        <v>7098520</v>
      </c>
      <c r="G188" t="s">
        <v>58</v>
      </c>
      <c r="H188" t="s">
        <v>43</v>
      </c>
      <c r="I188" t="s">
        <v>44</v>
      </c>
      <c r="J188" t="s">
        <v>50</v>
      </c>
      <c r="K188" t="s">
        <v>12</v>
      </c>
      <c r="L188" t="s">
        <v>62</v>
      </c>
      <c r="M188" t="s">
        <v>615</v>
      </c>
      <c r="N188" t="s">
        <v>616</v>
      </c>
      <c r="O188" t="s">
        <v>85</v>
      </c>
      <c r="P188" t="s">
        <v>383</v>
      </c>
      <c r="Q188" t="s">
        <v>587</v>
      </c>
      <c r="R188" t="s">
        <v>588</v>
      </c>
      <c r="S188" t="s">
        <v>46</v>
      </c>
      <c r="T188" t="s">
        <v>46</v>
      </c>
      <c r="U188" s="4">
        <v>98.98</v>
      </c>
      <c r="V188" t="str">
        <f t="shared" si="2"/>
        <v>GT16</v>
      </c>
      <c r="W188" t="str">
        <f>VLOOKUP(K188,[1]Info!A$1:B$21,2,0)</f>
        <v>Garra Traçadora</v>
      </c>
      <c r="X188" t="str">
        <f>IF(M188="109595132","Material de Limpeza-Não Avaliar",IF(AND(K188="F20",M188&lt;&gt;109595132),IF(RIGHT(F188,2)="70","Infraestrutura de Planta","Prédios e Instalações"),IF(K188="FPC",VLOOKUP(F188,[1]Info!$E$2:$F$11,2,0),IF(K188="FGP",VLOOKUP(F188,[1]Info!$E$9:$F$10,2,0),IF(K188="F10",VLOOKUP(F188,[1]Info!$E$2:$F$3,2,0),VLOOKUP(K188,[1]Info!$A$1:$B$21,2,0))))))</f>
        <v>Garra Traçadora</v>
      </c>
    </row>
    <row r="189" spans="1:24" x14ac:dyDescent="0.35">
      <c r="A189" t="s">
        <v>41</v>
      </c>
      <c r="B189" t="s">
        <v>54</v>
      </c>
      <c r="C189" t="s">
        <v>55</v>
      </c>
      <c r="D189" t="s">
        <v>94</v>
      </c>
      <c r="E189" t="s">
        <v>52</v>
      </c>
      <c r="F189">
        <v>7098520</v>
      </c>
      <c r="G189" t="s">
        <v>58</v>
      </c>
      <c r="H189" t="s">
        <v>43</v>
      </c>
      <c r="I189" t="s">
        <v>44</v>
      </c>
      <c r="J189" t="s">
        <v>50</v>
      </c>
      <c r="K189" t="s">
        <v>12</v>
      </c>
      <c r="L189" t="s">
        <v>62</v>
      </c>
      <c r="M189" t="s">
        <v>615</v>
      </c>
      <c r="N189" t="s">
        <v>616</v>
      </c>
      <c r="O189" t="s">
        <v>85</v>
      </c>
      <c r="P189" t="s">
        <v>383</v>
      </c>
      <c r="Q189" t="s">
        <v>589</v>
      </c>
      <c r="R189" t="s">
        <v>590</v>
      </c>
      <c r="S189" t="s">
        <v>46</v>
      </c>
      <c r="T189" t="s">
        <v>46</v>
      </c>
      <c r="U189" s="4">
        <v>555.85</v>
      </c>
      <c r="V189" t="str">
        <f t="shared" si="2"/>
        <v>GT16</v>
      </c>
      <c r="W189" t="str">
        <f>VLOOKUP(K189,[1]Info!A$1:B$21,2,0)</f>
        <v>Garra Traçadora</v>
      </c>
      <c r="X189" t="str">
        <f>IF(M189="109595132","Material de Limpeza-Não Avaliar",IF(AND(K189="F20",M189&lt;&gt;109595132),IF(RIGHT(F189,2)="70","Infraestrutura de Planta","Prédios e Instalações"),IF(K189="FPC",VLOOKUP(F189,[1]Info!$E$2:$F$11,2,0),IF(K189="FGP",VLOOKUP(F189,[1]Info!$E$9:$F$10,2,0),IF(K189="F10",VLOOKUP(F189,[1]Info!$E$2:$F$3,2,0),VLOOKUP(K189,[1]Info!$A$1:$B$21,2,0))))))</f>
        <v>Garra Traçadora</v>
      </c>
    </row>
    <row r="190" spans="1:24" x14ac:dyDescent="0.35">
      <c r="A190" t="s">
        <v>41</v>
      </c>
      <c r="B190" t="s">
        <v>54</v>
      </c>
      <c r="C190" t="s">
        <v>55</v>
      </c>
      <c r="D190" t="s">
        <v>94</v>
      </c>
      <c r="E190" t="s">
        <v>52</v>
      </c>
      <c r="F190">
        <v>7098520</v>
      </c>
      <c r="G190" t="s">
        <v>58</v>
      </c>
      <c r="H190" t="s">
        <v>43</v>
      </c>
      <c r="I190" t="s">
        <v>44</v>
      </c>
      <c r="J190" t="s">
        <v>50</v>
      </c>
      <c r="K190" t="s">
        <v>12</v>
      </c>
      <c r="L190" t="s">
        <v>62</v>
      </c>
      <c r="M190" t="s">
        <v>615</v>
      </c>
      <c r="N190" t="s">
        <v>616</v>
      </c>
      <c r="O190" t="s">
        <v>85</v>
      </c>
      <c r="P190" t="s">
        <v>383</v>
      </c>
      <c r="Q190" t="s">
        <v>593</v>
      </c>
      <c r="R190" t="s">
        <v>594</v>
      </c>
      <c r="S190" t="s">
        <v>46</v>
      </c>
      <c r="T190" t="s">
        <v>46</v>
      </c>
      <c r="U190" s="4">
        <v>964.01</v>
      </c>
      <c r="V190" t="str">
        <f t="shared" si="2"/>
        <v>GT16</v>
      </c>
      <c r="W190" t="str">
        <f>VLOOKUP(K190,[1]Info!A$1:B$21,2,0)</f>
        <v>Garra Traçadora</v>
      </c>
      <c r="X190" t="str">
        <f>IF(M190="109595132","Material de Limpeza-Não Avaliar",IF(AND(K190="F20",M190&lt;&gt;109595132),IF(RIGHT(F190,2)="70","Infraestrutura de Planta","Prédios e Instalações"),IF(K190="FPC",VLOOKUP(F190,[1]Info!$E$2:$F$11,2,0),IF(K190="FGP",VLOOKUP(F190,[1]Info!$E$9:$F$10,2,0),IF(K190="F10",VLOOKUP(F190,[1]Info!$E$2:$F$3,2,0),VLOOKUP(K190,[1]Info!$A$1:$B$21,2,0))))))</f>
        <v>Garra Traçadora</v>
      </c>
    </row>
    <row r="191" spans="1:24" x14ac:dyDescent="0.35">
      <c r="A191" t="s">
        <v>41</v>
      </c>
      <c r="B191" t="s">
        <v>54</v>
      </c>
      <c r="C191" t="s">
        <v>55</v>
      </c>
      <c r="D191" t="s">
        <v>94</v>
      </c>
      <c r="E191" t="s">
        <v>52</v>
      </c>
      <c r="F191">
        <v>7098520</v>
      </c>
      <c r="G191" t="s">
        <v>58</v>
      </c>
      <c r="H191" t="s">
        <v>43</v>
      </c>
      <c r="I191" t="s">
        <v>44</v>
      </c>
      <c r="J191" t="s">
        <v>50</v>
      </c>
      <c r="K191" t="s">
        <v>12</v>
      </c>
      <c r="L191" t="s">
        <v>51</v>
      </c>
      <c r="M191" t="s">
        <v>619</v>
      </c>
      <c r="N191" t="s">
        <v>620</v>
      </c>
      <c r="O191" t="s">
        <v>60</v>
      </c>
      <c r="P191" t="s">
        <v>383</v>
      </c>
      <c r="Q191" t="s">
        <v>621</v>
      </c>
      <c r="R191" t="s">
        <v>622</v>
      </c>
      <c r="S191" t="s">
        <v>46</v>
      </c>
      <c r="T191" t="s">
        <v>46</v>
      </c>
      <c r="U191" s="4">
        <v>1698.54</v>
      </c>
      <c r="V191" t="str">
        <f t="shared" si="2"/>
        <v>GT18</v>
      </c>
      <c r="W191" t="str">
        <f>VLOOKUP(K191,[1]Info!A$1:B$21,2,0)</f>
        <v>Garra Traçadora</v>
      </c>
      <c r="X191" t="str">
        <f>IF(M191="109595132","Material de Limpeza-Não Avaliar",IF(AND(K191="F20",M191&lt;&gt;109595132),IF(RIGHT(F191,2)="70","Infraestrutura de Planta","Prédios e Instalações"),IF(K191="FPC",VLOOKUP(F191,[1]Info!$E$2:$F$11,2,0),IF(K191="FGP",VLOOKUP(F191,[1]Info!$E$9:$F$10,2,0),IF(K191="F10",VLOOKUP(F191,[1]Info!$E$2:$F$3,2,0),VLOOKUP(K191,[1]Info!$A$1:$B$21,2,0))))))</f>
        <v>Garra Traçadora</v>
      </c>
    </row>
    <row r="192" spans="1:24" x14ac:dyDescent="0.35">
      <c r="A192" t="s">
        <v>41</v>
      </c>
      <c r="B192" t="s">
        <v>54</v>
      </c>
      <c r="C192" t="s">
        <v>55</v>
      </c>
      <c r="D192" t="s">
        <v>94</v>
      </c>
      <c r="E192" t="s">
        <v>52</v>
      </c>
      <c r="F192">
        <v>7098520</v>
      </c>
      <c r="G192" t="s">
        <v>58</v>
      </c>
      <c r="H192" t="s">
        <v>43</v>
      </c>
      <c r="I192" t="s">
        <v>44</v>
      </c>
      <c r="J192" t="s">
        <v>50</v>
      </c>
      <c r="K192" t="s">
        <v>12</v>
      </c>
      <c r="L192" t="s">
        <v>51</v>
      </c>
      <c r="M192" t="s">
        <v>1405</v>
      </c>
      <c r="N192" t="s">
        <v>1406</v>
      </c>
      <c r="O192" t="s">
        <v>60</v>
      </c>
      <c r="P192" t="s">
        <v>1292</v>
      </c>
      <c r="Q192" t="s">
        <v>46</v>
      </c>
      <c r="R192" t="s">
        <v>47</v>
      </c>
      <c r="S192" t="s">
        <v>46</v>
      </c>
      <c r="T192" t="s">
        <v>46</v>
      </c>
      <c r="U192" s="4">
        <v>2981.59</v>
      </c>
      <c r="V192" t="str">
        <f t="shared" si="2"/>
        <v>GT18</v>
      </c>
      <c r="W192" t="str">
        <f>VLOOKUP(K192,[1]Info!A$1:B$21,2,0)</f>
        <v>Garra Traçadora</v>
      </c>
      <c r="X192" t="str">
        <f>IF(M192="109595132","Material de Limpeza-Não Avaliar",IF(AND(K192="F20",M192&lt;&gt;109595132),IF(RIGHT(F192,2)="70","Infraestrutura de Planta","Prédios e Instalações"),IF(K192="FPC",VLOOKUP(F192,[1]Info!$E$2:$F$11,2,0),IF(K192="FGP",VLOOKUP(F192,[1]Info!$E$9:$F$10,2,0),IF(K192="F10",VLOOKUP(F192,[1]Info!$E$2:$F$3,2,0),VLOOKUP(K192,[1]Info!$A$1:$B$21,2,0))))))</f>
        <v>Garra Traçadora</v>
      </c>
    </row>
    <row r="193" spans="1:24" x14ac:dyDescent="0.35">
      <c r="A193" t="s">
        <v>41</v>
      </c>
      <c r="B193" t="s">
        <v>54</v>
      </c>
      <c r="C193" t="s">
        <v>55</v>
      </c>
      <c r="D193" t="s">
        <v>94</v>
      </c>
      <c r="E193" t="s">
        <v>52</v>
      </c>
      <c r="F193">
        <v>7098520</v>
      </c>
      <c r="G193" t="s">
        <v>58</v>
      </c>
      <c r="H193" t="s">
        <v>43</v>
      </c>
      <c r="I193" t="s">
        <v>44</v>
      </c>
      <c r="J193" t="s">
        <v>50</v>
      </c>
      <c r="K193" t="s">
        <v>12</v>
      </c>
      <c r="L193" t="s">
        <v>51</v>
      </c>
      <c r="M193" t="s">
        <v>252</v>
      </c>
      <c r="N193" t="s">
        <v>253</v>
      </c>
      <c r="O193" t="s">
        <v>60</v>
      </c>
      <c r="P193" t="s">
        <v>1292</v>
      </c>
      <c r="Q193" t="s">
        <v>46</v>
      </c>
      <c r="R193" t="s">
        <v>47</v>
      </c>
      <c r="S193" t="s">
        <v>46</v>
      </c>
      <c r="T193" t="s">
        <v>46</v>
      </c>
      <c r="U193" s="4">
        <v>807.88</v>
      </c>
      <c r="V193" t="str">
        <f t="shared" si="2"/>
        <v>GT18</v>
      </c>
      <c r="W193" t="str">
        <f>VLOOKUP(K193,[1]Info!A$1:B$21,2,0)</f>
        <v>Garra Traçadora</v>
      </c>
      <c r="X193" t="str">
        <f>IF(M193="109595132","Material de Limpeza-Não Avaliar",IF(AND(K193="F20",M193&lt;&gt;109595132),IF(RIGHT(F193,2)="70","Infraestrutura de Planta","Prédios e Instalações"),IF(K193="FPC",VLOOKUP(F193,[1]Info!$E$2:$F$11,2,0),IF(K193="FGP",VLOOKUP(F193,[1]Info!$E$9:$F$10,2,0),IF(K193="F10",VLOOKUP(F193,[1]Info!$E$2:$F$3,2,0),VLOOKUP(K193,[1]Info!$A$1:$B$21,2,0))))))</f>
        <v>Garra Traçadora</v>
      </c>
    </row>
    <row r="194" spans="1:24" x14ac:dyDescent="0.35">
      <c r="A194" t="s">
        <v>41</v>
      </c>
      <c r="B194" t="s">
        <v>54</v>
      </c>
      <c r="C194" t="s">
        <v>55</v>
      </c>
      <c r="D194" t="s">
        <v>94</v>
      </c>
      <c r="E194" t="s">
        <v>52</v>
      </c>
      <c r="F194">
        <v>7098520</v>
      </c>
      <c r="G194" t="s">
        <v>58</v>
      </c>
      <c r="H194" t="s">
        <v>43</v>
      </c>
      <c r="I194" t="s">
        <v>44</v>
      </c>
      <c r="J194" t="s">
        <v>50</v>
      </c>
      <c r="K194" t="s">
        <v>12</v>
      </c>
      <c r="L194" t="s">
        <v>51</v>
      </c>
      <c r="M194" t="s">
        <v>1407</v>
      </c>
      <c r="N194" t="s">
        <v>1408</v>
      </c>
      <c r="O194" t="s">
        <v>209</v>
      </c>
      <c r="P194" t="s">
        <v>1292</v>
      </c>
      <c r="Q194" t="s">
        <v>46</v>
      </c>
      <c r="R194" t="s">
        <v>47</v>
      </c>
      <c r="S194" t="s">
        <v>46</v>
      </c>
      <c r="T194" t="s">
        <v>46</v>
      </c>
      <c r="U194" s="4">
        <v>44629.68</v>
      </c>
      <c r="V194" t="str">
        <f t="shared" si="2"/>
        <v>GT15</v>
      </c>
      <c r="W194" t="str">
        <f>VLOOKUP(K194,[1]Info!A$1:B$21,2,0)</f>
        <v>Garra Traçadora</v>
      </c>
      <c r="X194" t="str">
        <f>IF(M194="109595132","Material de Limpeza-Não Avaliar",IF(AND(K194="F20",M194&lt;&gt;109595132),IF(RIGHT(F194,2)="70","Infraestrutura de Planta","Prédios e Instalações"),IF(K194="FPC",VLOOKUP(F194,[1]Info!$E$2:$F$11,2,0),IF(K194="FGP",VLOOKUP(F194,[1]Info!$E$9:$F$10,2,0),IF(K194="F10",VLOOKUP(F194,[1]Info!$E$2:$F$3,2,0),VLOOKUP(K194,[1]Info!$A$1:$B$21,2,0))))))</f>
        <v>Garra Traçadora</v>
      </c>
    </row>
    <row r="195" spans="1:24" x14ac:dyDescent="0.35">
      <c r="A195" t="s">
        <v>41</v>
      </c>
      <c r="B195" t="s">
        <v>54</v>
      </c>
      <c r="C195" t="s">
        <v>55</v>
      </c>
      <c r="D195" t="s">
        <v>94</v>
      </c>
      <c r="E195" t="s">
        <v>52</v>
      </c>
      <c r="F195">
        <v>7098520</v>
      </c>
      <c r="G195" t="s">
        <v>58</v>
      </c>
      <c r="H195" t="s">
        <v>43</v>
      </c>
      <c r="I195" t="s">
        <v>44</v>
      </c>
      <c r="J195" t="s">
        <v>50</v>
      </c>
      <c r="K195" t="s">
        <v>12</v>
      </c>
      <c r="L195" t="s">
        <v>51</v>
      </c>
      <c r="M195" t="s">
        <v>623</v>
      </c>
      <c r="N195" t="s">
        <v>624</v>
      </c>
      <c r="O195" t="s">
        <v>60</v>
      </c>
      <c r="P195" t="s">
        <v>383</v>
      </c>
      <c r="Q195" t="s">
        <v>625</v>
      </c>
      <c r="R195" t="s">
        <v>626</v>
      </c>
      <c r="S195" t="s">
        <v>46</v>
      </c>
      <c r="T195" t="s">
        <v>46</v>
      </c>
      <c r="U195" s="4">
        <v>2589.09</v>
      </c>
      <c r="V195" t="str">
        <f t="shared" si="2"/>
        <v>GT18</v>
      </c>
      <c r="W195" t="str">
        <f>VLOOKUP(K195,[1]Info!A$1:B$21,2,0)</f>
        <v>Garra Traçadora</v>
      </c>
      <c r="X195" t="str">
        <f>IF(M195="109595132","Material de Limpeza-Não Avaliar",IF(AND(K195="F20",M195&lt;&gt;109595132),IF(RIGHT(F195,2)="70","Infraestrutura de Planta","Prédios e Instalações"),IF(K195="FPC",VLOOKUP(F195,[1]Info!$E$2:$F$11,2,0),IF(K195="FGP",VLOOKUP(F195,[1]Info!$E$9:$F$10,2,0),IF(K195="F10",VLOOKUP(F195,[1]Info!$E$2:$F$3,2,0),VLOOKUP(K195,[1]Info!$A$1:$B$21,2,0))))))</f>
        <v>Garra Traçadora</v>
      </c>
    </row>
    <row r="196" spans="1:24" x14ac:dyDescent="0.35">
      <c r="A196" t="s">
        <v>41</v>
      </c>
      <c r="B196" t="s">
        <v>54</v>
      </c>
      <c r="C196" t="s">
        <v>55</v>
      </c>
      <c r="D196" t="s">
        <v>94</v>
      </c>
      <c r="E196" t="s">
        <v>52</v>
      </c>
      <c r="F196">
        <v>7098520</v>
      </c>
      <c r="G196" t="s">
        <v>58</v>
      </c>
      <c r="H196" t="s">
        <v>43</v>
      </c>
      <c r="I196" t="s">
        <v>44</v>
      </c>
      <c r="J196" t="s">
        <v>50</v>
      </c>
      <c r="K196" t="s">
        <v>12</v>
      </c>
      <c r="L196" t="s">
        <v>51</v>
      </c>
      <c r="M196" t="s">
        <v>1409</v>
      </c>
      <c r="N196" t="s">
        <v>1410</v>
      </c>
      <c r="O196" t="s">
        <v>209</v>
      </c>
      <c r="P196" t="s">
        <v>1292</v>
      </c>
      <c r="Q196" t="s">
        <v>46</v>
      </c>
      <c r="R196" t="s">
        <v>47</v>
      </c>
      <c r="S196" t="s">
        <v>46</v>
      </c>
      <c r="T196" t="s">
        <v>46</v>
      </c>
      <c r="U196" s="4">
        <v>1736.91</v>
      </c>
      <c r="V196" t="str">
        <f t="shared" ref="V196:V259" si="3">RIGHT(O196,4)</f>
        <v>GT15</v>
      </c>
      <c r="W196" t="str">
        <f>VLOOKUP(K196,[1]Info!A$1:B$21,2,0)</f>
        <v>Garra Traçadora</v>
      </c>
      <c r="X196" t="str">
        <f>IF(M196="109595132","Material de Limpeza-Não Avaliar",IF(AND(K196="F20",M196&lt;&gt;109595132),IF(RIGHT(F196,2)="70","Infraestrutura de Planta","Prédios e Instalações"),IF(K196="FPC",VLOOKUP(F196,[1]Info!$E$2:$F$11,2,0),IF(K196="FGP",VLOOKUP(F196,[1]Info!$E$9:$F$10,2,0),IF(K196="F10",VLOOKUP(F196,[1]Info!$E$2:$F$3,2,0),VLOOKUP(K196,[1]Info!$A$1:$B$21,2,0))))))</f>
        <v>Garra Traçadora</v>
      </c>
    </row>
    <row r="197" spans="1:24" x14ac:dyDescent="0.35">
      <c r="A197" t="s">
        <v>41</v>
      </c>
      <c r="B197" t="s">
        <v>54</v>
      </c>
      <c r="C197" t="s">
        <v>55</v>
      </c>
      <c r="D197" t="s">
        <v>94</v>
      </c>
      <c r="E197" t="s">
        <v>52</v>
      </c>
      <c r="F197">
        <v>7098520</v>
      </c>
      <c r="G197" t="s">
        <v>58</v>
      </c>
      <c r="H197" t="s">
        <v>43</v>
      </c>
      <c r="I197" t="s">
        <v>44</v>
      </c>
      <c r="J197" t="s">
        <v>50</v>
      </c>
      <c r="K197" t="s">
        <v>12</v>
      </c>
      <c r="L197" t="s">
        <v>51</v>
      </c>
      <c r="M197" t="s">
        <v>1411</v>
      </c>
      <c r="N197" t="s">
        <v>1412</v>
      </c>
      <c r="O197" t="s">
        <v>209</v>
      </c>
      <c r="P197" t="s">
        <v>1292</v>
      </c>
      <c r="Q197" t="s">
        <v>46</v>
      </c>
      <c r="R197" t="s">
        <v>47</v>
      </c>
      <c r="S197" t="s">
        <v>46</v>
      </c>
      <c r="T197" t="s">
        <v>46</v>
      </c>
      <c r="U197" s="4">
        <v>1220.4100000000001</v>
      </c>
      <c r="V197" t="str">
        <f t="shared" si="3"/>
        <v>GT15</v>
      </c>
      <c r="W197" t="str">
        <f>VLOOKUP(K197,[1]Info!A$1:B$21,2,0)</f>
        <v>Garra Traçadora</v>
      </c>
      <c r="X197" t="str">
        <f>IF(M197="109595132","Material de Limpeza-Não Avaliar",IF(AND(K197="F20",M197&lt;&gt;109595132),IF(RIGHT(F197,2)="70","Infraestrutura de Planta","Prédios e Instalações"),IF(K197="FPC",VLOOKUP(F197,[1]Info!$E$2:$F$11,2,0),IF(K197="FGP",VLOOKUP(F197,[1]Info!$E$9:$F$10,2,0),IF(K197="F10",VLOOKUP(F197,[1]Info!$E$2:$F$3,2,0),VLOOKUP(K197,[1]Info!$A$1:$B$21,2,0))))))</f>
        <v>Garra Traçadora</v>
      </c>
    </row>
    <row r="198" spans="1:24" x14ac:dyDescent="0.35">
      <c r="A198" t="s">
        <v>41</v>
      </c>
      <c r="B198" t="s">
        <v>54</v>
      </c>
      <c r="C198" t="s">
        <v>55</v>
      </c>
      <c r="D198" t="s">
        <v>94</v>
      </c>
      <c r="E198" t="s">
        <v>52</v>
      </c>
      <c r="F198">
        <v>7098520</v>
      </c>
      <c r="G198" t="s">
        <v>58</v>
      </c>
      <c r="H198" t="s">
        <v>43</v>
      </c>
      <c r="I198" t="s">
        <v>44</v>
      </c>
      <c r="J198" t="s">
        <v>50</v>
      </c>
      <c r="K198" t="s">
        <v>12</v>
      </c>
      <c r="L198" t="s">
        <v>51</v>
      </c>
      <c r="M198" t="s">
        <v>1413</v>
      </c>
      <c r="N198" t="s">
        <v>1414</v>
      </c>
      <c r="O198" t="s">
        <v>1415</v>
      </c>
      <c r="P198" t="s">
        <v>1292</v>
      </c>
      <c r="Q198" t="s">
        <v>46</v>
      </c>
      <c r="R198" t="s">
        <v>47</v>
      </c>
      <c r="S198" t="s">
        <v>46</v>
      </c>
      <c r="T198" t="s">
        <v>46</v>
      </c>
      <c r="U198" s="4">
        <v>1051.71</v>
      </c>
      <c r="V198" t="str">
        <f t="shared" si="3"/>
        <v>GT17</v>
      </c>
      <c r="W198" t="str">
        <f>VLOOKUP(K198,[1]Info!A$1:B$21,2,0)</f>
        <v>Garra Traçadora</v>
      </c>
      <c r="X198" t="str">
        <f>IF(M198="109595132","Material de Limpeza-Não Avaliar",IF(AND(K198="F20",M198&lt;&gt;109595132),IF(RIGHT(F198,2)="70","Infraestrutura de Planta","Prédios e Instalações"),IF(K198="FPC",VLOOKUP(F198,[1]Info!$E$2:$F$11,2,0),IF(K198="FGP",VLOOKUP(F198,[1]Info!$E$9:$F$10,2,0),IF(K198="F10",VLOOKUP(F198,[1]Info!$E$2:$F$3,2,0),VLOOKUP(K198,[1]Info!$A$1:$B$21,2,0))))))</f>
        <v>Garra Traçadora</v>
      </c>
    </row>
    <row r="199" spans="1:24" x14ac:dyDescent="0.35">
      <c r="A199" t="s">
        <v>41</v>
      </c>
      <c r="B199" t="s">
        <v>54</v>
      </c>
      <c r="C199" t="s">
        <v>55</v>
      </c>
      <c r="D199" t="s">
        <v>94</v>
      </c>
      <c r="E199" t="s">
        <v>52</v>
      </c>
      <c r="F199">
        <v>7098520</v>
      </c>
      <c r="G199" t="s">
        <v>58</v>
      </c>
      <c r="H199" t="s">
        <v>43</v>
      </c>
      <c r="I199" t="s">
        <v>44</v>
      </c>
      <c r="J199" t="s">
        <v>50</v>
      </c>
      <c r="K199" t="s">
        <v>12</v>
      </c>
      <c r="L199" t="s">
        <v>51</v>
      </c>
      <c r="M199" t="s">
        <v>200</v>
      </c>
      <c r="N199" t="s">
        <v>201</v>
      </c>
      <c r="O199" t="s">
        <v>85</v>
      </c>
      <c r="P199" t="s">
        <v>1292</v>
      </c>
      <c r="Q199" t="s">
        <v>46</v>
      </c>
      <c r="R199" t="s">
        <v>47</v>
      </c>
      <c r="S199" t="s">
        <v>46</v>
      </c>
      <c r="T199" t="s">
        <v>46</v>
      </c>
      <c r="U199" s="4">
        <v>20780.419999999998</v>
      </c>
      <c r="V199" t="str">
        <f t="shared" si="3"/>
        <v>GT16</v>
      </c>
      <c r="W199" t="str">
        <f>VLOOKUP(K199,[1]Info!A$1:B$21,2,0)</f>
        <v>Garra Traçadora</v>
      </c>
      <c r="X199" t="str">
        <f>IF(M199="109595132","Material de Limpeza-Não Avaliar",IF(AND(K199="F20",M199&lt;&gt;109595132),IF(RIGHT(F199,2)="70","Infraestrutura de Planta","Prédios e Instalações"),IF(K199="FPC",VLOOKUP(F199,[1]Info!$E$2:$F$11,2,0),IF(K199="FGP",VLOOKUP(F199,[1]Info!$E$9:$F$10,2,0),IF(K199="F10",VLOOKUP(F199,[1]Info!$E$2:$F$3,2,0),VLOOKUP(K199,[1]Info!$A$1:$B$21,2,0))))))</f>
        <v>Garra Traçadora</v>
      </c>
    </row>
    <row r="200" spans="1:24" x14ac:dyDescent="0.35">
      <c r="A200" t="s">
        <v>41</v>
      </c>
      <c r="B200" t="s">
        <v>54</v>
      </c>
      <c r="C200" t="s">
        <v>55</v>
      </c>
      <c r="D200" t="s">
        <v>94</v>
      </c>
      <c r="E200" t="s">
        <v>52</v>
      </c>
      <c r="F200">
        <v>7098520</v>
      </c>
      <c r="G200" t="s">
        <v>58</v>
      </c>
      <c r="H200" t="s">
        <v>43</v>
      </c>
      <c r="I200" t="s">
        <v>44</v>
      </c>
      <c r="J200" t="s">
        <v>50</v>
      </c>
      <c r="K200" t="s">
        <v>12</v>
      </c>
      <c r="L200" t="s">
        <v>51</v>
      </c>
      <c r="M200" t="s">
        <v>1416</v>
      </c>
      <c r="N200" t="s">
        <v>1417</v>
      </c>
      <c r="O200" t="s">
        <v>60</v>
      </c>
      <c r="P200" t="s">
        <v>1292</v>
      </c>
      <c r="Q200" t="s">
        <v>46</v>
      </c>
      <c r="R200" t="s">
        <v>47</v>
      </c>
      <c r="S200" t="s">
        <v>46</v>
      </c>
      <c r="T200" t="s">
        <v>46</v>
      </c>
      <c r="U200" s="4">
        <v>6843.22</v>
      </c>
      <c r="V200" t="str">
        <f t="shared" si="3"/>
        <v>GT18</v>
      </c>
      <c r="W200" t="str">
        <f>VLOOKUP(K200,[1]Info!A$1:B$21,2,0)</f>
        <v>Garra Traçadora</v>
      </c>
      <c r="X200" t="str">
        <f>IF(M200="109595132","Material de Limpeza-Não Avaliar",IF(AND(K200="F20",M200&lt;&gt;109595132),IF(RIGHT(F200,2)="70","Infraestrutura de Planta","Prédios e Instalações"),IF(K200="FPC",VLOOKUP(F200,[1]Info!$E$2:$F$11,2,0),IF(K200="FGP",VLOOKUP(F200,[1]Info!$E$9:$F$10,2,0),IF(K200="F10",VLOOKUP(F200,[1]Info!$E$2:$F$3,2,0),VLOOKUP(K200,[1]Info!$A$1:$B$21,2,0))))))</f>
        <v>Garra Traçadora</v>
      </c>
    </row>
    <row r="201" spans="1:24" x14ac:dyDescent="0.35">
      <c r="A201" t="s">
        <v>41</v>
      </c>
      <c r="B201" t="s">
        <v>54</v>
      </c>
      <c r="C201" t="s">
        <v>55</v>
      </c>
      <c r="D201" t="s">
        <v>94</v>
      </c>
      <c r="E201" t="s">
        <v>52</v>
      </c>
      <c r="F201">
        <v>7098520</v>
      </c>
      <c r="G201" t="s">
        <v>58</v>
      </c>
      <c r="H201" t="s">
        <v>43</v>
      </c>
      <c r="I201" t="s">
        <v>44</v>
      </c>
      <c r="J201" t="s">
        <v>50</v>
      </c>
      <c r="K201" t="s">
        <v>12</v>
      </c>
      <c r="L201" t="s">
        <v>51</v>
      </c>
      <c r="M201" t="s">
        <v>627</v>
      </c>
      <c r="N201" t="s">
        <v>628</v>
      </c>
      <c r="O201" t="s">
        <v>476</v>
      </c>
      <c r="P201" t="s">
        <v>383</v>
      </c>
      <c r="Q201" t="s">
        <v>629</v>
      </c>
      <c r="R201" t="s">
        <v>630</v>
      </c>
      <c r="S201" t="s">
        <v>46</v>
      </c>
      <c r="T201" t="s">
        <v>46</v>
      </c>
      <c r="U201" s="4">
        <v>678.77</v>
      </c>
      <c r="V201" t="str">
        <f t="shared" si="3"/>
        <v>GT19</v>
      </c>
      <c r="W201" t="str">
        <f>VLOOKUP(K201,[1]Info!A$1:B$21,2,0)</f>
        <v>Garra Traçadora</v>
      </c>
      <c r="X201" t="str">
        <f>IF(M201="109595132","Material de Limpeza-Não Avaliar",IF(AND(K201="F20",M201&lt;&gt;109595132),IF(RIGHT(F201,2)="70","Infraestrutura de Planta","Prédios e Instalações"),IF(K201="FPC",VLOOKUP(F201,[1]Info!$E$2:$F$11,2,0),IF(K201="FGP",VLOOKUP(F201,[1]Info!$E$9:$F$10,2,0),IF(K201="F10",VLOOKUP(F201,[1]Info!$E$2:$F$3,2,0),VLOOKUP(K201,[1]Info!$A$1:$B$21,2,0))))))</f>
        <v>Garra Traçadora</v>
      </c>
    </row>
    <row r="202" spans="1:24" x14ac:dyDescent="0.35">
      <c r="A202" t="s">
        <v>41</v>
      </c>
      <c r="B202" t="s">
        <v>54</v>
      </c>
      <c r="C202" t="s">
        <v>55</v>
      </c>
      <c r="D202" t="s">
        <v>94</v>
      </c>
      <c r="E202" t="s">
        <v>52</v>
      </c>
      <c r="F202">
        <v>7098520</v>
      </c>
      <c r="G202" t="s">
        <v>58</v>
      </c>
      <c r="H202" t="s">
        <v>43</v>
      </c>
      <c r="I202" t="s">
        <v>44</v>
      </c>
      <c r="J202" t="s">
        <v>50</v>
      </c>
      <c r="K202" t="s">
        <v>12</v>
      </c>
      <c r="L202" t="s">
        <v>51</v>
      </c>
      <c r="M202" t="s">
        <v>1418</v>
      </c>
      <c r="N202" t="s">
        <v>1419</v>
      </c>
      <c r="O202" t="s">
        <v>209</v>
      </c>
      <c r="P202" t="s">
        <v>1292</v>
      </c>
      <c r="Q202" t="s">
        <v>46</v>
      </c>
      <c r="R202" t="s">
        <v>47</v>
      </c>
      <c r="S202" t="s">
        <v>46</v>
      </c>
      <c r="T202" t="s">
        <v>46</v>
      </c>
      <c r="U202" s="4">
        <v>3930.09</v>
      </c>
      <c r="V202" t="str">
        <f t="shared" si="3"/>
        <v>GT15</v>
      </c>
      <c r="W202" t="str">
        <f>VLOOKUP(K202,[1]Info!A$1:B$21,2,0)</f>
        <v>Garra Traçadora</v>
      </c>
      <c r="X202" t="str">
        <f>IF(M202="109595132","Material de Limpeza-Não Avaliar",IF(AND(K202="F20",M202&lt;&gt;109595132),IF(RIGHT(F202,2)="70","Infraestrutura de Planta","Prédios e Instalações"),IF(K202="FPC",VLOOKUP(F202,[1]Info!$E$2:$F$11,2,0),IF(K202="FGP",VLOOKUP(F202,[1]Info!$E$9:$F$10,2,0),IF(K202="F10",VLOOKUP(F202,[1]Info!$E$2:$F$3,2,0),VLOOKUP(K202,[1]Info!$A$1:$B$21,2,0))))))</f>
        <v>Garra Traçadora</v>
      </c>
    </row>
    <row r="203" spans="1:24" x14ac:dyDescent="0.35">
      <c r="A203" t="s">
        <v>41</v>
      </c>
      <c r="B203" t="s">
        <v>54</v>
      </c>
      <c r="C203" t="s">
        <v>55</v>
      </c>
      <c r="D203" t="s">
        <v>94</v>
      </c>
      <c r="E203" t="s">
        <v>52</v>
      </c>
      <c r="F203">
        <v>7098520</v>
      </c>
      <c r="G203" t="s">
        <v>58</v>
      </c>
      <c r="H203" t="s">
        <v>43</v>
      </c>
      <c r="I203" t="s">
        <v>44</v>
      </c>
      <c r="J203" t="s">
        <v>50</v>
      </c>
      <c r="K203" t="s">
        <v>12</v>
      </c>
      <c r="L203" t="s">
        <v>51</v>
      </c>
      <c r="M203" t="s">
        <v>1420</v>
      </c>
      <c r="N203" t="s">
        <v>1421</v>
      </c>
      <c r="O203" t="s">
        <v>209</v>
      </c>
      <c r="P203" t="s">
        <v>1292</v>
      </c>
      <c r="Q203" t="s">
        <v>46</v>
      </c>
      <c r="R203" t="s">
        <v>47</v>
      </c>
      <c r="S203" t="s">
        <v>46</v>
      </c>
      <c r="T203" t="s">
        <v>46</v>
      </c>
      <c r="U203" s="4">
        <v>2127.62</v>
      </c>
      <c r="V203" t="str">
        <f t="shared" si="3"/>
        <v>GT15</v>
      </c>
      <c r="W203" t="str">
        <f>VLOOKUP(K203,[1]Info!A$1:B$21,2,0)</f>
        <v>Garra Traçadora</v>
      </c>
      <c r="X203" t="str">
        <f>IF(M203="109595132","Material de Limpeza-Não Avaliar",IF(AND(K203="F20",M203&lt;&gt;109595132),IF(RIGHT(F203,2)="70","Infraestrutura de Planta","Prédios e Instalações"),IF(K203="FPC",VLOOKUP(F203,[1]Info!$E$2:$F$11,2,0),IF(K203="FGP",VLOOKUP(F203,[1]Info!$E$9:$F$10,2,0),IF(K203="F10",VLOOKUP(F203,[1]Info!$E$2:$F$3,2,0),VLOOKUP(K203,[1]Info!$A$1:$B$21,2,0))))))</f>
        <v>Garra Traçadora</v>
      </c>
    </row>
    <row r="204" spans="1:24" x14ac:dyDescent="0.35">
      <c r="A204" t="s">
        <v>41</v>
      </c>
      <c r="B204" t="s">
        <v>54</v>
      </c>
      <c r="C204" t="s">
        <v>55</v>
      </c>
      <c r="D204" t="s">
        <v>94</v>
      </c>
      <c r="E204" t="s">
        <v>52</v>
      </c>
      <c r="F204">
        <v>7098520</v>
      </c>
      <c r="G204" t="s">
        <v>58</v>
      </c>
      <c r="H204" t="s">
        <v>43</v>
      </c>
      <c r="I204" t="s">
        <v>44</v>
      </c>
      <c r="J204" t="s">
        <v>50</v>
      </c>
      <c r="K204" t="s">
        <v>12</v>
      </c>
      <c r="L204" t="s">
        <v>51</v>
      </c>
      <c r="M204" t="s">
        <v>1422</v>
      </c>
      <c r="N204" t="s">
        <v>1423</v>
      </c>
      <c r="O204" t="s">
        <v>1424</v>
      </c>
      <c r="P204" t="s">
        <v>1292</v>
      </c>
      <c r="Q204" t="s">
        <v>46</v>
      </c>
      <c r="R204" t="s">
        <v>47</v>
      </c>
      <c r="S204" t="s">
        <v>46</v>
      </c>
      <c r="T204" t="s">
        <v>46</v>
      </c>
      <c r="U204" s="4">
        <v>374.84</v>
      </c>
      <c r="V204" t="str">
        <f t="shared" si="3"/>
        <v>0005</v>
      </c>
      <c r="W204" t="str">
        <f>VLOOKUP(K204,[1]Info!A$1:B$21,2,0)</f>
        <v>Garra Traçadora</v>
      </c>
      <c r="X204" t="str">
        <f>IF(M204="109595132","Material de Limpeza-Não Avaliar",IF(AND(K204="F20",M204&lt;&gt;109595132),IF(RIGHT(F204,2)="70","Infraestrutura de Planta","Prédios e Instalações"),IF(K204="FPC",VLOOKUP(F204,[1]Info!$E$2:$F$11,2,0),IF(K204="FGP",VLOOKUP(F204,[1]Info!$E$9:$F$10,2,0),IF(K204="F10",VLOOKUP(F204,[1]Info!$E$2:$F$3,2,0),VLOOKUP(K204,[1]Info!$A$1:$B$21,2,0))))))</f>
        <v>Garra Traçadora</v>
      </c>
    </row>
    <row r="205" spans="1:24" x14ac:dyDescent="0.35">
      <c r="A205" t="s">
        <v>41</v>
      </c>
      <c r="B205" t="s">
        <v>54</v>
      </c>
      <c r="C205" t="s">
        <v>55</v>
      </c>
      <c r="D205" t="s">
        <v>94</v>
      </c>
      <c r="E205" t="s">
        <v>52</v>
      </c>
      <c r="F205">
        <v>7098520</v>
      </c>
      <c r="G205" t="s">
        <v>58</v>
      </c>
      <c r="H205" t="s">
        <v>43</v>
      </c>
      <c r="I205" t="s">
        <v>44</v>
      </c>
      <c r="J205" t="s">
        <v>50</v>
      </c>
      <c r="K205" t="s">
        <v>12</v>
      </c>
      <c r="L205" t="s">
        <v>51</v>
      </c>
      <c r="M205" t="s">
        <v>631</v>
      </c>
      <c r="N205" t="s">
        <v>632</v>
      </c>
      <c r="O205" t="s">
        <v>85</v>
      </c>
      <c r="P205" t="s">
        <v>383</v>
      </c>
      <c r="Q205" t="s">
        <v>617</v>
      </c>
      <c r="R205" t="s">
        <v>618</v>
      </c>
      <c r="S205" t="s">
        <v>46</v>
      </c>
      <c r="T205" t="s">
        <v>46</v>
      </c>
      <c r="U205" s="4">
        <v>131.9</v>
      </c>
      <c r="V205" t="str">
        <f t="shared" si="3"/>
        <v>GT16</v>
      </c>
      <c r="W205" t="str">
        <f>VLOOKUP(K205,[1]Info!A$1:B$21,2,0)</f>
        <v>Garra Traçadora</v>
      </c>
      <c r="X205" t="str">
        <f>IF(M205="109595132","Material de Limpeza-Não Avaliar",IF(AND(K205="F20",M205&lt;&gt;109595132),IF(RIGHT(F205,2)="70","Infraestrutura de Planta","Prédios e Instalações"),IF(K205="FPC",VLOOKUP(F205,[1]Info!$E$2:$F$11,2,0),IF(K205="FGP",VLOOKUP(F205,[1]Info!$E$9:$F$10,2,0),IF(K205="F10",VLOOKUP(F205,[1]Info!$E$2:$F$3,2,0),VLOOKUP(K205,[1]Info!$A$1:$B$21,2,0))))))</f>
        <v>Garra Traçadora</v>
      </c>
    </row>
    <row r="206" spans="1:24" x14ac:dyDescent="0.35">
      <c r="A206" t="s">
        <v>41</v>
      </c>
      <c r="B206" t="s">
        <v>54</v>
      </c>
      <c r="C206" t="s">
        <v>55</v>
      </c>
      <c r="D206" t="s">
        <v>94</v>
      </c>
      <c r="E206" t="s">
        <v>52</v>
      </c>
      <c r="F206">
        <v>7098520</v>
      </c>
      <c r="G206" t="s">
        <v>58</v>
      </c>
      <c r="H206" t="s">
        <v>43</v>
      </c>
      <c r="I206" t="s">
        <v>44</v>
      </c>
      <c r="J206" t="s">
        <v>50</v>
      </c>
      <c r="K206" t="s">
        <v>12</v>
      </c>
      <c r="L206" t="s">
        <v>51</v>
      </c>
      <c r="M206" t="s">
        <v>474</v>
      </c>
      <c r="N206" t="s">
        <v>475</v>
      </c>
      <c r="O206" t="s">
        <v>476</v>
      </c>
      <c r="P206" t="s">
        <v>383</v>
      </c>
      <c r="Q206" t="s">
        <v>629</v>
      </c>
      <c r="R206" t="s">
        <v>630</v>
      </c>
      <c r="S206" t="s">
        <v>46</v>
      </c>
      <c r="T206" t="s">
        <v>46</v>
      </c>
      <c r="U206" s="4">
        <v>1426.21</v>
      </c>
      <c r="V206" t="str">
        <f t="shared" si="3"/>
        <v>GT19</v>
      </c>
      <c r="W206" t="str">
        <f>VLOOKUP(K206,[1]Info!A$1:B$21,2,0)</f>
        <v>Garra Traçadora</v>
      </c>
      <c r="X206" t="str">
        <f>IF(M206="109595132","Material de Limpeza-Não Avaliar",IF(AND(K206="F20",M206&lt;&gt;109595132),IF(RIGHT(F206,2)="70","Infraestrutura de Planta","Prédios e Instalações"),IF(K206="FPC",VLOOKUP(F206,[1]Info!$E$2:$F$11,2,0),IF(K206="FGP",VLOOKUP(F206,[1]Info!$E$9:$F$10,2,0),IF(K206="F10",VLOOKUP(F206,[1]Info!$E$2:$F$3,2,0),VLOOKUP(K206,[1]Info!$A$1:$B$21,2,0))))))</f>
        <v>Garra Traçadora</v>
      </c>
    </row>
    <row r="207" spans="1:24" x14ac:dyDescent="0.35">
      <c r="A207" t="s">
        <v>41</v>
      </c>
      <c r="B207" t="s">
        <v>54</v>
      </c>
      <c r="C207" t="s">
        <v>55</v>
      </c>
      <c r="D207" t="s">
        <v>94</v>
      </c>
      <c r="E207" t="s">
        <v>52</v>
      </c>
      <c r="F207">
        <v>7098520</v>
      </c>
      <c r="G207" t="s">
        <v>58</v>
      </c>
      <c r="H207" t="s">
        <v>43</v>
      </c>
      <c r="I207" t="s">
        <v>44</v>
      </c>
      <c r="J207" t="s">
        <v>50</v>
      </c>
      <c r="K207" t="s">
        <v>12</v>
      </c>
      <c r="L207" t="s">
        <v>51</v>
      </c>
      <c r="M207" t="s">
        <v>1425</v>
      </c>
      <c r="N207" t="s">
        <v>1426</v>
      </c>
      <c r="O207" t="s">
        <v>85</v>
      </c>
      <c r="P207" t="s">
        <v>1292</v>
      </c>
      <c r="Q207" t="s">
        <v>46</v>
      </c>
      <c r="R207" t="s">
        <v>47</v>
      </c>
      <c r="S207" t="s">
        <v>46</v>
      </c>
      <c r="T207" t="s">
        <v>46</v>
      </c>
      <c r="U207" s="4">
        <v>16341.26</v>
      </c>
      <c r="V207" t="str">
        <f t="shared" si="3"/>
        <v>GT16</v>
      </c>
      <c r="W207" t="str">
        <f>VLOOKUP(K207,[1]Info!A$1:B$21,2,0)</f>
        <v>Garra Traçadora</v>
      </c>
      <c r="X207" t="str">
        <f>IF(M207="109595132","Material de Limpeza-Não Avaliar",IF(AND(K207="F20",M207&lt;&gt;109595132),IF(RIGHT(F207,2)="70","Infraestrutura de Planta","Prédios e Instalações"),IF(K207="FPC",VLOOKUP(F207,[1]Info!$E$2:$F$11,2,0),IF(K207="FGP",VLOOKUP(F207,[1]Info!$E$9:$F$10,2,0),IF(K207="F10",VLOOKUP(F207,[1]Info!$E$2:$F$3,2,0),VLOOKUP(K207,[1]Info!$A$1:$B$21,2,0))))))</f>
        <v>Garra Traçadora</v>
      </c>
    </row>
    <row r="208" spans="1:24" x14ac:dyDescent="0.35">
      <c r="A208" t="s">
        <v>41</v>
      </c>
      <c r="B208" t="s">
        <v>54</v>
      </c>
      <c r="C208" t="s">
        <v>55</v>
      </c>
      <c r="D208" t="s">
        <v>94</v>
      </c>
      <c r="E208" t="s">
        <v>52</v>
      </c>
      <c r="F208">
        <v>7098520</v>
      </c>
      <c r="G208" t="s">
        <v>58</v>
      </c>
      <c r="H208" t="s">
        <v>43</v>
      </c>
      <c r="I208" t="s">
        <v>44</v>
      </c>
      <c r="J208" t="s">
        <v>50</v>
      </c>
      <c r="K208" t="s">
        <v>12</v>
      </c>
      <c r="L208" t="s">
        <v>51</v>
      </c>
      <c r="M208" t="s">
        <v>633</v>
      </c>
      <c r="N208" t="s">
        <v>634</v>
      </c>
      <c r="O208" t="s">
        <v>85</v>
      </c>
      <c r="P208" t="s">
        <v>383</v>
      </c>
      <c r="Q208" t="s">
        <v>629</v>
      </c>
      <c r="R208" t="s">
        <v>630</v>
      </c>
      <c r="S208" t="s">
        <v>46</v>
      </c>
      <c r="T208" t="s">
        <v>46</v>
      </c>
      <c r="U208" s="4">
        <v>1357.53</v>
      </c>
      <c r="V208" t="str">
        <f t="shared" si="3"/>
        <v>GT16</v>
      </c>
      <c r="W208" t="str">
        <f>VLOOKUP(K208,[1]Info!A$1:B$21,2,0)</f>
        <v>Garra Traçadora</v>
      </c>
      <c r="X208" t="str">
        <f>IF(M208="109595132","Material de Limpeza-Não Avaliar",IF(AND(K208="F20",M208&lt;&gt;109595132),IF(RIGHT(F208,2)="70","Infraestrutura de Planta","Prédios e Instalações"),IF(K208="FPC",VLOOKUP(F208,[1]Info!$E$2:$F$11,2,0),IF(K208="FGP",VLOOKUP(F208,[1]Info!$E$9:$F$10,2,0),IF(K208="F10",VLOOKUP(F208,[1]Info!$E$2:$F$3,2,0),VLOOKUP(K208,[1]Info!$A$1:$B$21,2,0))))))</f>
        <v>Garra Traçadora</v>
      </c>
    </row>
    <row r="209" spans="1:24" x14ac:dyDescent="0.35">
      <c r="A209" t="s">
        <v>41</v>
      </c>
      <c r="B209" t="s">
        <v>54</v>
      </c>
      <c r="C209" t="s">
        <v>55</v>
      </c>
      <c r="D209" t="s">
        <v>94</v>
      </c>
      <c r="E209" t="s">
        <v>52</v>
      </c>
      <c r="F209">
        <v>7098520</v>
      </c>
      <c r="G209" t="s">
        <v>58</v>
      </c>
      <c r="H209" t="s">
        <v>43</v>
      </c>
      <c r="I209" t="s">
        <v>44</v>
      </c>
      <c r="J209" t="s">
        <v>50</v>
      </c>
      <c r="K209" t="s">
        <v>12</v>
      </c>
      <c r="L209" t="s">
        <v>51</v>
      </c>
      <c r="M209" t="s">
        <v>1427</v>
      </c>
      <c r="N209" t="s">
        <v>1428</v>
      </c>
      <c r="O209" t="s">
        <v>85</v>
      </c>
      <c r="P209" t="s">
        <v>1292</v>
      </c>
      <c r="Q209" t="s">
        <v>46</v>
      </c>
      <c r="R209" t="s">
        <v>47</v>
      </c>
      <c r="S209" t="s">
        <v>46</v>
      </c>
      <c r="T209" t="s">
        <v>46</v>
      </c>
      <c r="U209" s="4">
        <v>8222.59</v>
      </c>
      <c r="V209" t="str">
        <f t="shared" si="3"/>
        <v>GT16</v>
      </c>
      <c r="W209" t="str">
        <f>VLOOKUP(K209,[1]Info!A$1:B$21,2,0)</f>
        <v>Garra Traçadora</v>
      </c>
      <c r="X209" t="str">
        <f>IF(M209="109595132","Material de Limpeza-Não Avaliar",IF(AND(K209="F20",M209&lt;&gt;109595132),IF(RIGHT(F209,2)="70","Infraestrutura de Planta","Prédios e Instalações"),IF(K209="FPC",VLOOKUP(F209,[1]Info!$E$2:$F$11,2,0),IF(K209="FGP",VLOOKUP(F209,[1]Info!$E$9:$F$10,2,0),IF(K209="F10",VLOOKUP(F209,[1]Info!$E$2:$F$3,2,0),VLOOKUP(K209,[1]Info!$A$1:$B$21,2,0))))))</f>
        <v>Garra Traçadora</v>
      </c>
    </row>
    <row r="210" spans="1:24" x14ac:dyDescent="0.35">
      <c r="A210" t="s">
        <v>41</v>
      </c>
      <c r="B210" t="s">
        <v>54</v>
      </c>
      <c r="C210" t="s">
        <v>55</v>
      </c>
      <c r="D210" t="s">
        <v>94</v>
      </c>
      <c r="E210" t="s">
        <v>52</v>
      </c>
      <c r="F210">
        <v>7098520</v>
      </c>
      <c r="G210" t="s">
        <v>58</v>
      </c>
      <c r="H210" t="s">
        <v>43</v>
      </c>
      <c r="I210" t="s">
        <v>44</v>
      </c>
      <c r="J210" t="s">
        <v>50</v>
      </c>
      <c r="K210" t="s">
        <v>12</v>
      </c>
      <c r="L210" t="s">
        <v>51</v>
      </c>
      <c r="M210" t="s">
        <v>635</v>
      </c>
      <c r="N210" t="s">
        <v>636</v>
      </c>
      <c r="O210" t="s">
        <v>637</v>
      </c>
      <c r="P210" t="s">
        <v>383</v>
      </c>
      <c r="Q210" t="s">
        <v>638</v>
      </c>
      <c r="R210" t="s">
        <v>639</v>
      </c>
      <c r="S210" t="s">
        <v>46</v>
      </c>
      <c r="T210" t="s">
        <v>46</v>
      </c>
      <c r="U210" s="4">
        <v>1732.49</v>
      </c>
      <c r="V210" t="str">
        <f t="shared" si="3"/>
        <v>0005</v>
      </c>
      <c r="W210" t="str">
        <f>VLOOKUP(K210,[1]Info!A$1:B$21,2,0)</f>
        <v>Garra Traçadora</v>
      </c>
      <c r="X210" t="str">
        <f>IF(M210="109595132","Material de Limpeza-Não Avaliar",IF(AND(K210="F20",M210&lt;&gt;109595132),IF(RIGHT(F210,2)="70","Infraestrutura de Planta","Prédios e Instalações"),IF(K210="FPC",VLOOKUP(F210,[1]Info!$E$2:$F$11,2,0),IF(K210="FGP",VLOOKUP(F210,[1]Info!$E$9:$F$10,2,0),IF(K210="F10",VLOOKUP(F210,[1]Info!$E$2:$F$3,2,0),VLOOKUP(K210,[1]Info!$A$1:$B$21,2,0))))))</f>
        <v>Garra Traçadora</v>
      </c>
    </row>
    <row r="211" spans="1:24" x14ac:dyDescent="0.35">
      <c r="A211" t="s">
        <v>41</v>
      </c>
      <c r="B211" t="s">
        <v>54</v>
      </c>
      <c r="C211" t="s">
        <v>55</v>
      </c>
      <c r="D211" t="s">
        <v>94</v>
      </c>
      <c r="E211" t="s">
        <v>52</v>
      </c>
      <c r="F211">
        <v>7098520</v>
      </c>
      <c r="G211" t="s">
        <v>58</v>
      </c>
      <c r="H211" t="s">
        <v>43</v>
      </c>
      <c r="I211" t="s">
        <v>44</v>
      </c>
      <c r="J211" t="s">
        <v>50</v>
      </c>
      <c r="K211" t="s">
        <v>12</v>
      </c>
      <c r="L211" t="s">
        <v>51</v>
      </c>
      <c r="M211" t="s">
        <v>640</v>
      </c>
      <c r="N211" t="s">
        <v>641</v>
      </c>
      <c r="O211" t="s">
        <v>642</v>
      </c>
      <c r="P211" t="s">
        <v>383</v>
      </c>
      <c r="Q211" t="s">
        <v>617</v>
      </c>
      <c r="R211" t="s">
        <v>618</v>
      </c>
      <c r="S211" t="s">
        <v>46</v>
      </c>
      <c r="T211" t="s">
        <v>46</v>
      </c>
      <c r="U211" s="4">
        <v>263.79000000000002</v>
      </c>
      <c r="V211" t="str">
        <f t="shared" si="3"/>
        <v>SI01</v>
      </c>
      <c r="W211" t="str">
        <f>VLOOKUP(K211,[1]Info!A$1:B$21,2,0)</f>
        <v>Garra Traçadora</v>
      </c>
      <c r="X211" t="str">
        <f>IF(M211="109595132","Material de Limpeza-Não Avaliar",IF(AND(K211="F20",M211&lt;&gt;109595132),IF(RIGHT(F211,2)="70","Infraestrutura de Planta","Prédios e Instalações"),IF(K211="FPC",VLOOKUP(F211,[1]Info!$E$2:$F$11,2,0),IF(K211="FGP",VLOOKUP(F211,[1]Info!$E$9:$F$10,2,0),IF(K211="F10",VLOOKUP(F211,[1]Info!$E$2:$F$3,2,0),VLOOKUP(K211,[1]Info!$A$1:$B$21,2,0))))))</f>
        <v>Garra Traçadora</v>
      </c>
    </row>
    <row r="212" spans="1:24" x14ac:dyDescent="0.35">
      <c r="A212" t="s">
        <v>41</v>
      </c>
      <c r="B212" t="s">
        <v>54</v>
      </c>
      <c r="C212" t="s">
        <v>55</v>
      </c>
      <c r="D212" t="s">
        <v>94</v>
      </c>
      <c r="E212" t="s">
        <v>52</v>
      </c>
      <c r="F212">
        <v>7098510</v>
      </c>
      <c r="G212" t="s">
        <v>61</v>
      </c>
      <c r="H212" t="s">
        <v>43</v>
      </c>
      <c r="I212" t="s">
        <v>44</v>
      </c>
      <c r="J212" t="s">
        <v>50</v>
      </c>
      <c r="K212" t="s">
        <v>11</v>
      </c>
      <c r="L212" t="s">
        <v>62</v>
      </c>
      <c r="M212" t="s">
        <v>537</v>
      </c>
      <c r="N212" t="s">
        <v>538</v>
      </c>
      <c r="O212" t="s">
        <v>63</v>
      </c>
      <c r="P212" t="s">
        <v>383</v>
      </c>
      <c r="Q212" t="s">
        <v>108</v>
      </c>
      <c r="R212" t="s">
        <v>109</v>
      </c>
      <c r="S212" t="s">
        <v>46</v>
      </c>
      <c r="T212" t="s">
        <v>46</v>
      </c>
      <c r="U212" s="4">
        <v>138.6</v>
      </c>
      <c r="V212" t="str">
        <f t="shared" si="3"/>
        <v>FF15</v>
      </c>
      <c r="W212" t="str">
        <f>VLOOKUP(K212,[1]Info!A$1:B$21,2,0)</f>
        <v>Feller</v>
      </c>
      <c r="X212" t="str">
        <f>IF(M212="109595132","Material de Limpeza-Não Avaliar",IF(AND(K212="F20",M212&lt;&gt;109595132),IF(RIGHT(F212,2)="70","Infraestrutura de Planta","Prédios e Instalações"),IF(K212="FPC",VLOOKUP(F212,[1]Info!$E$2:$F$11,2,0),IF(K212="FGP",VLOOKUP(F212,[1]Info!$E$9:$F$10,2,0),IF(K212="F10",VLOOKUP(F212,[1]Info!$E$2:$F$3,2,0),VLOOKUP(K212,[1]Info!$A$1:$B$21,2,0))))))</f>
        <v>Feller</v>
      </c>
    </row>
    <row r="213" spans="1:24" x14ac:dyDescent="0.35">
      <c r="A213" t="s">
        <v>41</v>
      </c>
      <c r="B213" t="s">
        <v>54</v>
      </c>
      <c r="C213" t="s">
        <v>55</v>
      </c>
      <c r="D213" t="s">
        <v>94</v>
      </c>
      <c r="E213" t="s">
        <v>52</v>
      </c>
      <c r="F213">
        <v>7098510</v>
      </c>
      <c r="G213" t="s">
        <v>61</v>
      </c>
      <c r="H213" t="s">
        <v>43</v>
      </c>
      <c r="I213" t="s">
        <v>44</v>
      </c>
      <c r="J213" t="s">
        <v>50</v>
      </c>
      <c r="K213" t="s">
        <v>11</v>
      </c>
      <c r="L213" t="s">
        <v>62</v>
      </c>
      <c r="M213" t="s">
        <v>537</v>
      </c>
      <c r="N213" t="s">
        <v>538</v>
      </c>
      <c r="O213" t="s">
        <v>63</v>
      </c>
      <c r="P213" t="s">
        <v>383</v>
      </c>
      <c r="Q213" t="s">
        <v>110</v>
      </c>
      <c r="R213" t="s">
        <v>111</v>
      </c>
      <c r="S213" t="s">
        <v>46</v>
      </c>
      <c r="T213" t="s">
        <v>46</v>
      </c>
      <c r="U213" s="4">
        <v>302.12</v>
      </c>
      <c r="V213" t="str">
        <f t="shared" si="3"/>
        <v>FF15</v>
      </c>
      <c r="W213" t="str">
        <f>VLOOKUP(K213,[1]Info!A$1:B$21,2,0)</f>
        <v>Feller</v>
      </c>
      <c r="X213" t="str">
        <f>IF(M213="109595132","Material de Limpeza-Não Avaliar",IF(AND(K213="F20",M213&lt;&gt;109595132),IF(RIGHT(F213,2)="70","Infraestrutura de Planta","Prédios e Instalações"),IF(K213="FPC",VLOOKUP(F213,[1]Info!$E$2:$F$11,2,0),IF(K213="FGP",VLOOKUP(F213,[1]Info!$E$9:$F$10,2,0),IF(K213="F10",VLOOKUP(F213,[1]Info!$E$2:$F$3,2,0),VLOOKUP(K213,[1]Info!$A$1:$B$21,2,0))))))</f>
        <v>Feller</v>
      </c>
    </row>
    <row r="214" spans="1:24" x14ac:dyDescent="0.35">
      <c r="A214" t="s">
        <v>41</v>
      </c>
      <c r="B214" t="s">
        <v>54</v>
      </c>
      <c r="C214" t="s">
        <v>55</v>
      </c>
      <c r="D214" t="s">
        <v>94</v>
      </c>
      <c r="E214" t="s">
        <v>52</v>
      </c>
      <c r="F214">
        <v>7098510</v>
      </c>
      <c r="G214" t="s">
        <v>61</v>
      </c>
      <c r="H214" t="s">
        <v>43</v>
      </c>
      <c r="I214" t="s">
        <v>44</v>
      </c>
      <c r="J214" t="s">
        <v>50</v>
      </c>
      <c r="K214" t="s">
        <v>11</v>
      </c>
      <c r="L214" t="s">
        <v>62</v>
      </c>
      <c r="M214" t="s">
        <v>537</v>
      </c>
      <c r="N214" t="s">
        <v>538</v>
      </c>
      <c r="O214" t="s">
        <v>63</v>
      </c>
      <c r="P214" t="s">
        <v>383</v>
      </c>
      <c r="Q214" t="s">
        <v>112</v>
      </c>
      <c r="R214" t="s">
        <v>113</v>
      </c>
      <c r="S214" t="s">
        <v>46</v>
      </c>
      <c r="T214" t="s">
        <v>46</v>
      </c>
      <c r="U214" s="4">
        <v>327.23</v>
      </c>
      <c r="V214" t="str">
        <f t="shared" si="3"/>
        <v>FF15</v>
      </c>
      <c r="W214" t="str">
        <f>VLOOKUP(K214,[1]Info!A$1:B$21,2,0)</f>
        <v>Feller</v>
      </c>
      <c r="X214" t="str">
        <f>IF(M214="109595132","Material de Limpeza-Não Avaliar",IF(AND(K214="F20",M214&lt;&gt;109595132),IF(RIGHT(F214,2)="70","Infraestrutura de Planta","Prédios e Instalações"),IF(K214="FPC",VLOOKUP(F214,[1]Info!$E$2:$F$11,2,0),IF(K214="FGP",VLOOKUP(F214,[1]Info!$E$9:$F$10,2,0),IF(K214="F10",VLOOKUP(F214,[1]Info!$E$2:$F$3,2,0),VLOOKUP(K214,[1]Info!$A$1:$B$21,2,0))))))</f>
        <v>Feller</v>
      </c>
    </row>
    <row r="215" spans="1:24" x14ac:dyDescent="0.35">
      <c r="A215" t="s">
        <v>41</v>
      </c>
      <c r="B215" t="s">
        <v>54</v>
      </c>
      <c r="C215" t="s">
        <v>55</v>
      </c>
      <c r="D215" t="s">
        <v>94</v>
      </c>
      <c r="E215" t="s">
        <v>52</v>
      </c>
      <c r="F215">
        <v>7098510</v>
      </c>
      <c r="G215" t="s">
        <v>61</v>
      </c>
      <c r="H215" t="s">
        <v>43</v>
      </c>
      <c r="I215" t="s">
        <v>44</v>
      </c>
      <c r="J215" t="s">
        <v>50</v>
      </c>
      <c r="K215" t="s">
        <v>11</v>
      </c>
      <c r="L215" t="s">
        <v>62</v>
      </c>
      <c r="M215" t="s">
        <v>537</v>
      </c>
      <c r="N215" t="s">
        <v>538</v>
      </c>
      <c r="O215" t="s">
        <v>63</v>
      </c>
      <c r="P215" t="s">
        <v>383</v>
      </c>
      <c r="Q215" t="s">
        <v>114</v>
      </c>
      <c r="R215" t="s">
        <v>115</v>
      </c>
      <c r="S215" t="s">
        <v>46</v>
      </c>
      <c r="T215" t="s">
        <v>46</v>
      </c>
      <c r="U215" s="4">
        <v>165.65</v>
      </c>
      <c r="V215" t="str">
        <f t="shared" si="3"/>
        <v>FF15</v>
      </c>
      <c r="W215" t="str">
        <f>VLOOKUP(K215,[1]Info!A$1:B$21,2,0)</f>
        <v>Feller</v>
      </c>
      <c r="X215" t="str">
        <f>IF(M215="109595132","Material de Limpeza-Não Avaliar",IF(AND(K215="F20",M215&lt;&gt;109595132),IF(RIGHT(F215,2)="70","Infraestrutura de Planta","Prédios e Instalações"),IF(K215="FPC",VLOOKUP(F215,[1]Info!$E$2:$F$11,2,0),IF(K215="FGP",VLOOKUP(F215,[1]Info!$E$9:$F$10,2,0),IF(K215="F10",VLOOKUP(F215,[1]Info!$E$2:$F$3,2,0),VLOOKUP(K215,[1]Info!$A$1:$B$21,2,0))))))</f>
        <v>Feller</v>
      </c>
    </row>
    <row r="216" spans="1:24" x14ac:dyDescent="0.35">
      <c r="A216" t="s">
        <v>41</v>
      </c>
      <c r="B216" t="s">
        <v>54</v>
      </c>
      <c r="C216" t="s">
        <v>55</v>
      </c>
      <c r="D216" t="s">
        <v>94</v>
      </c>
      <c r="E216" t="s">
        <v>52</v>
      </c>
      <c r="F216">
        <v>7098510</v>
      </c>
      <c r="G216" t="s">
        <v>61</v>
      </c>
      <c r="H216" t="s">
        <v>43</v>
      </c>
      <c r="I216" t="s">
        <v>44</v>
      </c>
      <c r="J216" t="s">
        <v>50</v>
      </c>
      <c r="K216" t="s">
        <v>11</v>
      </c>
      <c r="L216" t="s">
        <v>62</v>
      </c>
      <c r="M216" t="s">
        <v>479</v>
      </c>
      <c r="N216" t="s">
        <v>190</v>
      </c>
      <c r="O216" t="s">
        <v>149</v>
      </c>
      <c r="P216" t="s">
        <v>383</v>
      </c>
      <c r="Q216" t="s">
        <v>108</v>
      </c>
      <c r="R216" t="s">
        <v>109</v>
      </c>
      <c r="S216" t="s">
        <v>46</v>
      </c>
      <c r="T216" t="s">
        <v>46</v>
      </c>
      <c r="U216" s="4">
        <v>138.61000000000001</v>
      </c>
      <c r="V216" t="str">
        <f t="shared" si="3"/>
        <v>FF12</v>
      </c>
      <c r="W216" t="str">
        <f>VLOOKUP(K216,[1]Info!A$1:B$21,2,0)</f>
        <v>Feller</v>
      </c>
      <c r="X216" t="str">
        <f>IF(M216="109595132","Material de Limpeza-Não Avaliar",IF(AND(K216="F20",M216&lt;&gt;109595132),IF(RIGHT(F216,2)="70","Infraestrutura de Planta","Prédios e Instalações"),IF(K216="FPC",VLOOKUP(F216,[1]Info!$E$2:$F$11,2,0),IF(K216="FGP",VLOOKUP(F216,[1]Info!$E$9:$F$10,2,0),IF(K216="F10",VLOOKUP(F216,[1]Info!$E$2:$F$3,2,0),VLOOKUP(K216,[1]Info!$A$1:$B$21,2,0))))))</f>
        <v>Feller</v>
      </c>
    </row>
    <row r="217" spans="1:24" x14ac:dyDescent="0.35">
      <c r="A217" t="s">
        <v>41</v>
      </c>
      <c r="B217" t="s">
        <v>54</v>
      </c>
      <c r="C217" t="s">
        <v>55</v>
      </c>
      <c r="D217" t="s">
        <v>94</v>
      </c>
      <c r="E217" t="s">
        <v>52</v>
      </c>
      <c r="F217">
        <v>7098510</v>
      </c>
      <c r="G217" t="s">
        <v>61</v>
      </c>
      <c r="H217" t="s">
        <v>43</v>
      </c>
      <c r="I217" t="s">
        <v>44</v>
      </c>
      <c r="J217" t="s">
        <v>50</v>
      </c>
      <c r="K217" t="s">
        <v>11</v>
      </c>
      <c r="L217" t="s">
        <v>62</v>
      </c>
      <c r="M217" t="s">
        <v>479</v>
      </c>
      <c r="N217" t="s">
        <v>190</v>
      </c>
      <c r="O217" t="s">
        <v>149</v>
      </c>
      <c r="P217" t="s">
        <v>383</v>
      </c>
      <c r="Q217" t="s">
        <v>643</v>
      </c>
      <c r="R217" t="s">
        <v>644</v>
      </c>
      <c r="S217" t="s">
        <v>46</v>
      </c>
      <c r="T217" t="s">
        <v>46</v>
      </c>
      <c r="U217" s="4">
        <v>1268.31</v>
      </c>
      <c r="V217" t="str">
        <f t="shared" si="3"/>
        <v>FF12</v>
      </c>
      <c r="W217" t="str">
        <f>VLOOKUP(K217,[1]Info!A$1:B$21,2,0)</f>
        <v>Feller</v>
      </c>
      <c r="X217" t="str">
        <f>IF(M217="109595132","Material de Limpeza-Não Avaliar",IF(AND(K217="F20",M217&lt;&gt;109595132),IF(RIGHT(F217,2)="70","Infraestrutura de Planta","Prédios e Instalações"),IF(K217="FPC",VLOOKUP(F217,[1]Info!$E$2:$F$11,2,0),IF(K217="FGP",VLOOKUP(F217,[1]Info!$E$9:$F$10,2,0),IF(K217="F10",VLOOKUP(F217,[1]Info!$E$2:$F$3,2,0),VLOOKUP(K217,[1]Info!$A$1:$B$21,2,0))))))</f>
        <v>Feller</v>
      </c>
    </row>
    <row r="218" spans="1:24" x14ac:dyDescent="0.35">
      <c r="A218" t="s">
        <v>41</v>
      </c>
      <c r="B218" t="s">
        <v>54</v>
      </c>
      <c r="C218" t="s">
        <v>55</v>
      </c>
      <c r="D218" t="s">
        <v>94</v>
      </c>
      <c r="E218" t="s">
        <v>52</v>
      </c>
      <c r="F218">
        <v>7098510</v>
      </c>
      <c r="G218" t="s">
        <v>61</v>
      </c>
      <c r="H218" t="s">
        <v>43</v>
      </c>
      <c r="I218" t="s">
        <v>44</v>
      </c>
      <c r="J218" t="s">
        <v>50</v>
      </c>
      <c r="K218" t="s">
        <v>11</v>
      </c>
      <c r="L218" t="s">
        <v>62</v>
      </c>
      <c r="M218" t="s">
        <v>479</v>
      </c>
      <c r="N218" t="s">
        <v>190</v>
      </c>
      <c r="O218" t="s">
        <v>149</v>
      </c>
      <c r="P218" t="s">
        <v>383</v>
      </c>
      <c r="Q218" t="s">
        <v>110</v>
      </c>
      <c r="R218" t="s">
        <v>111</v>
      </c>
      <c r="S218" t="s">
        <v>46</v>
      </c>
      <c r="T218" t="s">
        <v>46</v>
      </c>
      <c r="U218" s="4">
        <v>302.12</v>
      </c>
      <c r="V218" t="str">
        <f t="shared" si="3"/>
        <v>FF12</v>
      </c>
      <c r="W218" t="str">
        <f>VLOOKUP(K218,[1]Info!A$1:B$21,2,0)</f>
        <v>Feller</v>
      </c>
      <c r="X218" t="str">
        <f>IF(M218="109595132","Material de Limpeza-Não Avaliar",IF(AND(K218="F20",M218&lt;&gt;109595132),IF(RIGHT(F218,2)="70","Infraestrutura de Planta","Prédios e Instalações"),IF(K218="FPC",VLOOKUP(F218,[1]Info!$E$2:$F$11,2,0),IF(K218="FGP",VLOOKUP(F218,[1]Info!$E$9:$F$10,2,0),IF(K218="F10",VLOOKUP(F218,[1]Info!$E$2:$F$3,2,0),VLOOKUP(K218,[1]Info!$A$1:$B$21,2,0))))))</f>
        <v>Feller</v>
      </c>
    </row>
    <row r="219" spans="1:24" x14ac:dyDescent="0.35">
      <c r="A219" t="s">
        <v>41</v>
      </c>
      <c r="B219" t="s">
        <v>54</v>
      </c>
      <c r="C219" t="s">
        <v>55</v>
      </c>
      <c r="D219" t="s">
        <v>94</v>
      </c>
      <c r="E219" t="s">
        <v>52</v>
      </c>
      <c r="F219">
        <v>7098510</v>
      </c>
      <c r="G219" t="s">
        <v>61</v>
      </c>
      <c r="H219" t="s">
        <v>43</v>
      </c>
      <c r="I219" t="s">
        <v>44</v>
      </c>
      <c r="J219" t="s">
        <v>50</v>
      </c>
      <c r="K219" t="s">
        <v>11</v>
      </c>
      <c r="L219" t="s">
        <v>62</v>
      </c>
      <c r="M219" t="s">
        <v>479</v>
      </c>
      <c r="N219" t="s">
        <v>190</v>
      </c>
      <c r="O219" t="s">
        <v>149</v>
      </c>
      <c r="P219" t="s">
        <v>383</v>
      </c>
      <c r="Q219" t="s">
        <v>645</v>
      </c>
      <c r="R219" t="s">
        <v>646</v>
      </c>
      <c r="S219" t="s">
        <v>46</v>
      </c>
      <c r="T219" t="s">
        <v>46</v>
      </c>
      <c r="U219" s="4">
        <v>2297.7800000000002</v>
      </c>
      <c r="V219" t="str">
        <f t="shared" si="3"/>
        <v>FF12</v>
      </c>
      <c r="W219" t="str">
        <f>VLOOKUP(K219,[1]Info!A$1:B$21,2,0)</f>
        <v>Feller</v>
      </c>
      <c r="X219" t="str">
        <f>IF(M219="109595132","Material de Limpeza-Não Avaliar",IF(AND(K219="F20",M219&lt;&gt;109595132),IF(RIGHT(F219,2)="70","Infraestrutura de Planta","Prédios e Instalações"),IF(K219="FPC",VLOOKUP(F219,[1]Info!$E$2:$F$11,2,0),IF(K219="FGP",VLOOKUP(F219,[1]Info!$E$9:$F$10,2,0),IF(K219="F10",VLOOKUP(F219,[1]Info!$E$2:$F$3,2,0),VLOOKUP(K219,[1]Info!$A$1:$B$21,2,0))))))</f>
        <v>Feller</v>
      </c>
    </row>
    <row r="220" spans="1:24" x14ac:dyDescent="0.35">
      <c r="A220" t="s">
        <v>41</v>
      </c>
      <c r="B220" t="s">
        <v>54</v>
      </c>
      <c r="C220" t="s">
        <v>55</v>
      </c>
      <c r="D220" t="s">
        <v>94</v>
      </c>
      <c r="E220" t="s">
        <v>52</v>
      </c>
      <c r="F220">
        <v>7098510</v>
      </c>
      <c r="G220" t="s">
        <v>61</v>
      </c>
      <c r="H220" t="s">
        <v>43</v>
      </c>
      <c r="I220" t="s">
        <v>44</v>
      </c>
      <c r="J220" t="s">
        <v>50</v>
      </c>
      <c r="K220" t="s">
        <v>11</v>
      </c>
      <c r="L220" t="s">
        <v>62</v>
      </c>
      <c r="M220" t="s">
        <v>479</v>
      </c>
      <c r="N220" t="s">
        <v>190</v>
      </c>
      <c r="O220" t="s">
        <v>149</v>
      </c>
      <c r="P220" t="s">
        <v>383</v>
      </c>
      <c r="Q220" t="s">
        <v>112</v>
      </c>
      <c r="R220" t="s">
        <v>113</v>
      </c>
      <c r="S220" t="s">
        <v>46</v>
      </c>
      <c r="T220" t="s">
        <v>46</v>
      </c>
      <c r="U220" s="4">
        <v>327.24</v>
      </c>
      <c r="V220" t="str">
        <f t="shared" si="3"/>
        <v>FF12</v>
      </c>
      <c r="W220" t="str">
        <f>VLOOKUP(K220,[1]Info!A$1:B$21,2,0)</f>
        <v>Feller</v>
      </c>
      <c r="X220" t="str">
        <f>IF(M220="109595132","Material de Limpeza-Não Avaliar",IF(AND(K220="F20",M220&lt;&gt;109595132),IF(RIGHT(F220,2)="70","Infraestrutura de Planta","Prédios e Instalações"),IF(K220="FPC",VLOOKUP(F220,[1]Info!$E$2:$F$11,2,0),IF(K220="FGP",VLOOKUP(F220,[1]Info!$E$9:$F$10,2,0),IF(K220="F10",VLOOKUP(F220,[1]Info!$E$2:$F$3,2,0),VLOOKUP(K220,[1]Info!$A$1:$B$21,2,0))))))</f>
        <v>Feller</v>
      </c>
    </row>
    <row r="221" spans="1:24" x14ac:dyDescent="0.35">
      <c r="A221" t="s">
        <v>41</v>
      </c>
      <c r="B221" t="s">
        <v>54</v>
      </c>
      <c r="C221" t="s">
        <v>55</v>
      </c>
      <c r="D221" t="s">
        <v>94</v>
      </c>
      <c r="E221" t="s">
        <v>52</v>
      </c>
      <c r="F221">
        <v>7098510</v>
      </c>
      <c r="G221" t="s">
        <v>61</v>
      </c>
      <c r="H221" t="s">
        <v>43</v>
      </c>
      <c r="I221" t="s">
        <v>44</v>
      </c>
      <c r="J221" t="s">
        <v>50</v>
      </c>
      <c r="K221" t="s">
        <v>11</v>
      </c>
      <c r="L221" t="s">
        <v>62</v>
      </c>
      <c r="M221" t="s">
        <v>479</v>
      </c>
      <c r="N221" t="s">
        <v>190</v>
      </c>
      <c r="O221" t="s">
        <v>149</v>
      </c>
      <c r="P221" t="s">
        <v>383</v>
      </c>
      <c r="Q221" t="s">
        <v>136</v>
      </c>
      <c r="R221" t="s">
        <v>137</v>
      </c>
      <c r="S221" t="s">
        <v>46</v>
      </c>
      <c r="T221" t="s">
        <v>46</v>
      </c>
      <c r="U221" s="4">
        <v>236.37</v>
      </c>
      <c r="V221" t="str">
        <f t="shared" si="3"/>
        <v>FF12</v>
      </c>
      <c r="W221" t="str">
        <f>VLOOKUP(K221,[1]Info!A$1:B$21,2,0)</f>
        <v>Feller</v>
      </c>
      <c r="X221" t="str">
        <f>IF(M221="109595132","Material de Limpeza-Não Avaliar",IF(AND(K221="F20",M221&lt;&gt;109595132),IF(RIGHT(F221,2)="70","Infraestrutura de Planta","Prédios e Instalações"),IF(K221="FPC",VLOOKUP(F221,[1]Info!$E$2:$F$11,2,0),IF(K221="FGP",VLOOKUP(F221,[1]Info!$E$9:$F$10,2,0),IF(K221="F10",VLOOKUP(F221,[1]Info!$E$2:$F$3,2,0),VLOOKUP(K221,[1]Info!$A$1:$B$21,2,0))))))</f>
        <v>Feller</v>
      </c>
    </row>
    <row r="222" spans="1:24" x14ac:dyDescent="0.35">
      <c r="A222" t="s">
        <v>41</v>
      </c>
      <c r="B222" t="s">
        <v>54</v>
      </c>
      <c r="C222" t="s">
        <v>55</v>
      </c>
      <c r="D222" t="s">
        <v>94</v>
      </c>
      <c r="E222" t="s">
        <v>52</v>
      </c>
      <c r="F222">
        <v>7098510</v>
      </c>
      <c r="G222" t="s">
        <v>61</v>
      </c>
      <c r="H222" t="s">
        <v>43</v>
      </c>
      <c r="I222" t="s">
        <v>44</v>
      </c>
      <c r="J222" t="s">
        <v>50</v>
      </c>
      <c r="K222" t="s">
        <v>11</v>
      </c>
      <c r="L222" t="s">
        <v>62</v>
      </c>
      <c r="M222" t="s">
        <v>479</v>
      </c>
      <c r="N222" t="s">
        <v>190</v>
      </c>
      <c r="O222" t="s">
        <v>149</v>
      </c>
      <c r="P222" t="s">
        <v>383</v>
      </c>
      <c r="Q222" t="s">
        <v>647</v>
      </c>
      <c r="R222" t="s">
        <v>648</v>
      </c>
      <c r="S222" t="s">
        <v>46</v>
      </c>
      <c r="T222" t="s">
        <v>46</v>
      </c>
      <c r="U222" s="4">
        <v>91.6</v>
      </c>
      <c r="V222" t="str">
        <f t="shared" si="3"/>
        <v>FF12</v>
      </c>
      <c r="W222" t="str">
        <f>VLOOKUP(K222,[1]Info!A$1:B$21,2,0)</f>
        <v>Feller</v>
      </c>
      <c r="X222" t="str">
        <f>IF(M222="109595132","Material de Limpeza-Não Avaliar",IF(AND(K222="F20",M222&lt;&gt;109595132),IF(RIGHT(F222,2)="70","Infraestrutura de Planta","Prédios e Instalações"),IF(K222="FPC",VLOOKUP(F222,[1]Info!$E$2:$F$11,2,0),IF(K222="FGP",VLOOKUP(F222,[1]Info!$E$9:$F$10,2,0),IF(K222="F10",VLOOKUP(F222,[1]Info!$E$2:$F$3,2,0),VLOOKUP(K222,[1]Info!$A$1:$B$21,2,0))))))</f>
        <v>Feller</v>
      </c>
    </row>
    <row r="223" spans="1:24" x14ac:dyDescent="0.35">
      <c r="A223" t="s">
        <v>41</v>
      </c>
      <c r="B223" t="s">
        <v>54</v>
      </c>
      <c r="C223" t="s">
        <v>55</v>
      </c>
      <c r="D223" t="s">
        <v>94</v>
      </c>
      <c r="E223" t="s">
        <v>52</v>
      </c>
      <c r="F223">
        <v>7098510</v>
      </c>
      <c r="G223" t="s">
        <v>61</v>
      </c>
      <c r="H223" t="s">
        <v>43</v>
      </c>
      <c r="I223" t="s">
        <v>44</v>
      </c>
      <c r="J223" t="s">
        <v>50</v>
      </c>
      <c r="K223" t="s">
        <v>11</v>
      </c>
      <c r="L223" t="s">
        <v>62</v>
      </c>
      <c r="M223" t="s">
        <v>479</v>
      </c>
      <c r="N223" t="s">
        <v>190</v>
      </c>
      <c r="O223" t="s">
        <v>149</v>
      </c>
      <c r="P223" t="s">
        <v>383</v>
      </c>
      <c r="Q223" t="s">
        <v>114</v>
      </c>
      <c r="R223" t="s">
        <v>115</v>
      </c>
      <c r="S223" t="s">
        <v>46</v>
      </c>
      <c r="T223" t="s">
        <v>46</v>
      </c>
      <c r="U223" s="4">
        <v>165.62</v>
      </c>
      <c r="V223" t="str">
        <f t="shared" si="3"/>
        <v>FF12</v>
      </c>
      <c r="W223" t="str">
        <f>VLOOKUP(K223,[1]Info!A$1:B$21,2,0)</f>
        <v>Feller</v>
      </c>
      <c r="X223" t="str">
        <f>IF(M223="109595132","Material de Limpeza-Não Avaliar",IF(AND(K223="F20",M223&lt;&gt;109595132),IF(RIGHT(F223,2)="70","Infraestrutura de Planta","Prédios e Instalações"),IF(K223="FPC",VLOOKUP(F223,[1]Info!$E$2:$F$11,2,0),IF(K223="FGP",VLOOKUP(F223,[1]Info!$E$9:$F$10,2,0),IF(K223="F10",VLOOKUP(F223,[1]Info!$E$2:$F$3,2,0),VLOOKUP(K223,[1]Info!$A$1:$B$21,2,0))))))</f>
        <v>Feller</v>
      </c>
    </row>
    <row r="224" spans="1:24" x14ac:dyDescent="0.35">
      <c r="A224" t="s">
        <v>41</v>
      </c>
      <c r="B224" t="s">
        <v>54</v>
      </c>
      <c r="C224" t="s">
        <v>55</v>
      </c>
      <c r="D224" t="s">
        <v>94</v>
      </c>
      <c r="E224" t="s">
        <v>52</v>
      </c>
      <c r="F224">
        <v>7098510</v>
      </c>
      <c r="G224" t="s">
        <v>61</v>
      </c>
      <c r="H224" t="s">
        <v>43</v>
      </c>
      <c r="I224" t="s">
        <v>44</v>
      </c>
      <c r="J224" t="s">
        <v>50</v>
      </c>
      <c r="K224" t="s">
        <v>11</v>
      </c>
      <c r="L224" t="s">
        <v>62</v>
      </c>
      <c r="M224" t="s">
        <v>479</v>
      </c>
      <c r="N224" t="s">
        <v>190</v>
      </c>
      <c r="O224" t="s">
        <v>149</v>
      </c>
      <c r="P224" t="s">
        <v>383</v>
      </c>
      <c r="Q224" t="s">
        <v>649</v>
      </c>
      <c r="R224" t="s">
        <v>650</v>
      </c>
      <c r="S224" t="s">
        <v>46</v>
      </c>
      <c r="T224" t="s">
        <v>46</v>
      </c>
      <c r="U224" s="4">
        <v>957.14</v>
      </c>
      <c r="V224" t="str">
        <f t="shared" si="3"/>
        <v>FF12</v>
      </c>
      <c r="W224" t="str">
        <f>VLOOKUP(K224,[1]Info!A$1:B$21,2,0)</f>
        <v>Feller</v>
      </c>
      <c r="X224" t="str">
        <f>IF(M224="109595132","Material de Limpeza-Não Avaliar",IF(AND(K224="F20",M224&lt;&gt;109595132),IF(RIGHT(F224,2)="70","Infraestrutura de Planta","Prédios e Instalações"),IF(K224="FPC",VLOOKUP(F224,[1]Info!$E$2:$F$11,2,0),IF(K224="FGP",VLOOKUP(F224,[1]Info!$E$9:$F$10,2,0),IF(K224="F10",VLOOKUP(F224,[1]Info!$E$2:$F$3,2,0),VLOOKUP(K224,[1]Info!$A$1:$B$21,2,0))))))</f>
        <v>Feller</v>
      </c>
    </row>
    <row r="225" spans="1:24" x14ac:dyDescent="0.35">
      <c r="A225" t="s">
        <v>41</v>
      </c>
      <c r="B225" t="s">
        <v>54</v>
      </c>
      <c r="C225" t="s">
        <v>55</v>
      </c>
      <c r="D225" t="s">
        <v>94</v>
      </c>
      <c r="E225" t="s">
        <v>52</v>
      </c>
      <c r="F225">
        <v>7098510</v>
      </c>
      <c r="G225" t="s">
        <v>61</v>
      </c>
      <c r="H225" t="s">
        <v>43</v>
      </c>
      <c r="I225" t="s">
        <v>44</v>
      </c>
      <c r="J225" t="s">
        <v>50</v>
      </c>
      <c r="K225" t="s">
        <v>11</v>
      </c>
      <c r="L225" t="s">
        <v>62</v>
      </c>
      <c r="M225" t="s">
        <v>479</v>
      </c>
      <c r="N225" t="s">
        <v>190</v>
      </c>
      <c r="O225" t="s">
        <v>149</v>
      </c>
      <c r="P225" t="s">
        <v>383</v>
      </c>
      <c r="Q225" t="s">
        <v>651</v>
      </c>
      <c r="R225" t="s">
        <v>652</v>
      </c>
      <c r="S225" t="s">
        <v>46</v>
      </c>
      <c r="T225" t="s">
        <v>46</v>
      </c>
      <c r="U225" s="4">
        <v>513.04999999999995</v>
      </c>
      <c r="V225" t="str">
        <f t="shared" si="3"/>
        <v>FF12</v>
      </c>
      <c r="W225" t="str">
        <f>VLOOKUP(K225,[1]Info!A$1:B$21,2,0)</f>
        <v>Feller</v>
      </c>
      <c r="X225" t="str">
        <f>IF(M225="109595132","Material de Limpeza-Não Avaliar",IF(AND(K225="F20",M225&lt;&gt;109595132),IF(RIGHT(F225,2)="70","Infraestrutura de Planta","Prédios e Instalações"),IF(K225="FPC",VLOOKUP(F225,[1]Info!$E$2:$F$11,2,0),IF(K225="FGP",VLOOKUP(F225,[1]Info!$E$9:$F$10,2,0),IF(K225="F10",VLOOKUP(F225,[1]Info!$E$2:$F$3,2,0),VLOOKUP(K225,[1]Info!$A$1:$B$21,2,0))))))</f>
        <v>Feller</v>
      </c>
    </row>
    <row r="226" spans="1:24" x14ac:dyDescent="0.35">
      <c r="A226" t="s">
        <v>41</v>
      </c>
      <c r="B226" t="s">
        <v>54</v>
      </c>
      <c r="C226" t="s">
        <v>55</v>
      </c>
      <c r="D226" t="s">
        <v>94</v>
      </c>
      <c r="E226" t="s">
        <v>52</v>
      </c>
      <c r="F226">
        <v>7098510</v>
      </c>
      <c r="G226" t="s">
        <v>61</v>
      </c>
      <c r="H226" t="s">
        <v>43</v>
      </c>
      <c r="I226" t="s">
        <v>44</v>
      </c>
      <c r="J226" t="s">
        <v>50</v>
      </c>
      <c r="K226" t="s">
        <v>11</v>
      </c>
      <c r="L226" t="s">
        <v>62</v>
      </c>
      <c r="M226" t="s">
        <v>191</v>
      </c>
      <c r="N226" t="s">
        <v>192</v>
      </c>
      <c r="O226" t="s">
        <v>63</v>
      </c>
      <c r="P226" t="s">
        <v>383</v>
      </c>
      <c r="Q226" t="s">
        <v>108</v>
      </c>
      <c r="R226" t="s">
        <v>109</v>
      </c>
      <c r="S226" t="s">
        <v>46</v>
      </c>
      <c r="T226" t="s">
        <v>46</v>
      </c>
      <c r="U226" s="4">
        <v>138.6</v>
      </c>
      <c r="V226" t="str">
        <f t="shared" si="3"/>
        <v>FF15</v>
      </c>
      <c r="W226" t="str">
        <f>VLOOKUP(K226,[1]Info!A$1:B$21,2,0)</f>
        <v>Feller</v>
      </c>
      <c r="X226" t="str">
        <f>IF(M226="109595132","Material de Limpeza-Não Avaliar",IF(AND(K226="F20",M226&lt;&gt;109595132),IF(RIGHT(F226,2)="70","Infraestrutura de Planta","Prédios e Instalações"),IF(K226="FPC",VLOOKUP(F226,[1]Info!$E$2:$F$11,2,0),IF(K226="FGP",VLOOKUP(F226,[1]Info!$E$9:$F$10,2,0),IF(K226="F10",VLOOKUP(F226,[1]Info!$E$2:$F$3,2,0),VLOOKUP(K226,[1]Info!$A$1:$B$21,2,0))))))</f>
        <v>Feller</v>
      </c>
    </row>
    <row r="227" spans="1:24" x14ac:dyDescent="0.35">
      <c r="A227" t="s">
        <v>41</v>
      </c>
      <c r="B227" t="s">
        <v>54</v>
      </c>
      <c r="C227" t="s">
        <v>55</v>
      </c>
      <c r="D227" t="s">
        <v>94</v>
      </c>
      <c r="E227" t="s">
        <v>52</v>
      </c>
      <c r="F227">
        <v>7098510</v>
      </c>
      <c r="G227" t="s">
        <v>61</v>
      </c>
      <c r="H227" t="s">
        <v>43</v>
      </c>
      <c r="I227" t="s">
        <v>44</v>
      </c>
      <c r="J227" t="s">
        <v>50</v>
      </c>
      <c r="K227" t="s">
        <v>11</v>
      </c>
      <c r="L227" t="s">
        <v>62</v>
      </c>
      <c r="M227" t="s">
        <v>191</v>
      </c>
      <c r="N227" t="s">
        <v>192</v>
      </c>
      <c r="O227" t="s">
        <v>63</v>
      </c>
      <c r="P227" t="s">
        <v>383</v>
      </c>
      <c r="Q227" t="s">
        <v>653</v>
      </c>
      <c r="R227" t="s">
        <v>654</v>
      </c>
      <c r="S227" t="s">
        <v>46</v>
      </c>
      <c r="T227" t="s">
        <v>46</v>
      </c>
      <c r="U227" s="4">
        <v>499.91</v>
      </c>
      <c r="V227" t="str">
        <f t="shared" si="3"/>
        <v>FF15</v>
      </c>
      <c r="W227" t="str">
        <f>VLOOKUP(K227,[1]Info!A$1:B$21,2,0)</f>
        <v>Feller</v>
      </c>
      <c r="X227" t="str">
        <f>IF(M227="109595132","Material de Limpeza-Não Avaliar",IF(AND(K227="F20",M227&lt;&gt;109595132),IF(RIGHT(F227,2)="70","Infraestrutura de Planta","Prédios e Instalações"),IF(K227="FPC",VLOOKUP(F227,[1]Info!$E$2:$F$11,2,0),IF(K227="FGP",VLOOKUP(F227,[1]Info!$E$9:$F$10,2,0),IF(K227="F10",VLOOKUP(F227,[1]Info!$E$2:$F$3,2,0),VLOOKUP(K227,[1]Info!$A$1:$B$21,2,0))))))</f>
        <v>Feller</v>
      </c>
    </row>
    <row r="228" spans="1:24" x14ac:dyDescent="0.35">
      <c r="A228" t="s">
        <v>41</v>
      </c>
      <c r="B228" t="s">
        <v>54</v>
      </c>
      <c r="C228" t="s">
        <v>55</v>
      </c>
      <c r="D228" t="s">
        <v>94</v>
      </c>
      <c r="E228" t="s">
        <v>52</v>
      </c>
      <c r="F228">
        <v>7098510</v>
      </c>
      <c r="G228" t="s">
        <v>61</v>
      </c>
      <c r="H228" t="s">
        <v>43</v>
      </c>
      <c r="I228" t="s">
        <v>44</v>
      </c>
      <c r="J228" t="s">
        <v>50</v>
      </c>
      <c r="K228" t="s">
        <v>11</v>
      </c>
      <c r="L228" t="s">
        <v>62</v>
      </c>
      <c r="M228" t="s">
        <v>191</v>
      </c>
      <c r="N228" t="s">
        <v>192</v>
      </c>
      <c r="O228" t="s">
        <v>63</v>
      </c>
      <c r="P228" t="s">
        <v>383</v>
      </c>
      <c r="Q228" t="s">
        <v>643</v>
      </c>
      <c r="R228" t="s">
        <v>644</v>
      </c>
      <c r="S228" t="s">
        <v>46</v>
      </c>
      <c r="T228" t="s">
        <v>46</v>
      </c>
      <c r="U228" s="4">
        <v>1198.25</v>
      </c>
      <c r="V228" t="str">
        <f t="shared" si="3"/>
        <v>FF15</v>
      </c>
      <c r="W228" t="str">
        <f>VLOOKUP(K228,[1]Info!A$1:B$21,2,0)</f>
        <v>Feller</v>
      </c>
      <c r="X228" t="str">
        <f>IF(M228="109595132","Material de Limpeza-Não Avaliar",IF(AND(K228="F20",M228&lt;&gt;109595132),IF(RIGHT(F228,2)="70","Infraestrutura de Planta","Prédios e Instalações"),IF(K228="FPC",VLOOKUP(F228,[1]Info!$E$2:$F$11,2,0),IF(K228="FGP",VLOOKUP(F228,[1]Info!$E$9:$F$10,2,0),IF(K228="F10",VLOOKUP(F228,[1]Info!$E$2:$F$3,2,0),VLOOKUP(K228,[1]Info!$A$1:$B$21,2,0))))))</f>
        <v>Feller</v>
      </c>
    </row>
    <row r="229" spans="1:24" x14ac:dyDescent="0.35">
      <c r="A229" t="s">
        <v>41</v>
      </c>
      <c r="B229" t="s">
        <v>54</v>
      </c>
      <c r="C229" t="s">
        <v>55</v>
      </c>
      <c r="D229" t="s">
        <v>94</v>
      </c>
      <c r="E229" t="s">
        <v>52</v>
      </c>
      <c r="F229">
        <v>7098510</v>
      </c>
      <c r="G229" t="s">
        <v>61</v>
      </c>
      <c r="H229" t="s">
        <v>43</v>
      </c>
      <c r="I229" t="s">
        <v>44</v>
      </c>
      <c r="J229" t="s">
        <v>50</v>
      </c>
      <c r="K229" t="s">
        <v>11</v>
      </c>
      <c r="L229" t="s">
        <v>62</v>
      </c>
      <c r="M229" t="s">
        <v>191</v>
      </c>
      <c r="N229" t="s">
        <v>192</v>
      </c>
      <c r="O229" t="s">
        <v>63</v>
      </c>
      <c r="P229" t="s">
        <v>383</v>
      </c>
      <c r="Q229" t="s">
        <v>110</v>
      </c>
      <c r="R229" t="s">
        <v>111</v>
      </c>
      <c r="S229" t="s">
        <v>46</v>
      </c>
      <c r="T229" t="s">
        <v>46</v>
      </c>
      <c r="U229" s="4">
        <v>302.12</v>
      </c>
      <c r="V229" t="str">
        <f t="shared" si="3"/>
        <v>FF15</v>
      </c>
      <c r="W229" t="str">
        <f>VLOOKUP(K229,[1]Info!A$1:B$21,2,0)</f>
        <v>Feller</v>
      </c>
      <c r="X229" t="str">
        <f>IF(M229="109595132","Material de Limpeza-Não Avaliar",IF(AND(K229="F20",M229&lt;&gt;109595132),IF(RIGHT(F229,2)="70","Infraestrutura de Planta","Prédios e Instalações"),IF(K229="FPC",VLOOKUP(F229,[1]Info!$E$2:$F$11,2,0),IF(K229="FGP",VLOOKUP(F229,[1]Info!$E$9:$F$10,2,0),IF(K229="F10",VLOOKUP(F229,[1]Info!$E$2:$F$3,2,0),VLOOKUP(K229,[1]Info!$A$1:$B$21,2,0))))))</f>
        <v>Feller</v>
      </c>
    </row>
    <row r="230" spans="1:24" x14ac:dyDescent="0.35">
      <c r="A230" t="s">
        <v>41</v>
      </c>
      <c r="B230" t="s">
        <v>54</v>
      </c>
      <c r="C230" t="s">
        <v>55</v>
      </c>
      <c r="D230" t="s">
        <v>94</v>
      </c>
      <c r="E230" t="s">
        <v>52</v>
      </c>
      <c r="F230">
        <v>7098510</v>
      </c>
      <c r="G230" t="s">
        <v>61</v>
      </c>
      <c r="H230" t="s">
        <v>43</v>
      </c>
      <c r="I230" t="s">
        <v>44</v>
      </c>
      <c r="J230" t="s">
        <v>50</v>
      </c>
      <c r="K230" t="s">
        <v>11</v>
      </c>
      <c r="L230" t="s">
        <v>62</v>
      </c>
      <c r="M230" t="s">
        <v>191</v>
      </c>
      <c r="N230" t="s">
        <v>192</v>
      </c>
      <c r="O230" t="s">
        <v>63</v>
      </c>
      <c r="P230" t="s">
        <v>383</v>
      </c>
      <c r="Q230" t="s">
        <v>645</v>
      </c>
      <c r="R230" t="s">
        <v>646</v>
      </c>
      <c r="S230" t="s">
        <v>46</v>
      </c>
      <c r="T230" t="s">
        <v>46</v>
      </c>
      <c r="U230" s="4">
        <v>2297.77</v>
      </c>
      <c r="V230" t="str">
        <f t="shared" si="3"/>
        <v>FF15</v>
      </c>
      <c r="W230" t="str">
        <f>VLOOKUP(K230,[1]Info!A$1:B$21,2,0)</f>
        <v>Feller</v>
      </c>
      <c r="X230" t="str">
        <f>IF(M230="109595132","Material de Limpeza-Não Avaliar",IF(AND(K230="F20",M230&lt;&gt;109595132),IF(RIGHT(F230,2)="70","Infraestrutura de Planta","Prédios e Instalações"),IF(K230="FPC",VLOOKUP(F230,[1]Info!$E$2:$F$11,2,0),IF(K230="FGP",VLOOKUP(F230,[1]Info!$E$9:$F$10,2,0),IF(K230="F10",VLOOKUP(F230,[1]Info!$E$2:$F$3,2,0),VLOOKUP(K230,[1]Info!$A$1:$B$21,2,0))))))</f>
        <v>Feller</v>
      </c>
    </row>
    <row r="231" spans="1:24" x14ac:dyDescent="0.35">
      <c r="A231" t="s">
        <v>41</v>
      </c>
      <c r="B231" t="s">
        <v>54</v>
      </c>
      <c r="C231" t="s">
        <v>55</v>
      </c>
      <c r="D231" t="s">
        <v>94</v>
      </c>
      <c r="E231" t="s">
        <v>52</v>
      </c>
      <c r="F231">
        <v>7098510</v>
      </c>
      <c r="G231" t="s">
        <v>61</v>
      </c>
      <c r="H231" t="s">
        <v>43</v>
      </c>
      <c r="I231" t="s">
        <v>44</v>
      </c>
      <c r="J231" t="s">
        <v>50</v>
      </c>
      <c r="K231" t="s">
        <v>11</v>
      </c>
      <c r="L231" t="s">
        <v>62</v>
      </c>
      <c r="M231" t="s">
        <v>191</v>
      </c>
      <c r="N231" t="s">
        <v>192</v>
      </c>
      <c r="O231" t="s">
        <v>63</v>
      </c>
      <c r="P231" t="s">
        <v>383</v>
      </c>
      <c r="Q231" t="s">
        <v>112</v>
      </c>
      <c r="R231" t="s">
        <v>113</v>
      </c>
      <c r="S231" t="s">
        <v>46</v>
      </c>
      <c r="T231" t="s">
        <v>46</v>
      </c>
      <c r="U231" s="4">
        <v>327.23</v>
      </c>
      <c r="V231" t="str">
        <f t="shared" si="3"/>
        <v>FF15</v>
      </c>
      <c r="W231" t="str">
        <f>VLOOKUP(K231,[1]Info!A$1:B$21,2,0)</f>
        <v>Feller</v>
      </c>
      <c r="X231" t="str">
        <f>IF(M231="109595132","Material de Limpeza-Não Avaliar",IF(AND(K231="F20",M231&lt;&gt;109595132),IF(RIGHT(F231,2)="70","Infraestrutura de Planta","Prédios e Instalações"),IF(K231="FPC",VLOOKUP(F231,[1]Info!$E$2:$F$11,2,0),IF(K231="FGP",VLOOKUP(F231,[1]Info!$E$9:$F$10,2,0),IF(K231="F10",VLOOKUP(F231,[1]Info!$E$2:$F$3,2,0),VLOOKUP(K231,[1]Info!$A$1:$B$21,2,0))))))</f>
        <v>Feller</v>
      </c>
    </row>
    <row r="232" spans="1:24" x14ac:dyDescent="0.35">
      <c r="A232" t="s">
        <v>41</v>
      </c>
      <c r="B232" t="s">
        <v>54</v>
      </c>
      <c r="C232" t="s">
        <v>55</v>
      </c>
      <c r="D232" t="s">
        <v>94</v>
      </c>
      <c r="E232" t="s">
        <v>52</v>
      </c>
      <c r="F232">
        <v>7098510</v>
      </c>
      <c r="G232" t="s">
        <v>61</v>
      </c>
      <c r="H232" t="s">
        <v>43</v>
      </c>
      <c r="I232" t="s">
        <v>44</v>
      </c>
      <c r="J232" t="s">
        <v>50</v>
      </c>
      <c r="K232" t="s">
        <v>11</v>
      </c>
      <c r="L232" t="s">
        <v>62</v>
      </c>
      <c r="M232" t="s">
        <v>191</v>
      </c>
      <c r="N232" t="s">
        <v>192</v>
      </c>
      <c r="O232" t="s">
        <v>63</v>
      </c>
      <c r="P232" t="s">
        <v>383</v>
      </c>
      <c r="Q232" t="s">
        <v>136</v>
      </c>
      <c r="R232" t="s">
        <v>137</v>
      </c>
      <c r="S232" t="s">
        <v>46</v>
      </c>
      <c r="T232" t="s">
        <v>46</v>
      </c>
      <c r="U232" s="4">
        <v>236.36</v>
      </c>
      <c r="V232" t="str">
        <f t="shared" si="3"/>
        <v>FF15</v>
      </c>
      <c r="W232" t="str">
        <f>VLOOKUP(K232,[1]Info!A$1:B$21,2,0)</f>
        <v>Feller</v>
      </c>
      <c r="X232" t="str">
        <f>IF(M232="109595132","Material de Limpeza-Não Avaliar",IF(AND(K232="F20",M232&lt;&gt;109595132),IF(RIGHT(F232,2)="70","Infraestrutura de Planta","Prédios e Instalações"),IF(K232="FPC",VLOOKUP(F232,[1]Info!$E$2:$F$11,2,0),IF(K232="FGP",VLOOKUP(F232,[1]Info!$E$9:$F$10,2,0),IF(K232="F10",VLOOKUP(F232,[1]Info!$E$2:$F$3,2,0),VLOOKUP(K232,[1]Info!$A$1:$B$21,2,0))))))</f>
        <v>Feller</v>
      </c>
    </row>
    <row r="233" spans="1:24" x14ac:dyDescent="0.35">
      <c r="A233" t="s">
        <v>41</v>
      </c>
      <c r="B233" t="s">
        <v>54</v>
      </c>
      <c r="C233" t="s">
        <v>55</v>
      </c>
      <c r="D233" t="s">
        <v>94</v>
      </c>
      <c r="E233" t="s">
        <v>52</v>
      </c>
      <c r="F233">
        <v>7098510</v>
      </c>
      <c r="G233" t="s">
        <v>61</v>
      </c>
      <c r="H233" t="s">
        <v>43</v>
      </c>
      <c r="I233" t="s">
        <v>44</v>
      </c>
      <c r="J233" t="s">
        <v>50</v>
      </c>
      <c r="K233" t="s">
        <v>11</v>
      </c>
      <c r="L233" t="s">
        <v>62</v>
      </c>
      <c r="M233" t="s">
        <v>191</v>
      </c>
      <c r="N233" t="s">
        <v>192</v>
      </c>
      <c r="O233" t="s">
        <v>63</v>
      </c>
      <c r="P233" t="s">
        <v>383</v>
      </c>
      <c r="Q233" t="s">
        <v>647</v>
      </c>
      <c r="R233" t="s">
        <v>648</v>
      </c>
      <c r="S233" t="s">
        <v>46</v>
      </c>
      <c r="T233" t="s">
        <v>46</v>
      </c>
      <c r="U233" s="4">
        <v>91.6</v>
      </c>
      <c r="V233" t="str">
        <f t="shared" si="3"/>
        <v>FF15</v>
      </c>
      <c r="W233" t="str">
        <f>VLOOKUP(K233,[1]Info!A$1:B$21,2,0)</f>
        <v>Feller</v>
      </c>
      <c r="X233" t="str">
        <f>IF(M233="109595132","Material de Limpeza-Não Avaliar",IF(AND(K233="F20",M233&lt;&gt;109595132),IF(RIGHT(F233,2)="70","Infraestrutura de Planta","Prédios e Instalações"),IF(K233="FPC",VLOOKUP(F233,[1]Info!$E$2:$F$11,2,0),IF(K233="FGP",VLOOKUP(F233,[1]Info!$E$9:$F$10,2,0),IF(K233="F10",VLOOKUP(F233,[1]Info!$E$2:$F$3,2,0),VLOOKUP(K233,[1]Info!$A$1:$B$21,2,0))))))</f>
        <v>Feller</v>
      </c>
    </row>
    <row r="234" spans="1:24" x14ac:dyDescent="0.35">
      <c r="A234" t="s">
        <v>41</v>
      </c>
      <c r="B234" t="s">
        <v>54</v>
      </c>
      <c r="C234" t="s">
        <v>55</v>
      </c>
      <c r="D234" t="s">
        <v>94</v>
      </c>
      <c r="E234" t="s">
        <v>52</v>
      </c>
      <c r="F234">
        <v>7098510</v>
      </c>
      <c r="G234" t="s">
        <v>61</v>
      </c>
      <c r="H234" t="s">
        <v>43</v>
      </c>
      <c r="I234" t="s">
        <v>44</v>
      </c>
      <c r="J234" t="s">
        <v>50</v>
      </c>
      <c r="K234" t="s">
        <v>11</v>
      </c>
      <c r="L234" t="s">
        <v>62</v>
      </c>
      <c r="M234" t="s">
        <v>191</v>
      </c>
      <c r="N234" t="s">
        <v>192</v>
      </c>
      <c r="O234" t="s">
        <v>63</v>
      </c>
      <c r="P234" t="s">
        <v>383</v>
      </c>
      <c r="Q234" t="s">
        <v>114</v>
      </c>
      <c r="R234" t="s">
        <v>115</v>
      </c>
      <c r="S234" t="s">
        <v>46</v>
      </c>
      <c r="T234" t="s">
        <v>46</v>
      </c>
      <c r="U234" s="4">
        <v>165.65</v>
      </c>
      <c r="V234" t="str">
        <f t="shared" si="3"/>
        <v>FF15</v>
      </c>
      <c r="W234" t="str">
        <f>VLOOKUP(K234,[1]Info!A$1:B$21,2,0)</f>
        <v>Feller</v>
      </c>
      <c r="X234" t="str">
        <f>IF(M234="109595132","Material de Limpeza-Não Avaliar",IF(AND(K234="F20",M234&lt;&gt;109595132),IF(RIGHT(F234,2)="70","Infraestrutura de Planta","Prédios e Instalações"),IF(K234="FPC",VLOOKUP(F234,[1]Info!$E$2:$F$11,2,0),IF(K234="FGP",VLOOKUP(F234,[1]Info!$E$9:$F$10,2,0),IF(K234="F10",VLOOKUP(F234,[1]Info!$E$2:$F$3,2,0),VLOOKUP(K234,[1]Info!$A$1:$B$21,2,0))))))</f>
        <v>Feller</v>
      </c>
    </row>
    <row r="235" spans="1:24" x14ac:dyDescent="0.35">
      <c r="A235" t="s">
        <v>41</v>
      </c>
      <c r="B235" t="s">
        <v>54</v>
      </c>
      <c r="C235" t="s">
        <v>55</v>
      </c>
      <c r="D235" t="s">
        <v>94</v>
      </c>
      <c r="E235" t="s">
        <v>52</v>
      </c>
      <c r="F235">
        <v>7098510</v>
      </c>
      <c r="G235" t="s">
        <v>61</v>
      </c>
      <c r="H235" t="s">
        <v>43</v>
      </c>
      <c r="I235" t="s">
        <v>44</v>
      </c>
      <c r="J235" t="s">
        <v>50</v>
      </c>
      <c r="K235" t="s">
        <v>11</v>
      </c>
      <c r="L235" t="s">
        <v>62</v>
      </c>
      <c r="M235" t="s">
        <v>191</v>
      </c>
      <c r="N235" t="s">
        <v>192</v>
      </c>
      <c r="O235" t="s">
        <v>63</v>
      </c>
      <c r="P235" t="s">
        <v>383</v>
      </c>
      <c r="Q235" t="s">
        <v>655</v>
      </c>
      <c r="R235" t="s">
        <v>656</v>
      </c>
      <c r="S235" t="s">
        <v>46</v>
      </c>
      <c r="T235" t="s">
        <v>46</v>
      </c>
      <c r="U235" s="4">
        <v>247.92</v>
      </c>
      <c r="V235" t="str">
        <f t="shared" si="3"/>
        <v>FF15</v>
      </c>
      <c r="W235" t="str">
        <f>VLOOKUP(K235,[1]Info!A$1:B$21,2,0)</f>
        <v>Feller</v>
      </c>
      <c r="X235" t="str">
        <f>IF(M235="109595132","Material de Limpeza-Não Avaliar",IF(AND(K235="F20",M235&lt;&gt;109595132),IF(RIGHT(F235,2)="70","Infraestrutura de Planta","Prédios e Instalações"),IF(K235="FPC",VLOOKUP(F235,[1]Info!$E$2:$F$11,2,0),IF(K235="FGP",VLOOKUP(F235,[1]Info!$E$9:$F$10,2,0),IF(K235="F10",VLOOKUP(F235,[1]Info!$E$2:$F$3,2,0),VLOOKUP(K235,[1]Info!$A$1:$B$21,2,0))))))</f>
        <v>Feller</v>
      </c>
    </row>
    <row r="236" spans="1:24" x14ac:dyDescent="0.35">
      <c r="A236" t="s">
        <v>41</v>
      </c>
      <c r="B236" t="s">
        <v>54</v>
      </c>
      <c r="C236" t="s">
        <v>55</v>
      </c>
      <c r="D236" t="s">
        <v>94</v>
      </c>
      <c r="E236" t="s">
        <v>52</v>
      </c>
      <c r="F236">
        <v>7098510</v>
      </c>
      <c r="G236" t="s">
        <v>61</v>
      </c>
      <c r="H236" t="s">
        <v>43</v>
      </c>
      <c r="I236" t="s">
        <v>44</v>
      </c>
      <c r="J236" t="s">
        <v>50</v>
      </c>
      <c r="K236" t="s">
        <v>11</v>
      </c>
      <c r="L236" t="s">
        <v>62</v>
      </c>
      <c r="M236" t="s">
        <v>191</v>
      </c>
      <c r="N236" t="s">
        <v>192</v>
      </c>
      <c r="O236" t="s">
        <v>63</v>
      </c>
      <c r="P236" t="s">
        <v>383</v>
      </c>
      <c r="Q236" t="s">
        <v>657</v>
      </c>
      <c r="R236" t="s">
        <v>658</v>
      </c>
      <c r="S236" t="s">
        <v>46</v>
      </c>
      <c r="T236" t="s">
        <v>46</v>
      </c>
      <c r="U236" s="4">
        <v>635.54</v>
      </c>
      <c r="V236" t="str">
        <f t="shared" si="3"/>
        <v>FF15</v>
      </c>
      <c r="W236" t="str">
        <f>VLOOKUP(K236,[1]Info!A$1:B$21,2,0)</f>
        <v>Feller</v>
      </c>
      <c r="X236" t="str">
        <f>IF(M236="109595132","Material de Limpeza-Não Avaliar",IF(AND(K236="F20",M236&lt;&gt;109595132),IF(RIGHT(F236,2)="70","Infraestrutura de Planta","Prédios e Instalações"),IF(K236="FPC",VLOOKUP(F236,[1]Info!$E$2:$F$11,2,0),IF(K236="FGP",VLOOKUP(F236,[1]Info!$E$9:$F$10,2,0),IF(K236="F10",VLOOKUP(F236,[1]Info!$E$2:$F$3,2,0),VLOOKUP(K236,[1]Info!$A$1:$B$21,2,0))))))</f>
        <v>Feller</v>
      </c>
    </row>
    <row r="237" spans="1:24" x14ac:dyDescent="0.35">
      <c r="A237" t="s">
        <v>41</v>
      </c>
      <c r="B237" t="s">
        <v>54</v>
      </c>
      <c r="C237" t="s">
        <v>55</v>
      </c>
      <c r="D237" t="s">
        <v>94</v>
      </c>
      <c r="E237" t="s">
        <v>52</v>
      </c>
      <c r="F237">
        <v>7098510</v>
      </c>
      <c r="G237" t="s">
        <v>61</v>
      </c>
      <c r="H237" t="s">
        <v>43</v>
      </c>
      <c r="I237" t="s">
        <v>44</v>
      </c>
      <c r="J237" t="s">
        <v>50</v>
      </c>
      <c r="K237" t="s">
        <v>11</v>
      </c>
      <c r="L237" t="s">
        <v>62</v>
      </c>
      <c r="M237" t="s">
        <v>191</v>
      </c>
      <c r="N237" t="s">
        <v>192</v>
      </c>
      <c r="O237" t="s">
        <v>63</v>
      </c>
      <c r="P237" t="s">
        <v>383</v>
      </c>
      <c r="Q237" t="s">
        <v>649</v>
      </c>
      <c r="R237" t="s">
        <v>650</v>
      </c>
      <c r="S237" t="s">
        <v>46</v>
      </c>
      <c r="T237" t="s">
        <v>46</v>
      </c>
      <c r="U237" s="4">
        <v>957.15</v>
      </c>
      <c r="V237" t="str">
        <f t="shared" si="3"/>
        <v>FF15</v>
      </c>
      <c r="W237" t="str">
        <f>VLOOKUP(K237,[1]Info!A$1:B$21,2,0)</f>
        <v>Feller</v>
      </c>
      <c r="X237" t="str">
        <f>IF(M237="109595132","Material de Limpeza-Não Avaliar",IF(AND(K237="F20",M237&lt;&gt;109595132),IF(RIGHT(F237,2)="70","Infraestrutura de Planta","Prédios e Instalações"),IF(K237="FPC",VLOOKUP(F237,[1]Info!$E$2:$F$11,2,0),IF(K237="FGP",VLOOKUP(F237,[1]Info!$E$9:$F$10,2,0),IF(K237="F10",VLOOKUP(F237,[1]Info!$E$2:$F$3,2,0),VLOOKUP(K237,[1]Info!$A$1:$B$21,2,0))))))</f>
        <v>Feller</v>
      </c>
    </row>
    <row r="238" spans="1:24" x14ac:dyDescent="0.35">
      <c r="A238" t="s">
        <v>41</v>
      </c>
      <c r="B238" t="s">
        <v>54</v>
      </c>
      <c r="C238" t="s">
        <v>55</v>
      </c>
      <c r="D238" t="s">
        <v>94</v>
      </c>
      <c r="E238" t="s">
        <v>52</v>
      </c>
      <c r="F238">
        <v>7098510</v>
      </c>
      <c r="G238" t="s">
        <v>61</v>
      </c>
      <c r="H238" t="s">
        <v>43</v>
      </c>
      <c r="I238" t="s">
        <v>44</v>
      </c>
      <c r="J238" t="s">
        <v>50</v>
      </c>
      <c r="K238" t="s">
        <v>11</v>
      </c>
      <c r="L238" t="s">
        <v>62</v>
      </c>
      <c r="M238" t="s">
        <v>191</v>
      </c>
      <c r="N238" t="s">
        <v>192</v>
      </c>
      <c r="O238" t="s">
        <v>63</v>
      </c>
      <c r="P238" t="s">
        <v>383</v>
      </c>
      <c r="Q238" t="s">
        <v>651</v>
      </c>
      <c r="R238" t="s">
        <v>652</v>
      </c>
      <c r="S238" t="s">
        <v>46</v>
      </c>
      <c r="T238" t="s">
        <v>46</v>
      </c>
      <c r="U238" s="4">
        <v>513.04999999999995</v>
      </c>
      <c r="V238" t="str">
        <f t="shared" si="3"/>
        <v>FF15</v>
      </c>
      <c r="W238" t="str">
        <f>VLOOKUP(K238,[1]Info!A$1:B$21,2,0)</f>
        <v>Feller</v>
      </c>
      <c r="X238" t="str">
        <f>IF(M238="109595132","Material de Limpeza-Não Avaliar",IF(AND(K238="F20",M238&lt;&gt;109595132),IF(RIGHT(F238,2)="70","Infraestrutura de Planta","Prédios e Instalações"),IF(K238="FPC",VLOOKUP(F238,[1]Info!$E$2:$F$11,2,0),IF(K238="FGP",VLOOKUP(F238,[1]Info!$E$9:$F$10,2,0),IF(K238="F10",VLOOKUP(F238,[1]Info!$E$2:$F$3,2,0),VLOOKUP(K238,[1]Info!$A$1:$B$21,2,0))))))</f>
        <v>Feller</v>
      </c>
    </row>
    <row r="239" spans="1:24" x14ac:dyDescent="0.35">
      <c r="A239" t="s">
        <v>41</v>
      </c>
      <c r="B239" t="s">
        <v>54</v>
      </c>
      <c r="C239" t="s">
        <v>55</v>
      </c>
      <c r="D239" t="s">
        <v>94</v>
      </c>
      <c r="E239" t="s">
        <v>52</v>
      </c>
      <c r="F239">
        <v>7098510</v>
      </c>
      <c r="G239" t="s">
        <v>61</v>
      </c>
      <c r="H239" t="s">
        <v>43</v>
      </c>
      <c r="I239" t="s">
        <v>44</v>
      </c>
      <c r="J239" t="s">
        <v>50</v>
      </c>
      <c r="K239" t="s">
        <v>11</v>
      </c>
      <c r="L239" t="s">
        <v>62</v>
      </c>
      <c r="M239" t="s">
        <v>197</v>
      </c>
      <c r="N239" t="s">
        <v>198</v>
      </c>
      <c r="O239" t="s">
        <v>150</v>
      </c>
      <c r="P239" t="s">
        <v>383</v>
      </c>
      <c r="Q239" t="s">
        <v>108</v>
      </c>
      <c r="R239" t="s">
        <v>109</v>
      </c>
      <c r="S239" t="s">
        <v>46</v>
      </c>
      <c r="T239" t="s">
        <v>46</v>
      </c>
      <c r="U239" s="4">
        <v>138.61000000000001</v>
      </c>
      <c r="V239" t="str">
        <f t="shared" si="3"/>
        <v>FF16</v>
      </c>
      <c r="W239" t="str">
        <f>VLOOKUP(K239,[1]Info!A$1:B$21,2,0)</f>
        <v>Feller</v>
      </c>
      <c r="X239" t="str">
        <f>IF(M239="109595132","Material de Limpeza-Não Avaliar",IF(AND(K239="F20",M239&lt;&gt;109595132),IF(RIGHT(F239,2)="70","Infraestrutura de Planta","Prédios e Instalações"),IF(K239="FPC",VLOOKUP(F239,[1]Info!$E$2:$F$11,2,0),IF(K239="FGP",VLOOKUP(F239,[1]Info!$E$9:$F$10,2,0),IF(K239="F10",VLOOKUP(F239,[1]Info!$E$2:$F$3,2,0),VLOOKUP(K239,[1]Info!$A$1:$B$21,2,0))))))</f>
        <v>Feller</v>
      </c>
    </row>
    <row r="240" spans="1:24" x14ac:dyDescent="0.35">
      <c r="A240" t="s">
        <v>41</v>
      </c>
      <c r="B240" t="s">
        <v>54</v>
      </c>
      <c r="C240" t="s">
        <v>55</v>
      </c>
      <c r="D240" t="s">
        <v>94</v>
      </c>
      <c r="E240" t="s">
        <v>52</v>
      </c>
      <c r="F240">
        <v>7098510</v>
      </c>
      <c r="G240" t="s">
        <v>61</v>
      </c>
      <c r="H240" t="s">
        <v>43</v>
      </c>
      <c r="I240" t="s">
        <v>44</v>
      </c>
      <c r="J240" t="s">
        <v>50</v>
      </c>
      <c r="K240" t="s">
        <v>11</v>
      </c>
      <c r="L240" t="s">
        <v>62</v>
      </c>
      <c r="M240" t="s">
        <v>197</v>
      </c>
      <c r="N240" t="s">
        <v>198</v>
      </c>
      <c r="O240" t="s">
        <v>150</v>
      </c>
      <c r="P240" t="s">
        <v>383</v>
      </c>
      <c r="Q240" t="s">
        <v>110</v>
      </c>
      <c r="R240" t="s">
        <v>111</v>
      </c>
      <c r="S240" t="s">
        <v>46</v>
      </c>
      <c r="T240" t="s">
        <v>46</v>
      </c>
      <c r="U240" s="4">
        <v>302.12</v>
      </c>
      <c r="V240" t="str">
        <f t="shared" si="3"/>
        <v>FF16</v>
      </c>
      <c r="W240" t="str">
        <f>VLOOKUP(K240,[1]Info!A$1:B$21,2,0)</f>
        <v>Feller</v>
      </c>
      <c r="X240" t="str">
        <f>IF(M240="109595132","Material de Limpeza-Não Avaliar",IF(AND(K240="F20",M240&lt;&gt;109595132),IF(RIGHT(F240,2)="70","Infraestrutura de Planta","Prédios e Instalações"),IF(K240="FPC",VLOOKUP(F240,[1]Info!$E$2:$F$11,2,0),IF(K240="FGP",VLOOKUP(F240,[1]Info!$E$9:$F$10,2,0),IF(K240="F10",VLOOKUP(F240,[1]Info!$E$2:$F$3,2,0),VLOOKUP(K240,[1]Info!$A$1:$B$21,2,0))))))</f>
        <v>Feller</v>
      </c>
    </row>
    <row r="241" spans="1:24" x14ac:dyDescent="0.35">
      <c r="A241" t="s">
        <v>41</v>
      </c>
      <c r="B241" t="s">
        <v>54</v>
      </c>
      <c r="C241" t="s">
        <v>55</v>
      </c>
      <c r="D241" t="s">
        <v>94</v>
      </c>
      <c r="E241" t="s">
        <v>52</v>
      </c>
      <c r="F241">
        <v>7098510</v>
      </c>
      <c r="G241" t="s">
        <v>61</v>
      </c>
      <c r="H241" t="s">
        <v>43</v>
      </c>
      <c r="I241" t="s">
        <v>44</v>
      </c>
      <c r="J241" t="s">
        <v>50</v>
      </c>
      <c r="K241" t="s">
        <v>11</v>
      </c>
      <c r="L241" t="s">
        <v>62</v>
      </c>
      <c r="M241" t="s">
        <v>197</v>
      </c>
      <c r="N241" t="s">
        <v>198</v>
      </c>
      <c r="O241" t="s">
        <v>150</v>
      </c>
      <c r="P241" t="s">
        <v>383</v>
      </c>
      <c r="Q241" t="s">
        <v>112</v>
      </c>
      <c r="R241" t="s">
        <v>113</v>
      </c>
      <c r="S241" t="s">
        <v>46</v>
      </c>
      <c r="T241" t="s">
        <v>46</v>
      </c>
      <c r="U241" s="4">
        <v>327.24</v>
      </c>
      <c r="V241" t="str">
        <f t="shared" si="3"/>
        <v>FF16</v>
      </c>
      <c r="W241" t="str">
        <f>VLOOKUP(K241,[1]Info!A$1:B$21,2,0)</f>
        <v>Feller</v>
      </c>
      <c r="X241" t="str">
        <f>IF(M241="109595132","Material de Limpeza-Não Avaliar",IF(AND(K241="F20",M241&lt;&gt;109595132),IF(RIGHT(F241,2)="70","Infraestrutura de Planta","Prédios e Instalações"),IF(K241="FPC",VLOOKUP(F241,[1]Info!$E$2:$F$11,2,0),IF(K241="FGP",VLOOKUP(F241,[1]Info!$E$9:$F$10,2,0),IF(K241="F10",VLOOKUP(F241,[1]Info!$E$2:$F$3,2,0),VLOOKUP(K241,[1]Info!$A$1:$B$21,2,0))))))</f>
        <v>Feller</v>
      </c>
    </row>
    <row r="242" spans="1:24" x14ac:dyDescent="0.35">
      <c r="A242" t="s">
        <v>41</v>
      </c>
      <c r="B242" t="s">
        <v>54</v>
      </c>
      <c r="C242" t="s">
        <v>55</v>
      </c>
      <c r="D242" t="s">
        <v>94</v>
      </c>
      <c r="E242" t="s">
        <v>52</v>
      </c>
      <c r="F242">
        <v>7098510</v>
      </c>
      <c r="G242" t="s">
        <v>61</v>
      </c>
      <c r="H242" t="s">
        <v>43</v>
      </c>
      <c r="I242" t="s">
        <v>44</v>
      </c>
      <c r="J242" t="s">
        <v>50</v>
      </c>
      <c r="K242" t="s">
        <v>11</v>
      </c>
      <c r="L242" t="s">
        <v>62</v>
      </c>
      <c r="M242" t="s">
        <v>197</v>
      </c>
      <c r="N242" t="s">
        <v>198</v>
      </c>
      <c r="O242" t="s">
        <v>150</v>
      </c>
      <c r="P242" t="s">
        <v>383</v>
      </c>
      <c r="Q242" t="s">
        <v>114</v>
      </c>
      <c r="R242" t="s">
        <v>115</v>
      </c>
      <c r="S242" t="s">
        <v>46</v>
      </c>
      <c r="T242" t="s">
        <v>46</v>
      </c>
      <c r="U242" s="4">
        <v>165.65</v>
      </c>
      <c r="V242" t="str">
        <f t="shared" si="3"/>
        <v>FF16</v>
      </c>
      <c r="W242" t="str">
        <f>VLOOKUP(K242,[1]Info!A$1:B$21,2,0)</f>
        <v>Feller</v>
      </c>
      <c r="X242" t="str">
        <f>IF(M242="109595132","Material de Limpeza-Não Avaliar",IF(AND(K242="F20",M242&lt;&gt;109595132),IF(RIGHT(F242,2)="70","Infraestrutura de Planta","Prédios e Instalações"),IF(K242="FPC",VLOOKUP(F242,[1]Info!$E$2:$F$11,2,0),IF(K242="FGP",VLOOKUP(F242,[1]Info!$E$9:$F$10,2,0),IF(K242="F10",VLOOKUP(F242,[1]Info!$E$2:$F$3,2,0),VLOOKUP(K242,[1]Info!$A$1:$B$21,2,0))))))</f>
        <v>Feller</v>
      </c>
    </row>
    <row r="243" spans="1:24" x14ac:dyDescent="0.35">
      <c r="A243" t="s">
        <v>41</v>
      </c>
      <c r="B243" t="s">
        <v>54</v>
      </c>
      <c r="C243" t="s">
        <v>55</v>
      </c>
      <c r="D243" t="s">
        <v>94</v>
      </c>
      <c r="E243" t="s">
        <v>52</v>
      </c>
      <c r="F243">
        <v>7098510</v>
      </c>
      <c r="G243" t="s">
        <v>61</v>
      </c>
      <c r="H243" t="s">
        <v>43</v>
      </c>
      <c r="I243" t="s">
        <v>44</v>
      </c>
      <c r="J243" t="s">
        <v>50</v>
      </c>
      <c r="K243" t="s">
        <v>11</v>
      </c>
      <c r="L243" t="s">
        <v>62</v>
      </c>
      <c r="M243" t="s">
        <v>539</v>
      </c>
      <c r="N243" t="s">
        <v>190</v>
      </c>
      <c r="O243" t="s">
        <v>149</v>
      </c>
      <c r="P243" t="s">
        <v>383</v>
      </c>
      <c r="Q243" t="s">
        <v>108</v>
      </c>
      <c r="R243" t="s">
        <v>109</v>
      </c>
      <c r="S243" t="s">
        <v>46</v>
      </c>
      <c r="T243" t="s">
        <v>46</v>
      </c>
      <c r="U243" s="4">
        <v>138.61000000000001</v>
      </c>
      <c r="V243" t="str">
        <f t="shared" si="3"/>
        <v>FF12</v>
      </c>
      <c r="W243" t="str">
        <f>VLOOKUP(K243,[1]Info!A$1:B$21,2,0)</f>
        <v>Feller</v>
      </c>
      <c r="X243" t="str">
        <f>IF(M243="109595132","Material de Limpeza-Não Avaliar",IF(AND(K243="F20",M243&lt;&gt;109595132),IF(RIGHT(F243,2)="70","Infraestrutura de Planta","Prédios e Instalações"),IF(K243="FPC",VLOOKUP(F243,[1]Info!$E$2:$F$11,2,0),IF(K243="FGP",VLOOKUP(F243,[1]Info!$E$9:$F$10,2,0),IF(K243="F10",VLOOKUP(F243,[1]Info!$E$2:$F$3,2,0),VLOOKUP(K243,[1]Info!$A$1:$B$21,2,0))))))</f>
        <v>Feller</v>
      </c>
    </row>
    <row r="244" spans="1:24" x14ac:dyDescent="0.35">
      <c r="A244" t="s">
        <v>41</v>
      </c>
      <c r="B244" t="s">
        <v>54</v>
      </c>
      <c r="C244" t="s">
        <v>55</v>
      </c>
      <c r="D244" t="s">
        <v>94</v>
      </c>
      <c r="E244" t="s">
        <v>52</v>
      </c>
      <c r="F244">
        <v>7098510</v>
      </c>
      <c r="G244" t="s">
        <v>61</v>
      </c>
      <c r="H244" t="s">
        <v>43</v>
      </c>
      <c r="I244" t="s">
        <v>44</v>
      </c>
      <c r="J244" t="s">
        <v>50</v>
      </c>
      <c r="K244" t="s">
        <v>11</v>
      </c>
      <c r="L244" t="s">
        <v>62</v>
      </c>
      <c r="M244" t="s">
        <v>539</v>
      </c>
      <c r="N244" t="s">
        <v>190</v>
      </c>
      <c r="O244" t="s">
        <v>149</v>
      </c>
      <c r="P244" t="s">
        <v>383</v>
      </c>
      <c r="Q244" t="s">
        <v>110</v>
      </c>
      <c r="R244" t="s">
        <v>111</v>
      </c>
      <c r="S244" t="s">
        <v>46</v>
      </c>
      <c r="T244" t="s">
        <v>46</v>
      </c>
      <c r="U244" s="4">
        <v>302.12</v>
      </c>
      <c r="V244" t="str">
        <f t="shared" si="3"/>
        <v>FF12</v>
      </c>
      <c r="W244" t="str">
        <f>VLOOKUP(K244,[1]Info!A$1:B$21,2,0)</f>
        <v>Feller</v>
      </c>
      <c r="X244" t="str">
        <f>IF(M244="109595132","Material de Limpeza-Não Avaliar",IF(AND(K244="F20",M244&lt;&gt;109595132),IF(RIGHT(F244,2)="70","Infraestrutura de Planta","Prédios e Instalações"),IF(K244="FPC",VLOOKUP(F244,[1]Info!$E$2:$F$11,2,0),IF(K244="FGP",VLOOKUP(F244,[1]Info!$E$9:$F$10,2,0),IF(K244="F10",VLOOKUP(F244,[1]Info!$E$2:$F$3,2,0),VLOOKUP(K244,[1]Info!$A$1:$B$21,2,0))))))</f>
        <v>Feller</v>
      </c>
    </row>
    <row r="245" spans="1:24" x14ac:dyDescent="0.35">
      <c r="A245" t="s">
        <v>41</v>
      </c>
      <c r="B245" t="s">
        <v>54</v>
      </c>
      <c r="C245" t="s">
        <v>55</v>
      </c>
      <c r="D245" t="s">
        <v>94</v>
      </c>
      <c r="E245" t="s">
        <v>52</v>
      </c>
      <c r="F245">
        <v>7098510</v>
      </c>
      <c r="G245" t="s">
        <v>61</v>
      </c>
      <c r="H245" t="s">
        <v>43</v>
      </c>
      <c r="I245" t="s">
        <v>44</v>
      </c>
      <c r="J245" t="s">
        <v>50</v>
      </c>
      <c r="K245" t="s">
        <v>11</v>
      </c>
      <c r="L245" t="s">
        <v>62</v>
      </c>
      <c r="M245" t="s">
        <v>539</v>
      </c>
      <c r="N245" t="s">
        <v>190</v>
      </c>
      <c r="O245" t="s">
        <v>149</v>
      </c>
      <c r="P245" t="s">
        <v>383</v>
      </c>
      <c r="Q245" t="s">
        <v>112</v>
      </c>
      <c r="R245" t="s">
        <v>113</v>
      </c>
      <c r="S245" t="s">
        <v>46</v>
      </c>
      <c r="T245" t="s">
        <v>46</v>
      </c>
      <c r="U245" s="4">
        <v>327.24</v>
      </c>
      <c r="V245" t="str">
        <f t="shared" si="3"/>
        <v>FF12</v>
      </c>
      <c r="W245" t="str">
        <f>VLOOKUP(K245,[1]Info!A$1:B$21,2,0)</f>
        <v>Feller</v>
      </c>
      <c r="X245" t="str">
        <f>IF(M245="109595132","Material de Limpeza-Não Avaliar",IF(AND(K245="F20",M245&lt;&gt;109595132),IF(RIGHT(F245,2)="70","Infraestrutura de Planta","Prédios e Instalações"),IF(K245="FPC",VLOOKUP(F245,[1]Info!$E$2:$F$11,2,0),IF(K245="FGP",VLOOKUP(F245,[1]Info!$E$9:$F$10,2,0),IF(K245="F10",VLOOKUP(F245,[1]Info!$E$2:$F$3,2,0),VLOOKUP(K245,[1]Info!$A$1:$B$21,2,0))))))</f>
        <v>Feller</v>
      </c>
    </row>
    <row r="246" spans="1:24" x14ac:dyDescent="0.35">
      <c r="A246" t="s">
        <v>41</v>
      </c>
      <c r="B246" t="s">
        <v>54</v>
      </c>
      <c r="C246" t="s">
        <v>55</v>
      </c>
      <c r="D246" t="s">
        <v>94</v>
      </c>
      <c r="E246" t="s">
        <v>52</v>
      </c>
      <c r="F246">
        <v>7098510</v>
      </c>
      <c r="G246" t="s">
        <v>61</v>
      </c>
      <c r="H246" t="s">
        <v>43</v>
      </c>
      <c r="I246" t="s">
        <v>44</v>
      </c>
      <c r="J246" t="s">
        <v>50</v>
      </c>
      <c r="K246" t="s">
        <v>11</v>
      </c>
      <c r="L246" t="s">
        <v>62</v>
      </c>
      <c r="M246" t="s">
        <v>539</v>
      </c>
      <c r="N246" t="s">
        <v>190</v>
      </c>
      <c r="O246" t="s">
        <v>149</v>
      </c>
      <c r="P246" t="s">
        <v>383</v>
      </c>
      <c r="Q246" t="s">
        <v>114</v>
      </c>
      <c r="R246" t="s">
        <v>115</v>
      </c>
      <c r="S246" t="s">
        <v>46</v>
      </c>
      <c r="T246" t="s">
        <v>46</v>
      </c>
      <c r="U246" s="4">
        <v>165.65</v>
      </c>
      <c r="V246" t="str">
        <f t="shared" si="3"/>
        <v>FF12</v>
      </c>
      <c r="W246" t="str">
        <f>VLOOKUP(K246,[1]Info!A$1:B$21,2,0)</f>
        <v>Feller</v>
      </c>
      <c r="X246" t="str">
        <f>IF(M246="109595132","Material de Limpeza-Não Avaliar",IF(AND(K246="F20",M246&lt;&gt;109595132),IF(RIGHT(F246,2)="70","Infraestrutura de Planta","Prédios e Instalações"),IF(K246="FPC",VLOOKUP(F246,[1]Info!$E$2:$F$11,2,0),IF(K246="FGP",VLOOKUP(F246,[1]Info!$E$9:$F$10,2,0),IF(K246="F10",VLOOKUP(F246,[1]Info!$E$2:$F$3,2,0),VLOOKUP(K246,[1]Info!$A$1:$B$21,2,0))))))</f>
        <v>Feller</v>
      </c>
    </row>
    <row r="247" spans="1:24" x14ac:dyDescent="0.35">
      <c r="A247" t="s">
        <v>41</v>
      </c>
      <c r="B247" t="s">
        <v>54</v>
      </c>
      <c r="C247" t="s">
        <v>55</v>
      </c>
      <c r="D247" t="s">
        <v>94</v>
      </c>
      <c r="E247" t="s">
        <v>52</v>
      </c>
      <c r="F247">
        <v>7098510</v>
      </c>
      <c r="G247" t="s">
        <v>61</v>
      </c>
      <c r="H247" t="s">
        <v>43</v>
      </c>
      <c r="I247" t="s">
        <v>44</v>
      </c>
      <c r="J247" t="s">
        <v>50</v>
      </c>
      <c r="K247" t="s">
        <v>11</v>
      </c>
      <c r="L247" t="s">
        <v>62</v>
      </c>
      <c r="M247" t="s">
        <v>659</v>
      </c>
      <c r="N247" t="s">
        <v>660</v>
      </c>
      <c r="O247" t="s">
        <v>63</v>
      </c>
      <c r="P247" t="s">
        <v>383</v>
      </c>
      <c r="Q247" t="s">
        <v>108</v>
      </c>
      <c r="R247" t="s">
        <v>109</v>
      </c>
      <c r="S247" t="s">
        <v>46</v>
      </c>
      <c r="T247" t="s">
        <v>46</v>
      </c>
      <c r="U247" s="4">
        <v>138.6</v>
      </c>
      <c r="V247" t="str">
        <f t="shared" si="3"/>
        <v>FF15</v>
      </c>
      <c r="W247" t="str">
        <f>VLOOKUP(K247,[1]Info!A$1:B$21,2,0)</f>
        <v>Feller</v>
      </c>
      <c r="X247" t="str">
        <f>IF(M247="109595132","Material de Limpeza-Não Avaliar",IF(AND(K247="F20",M247&lt;&gt;109595132),IF(RIGHT(F247,2)="70","Infraestrutura de Planta","Prédios e Instalações"),IF(K247="FPC",VLOOKUP(F247,[1]Info!$E$2:$F$11,2,0),IF(K247="FGP",VLOOKUP(F247,[1]Info!$E$9:$F$10,2,0),IF(K247="F10",VLOOKUP(F247,[1]Info!$E$2:$F$3,2,0),VLOOKUP(K247,[1]Info!$A$1:$B$21,2,0))))))</f>
        <v>Feller</v>
      </c>
    </row>
    <row r="248" spans="1:24" x14ac:dyDescent="0.35">
      <c r="A248" t="s">
        <v>41</v>
      </c>
      <c r="B248" t="s">
        <v>54</v>
      </c>
      <c r="C248" t="s">
        <v>55</v>
      </c>
      <c r="D248" t="s">
        <v>94</v>
      </c>
      <c r="E248" t="s">
        <v>52</v>
      </c>
      <c r="F248">
        <v>7098510</v>
      </c>
      <c r="G248" t="s">
        <v>61</v>
      </c>
      <c r="H248" t="s">
        <v>43</v>
      </c>
      <c r="I248" t="s">
        <v>44</v>
      </c>
      <c r="J248" t="s">
        <v>50</v>
      </c>
      <c r="K248" t="s">
        <v>11</v>
      </c>
      <c r="L248" t="s">
        <v>62</v>
      </c>
      <c r="M248" t="s">
        <v>659</v>
      </c>
      <c r="N248" t="s">
        <v>660</v>
      </c>
      <c r="O248" t="s">
        <v>63</v>
      </c>
      <c r="P248" t="s">
        <v>383</v>
      </c>
      <c r="Q248" t="s">
        <v>110</v>
      </c>
      <c r="R248" t="s">
        <v>111</v>
      </c>
      <c r="S248" t="s">
        <v>46</v>
      </c>
      <c r="T248" t="s">
        <v>46</v>
      </c>
      <c r="U248" s="4">
        <v>338.99</v>
      </c>
      <c r="V248" t="str">
        <f t="shared" si="3"/>
        <v>FF15</v>
      </c>
      <c r="W248" t="str">
        <f>VLOOKUP(K248,[1]Info!A$1:B$21,2,0)</f>
        <v>Feller</v>
      </c>
      <c r="X248" t="str">
        <f>IF(M248="109595132","Material de Limpeza-Não Avaliar",IF(AND(K248="F20",M248&lt;&gt;109595132),IF(RIGHT(F248,2)="70","Infraestrutura de Planta","Prédios e Instalações"),IF(K248="FPC",VLOOKUP(F248,[1]Info!$E$2:$F$11,2,0),IF(K248="FGP",VLOOKUP(F248,[1]Info!$E$9:$F$10,2,0),IF(K248="F10",VLOOKUP(F248,[1]Info!$E$2:$F$3,2,0),VLOOKUP(K248,[1]Info!$A$1:$B$21,2,0))))))</f>
        <v>Feller</v>
      </c>
    </row>
    <row r="249" spans="1:24" x14ac:dyDescent="0.35">
      <c r="A249" t="s">
        <v>41</v>
      </c>
      <c r="B249" t="s">
        <v>54</v>
      </c>
      <c r="C249" t="s">
        <v>55</v>
      </c>
      <c r="D249" t="s">
        <v>94</v>
      </c>
      <c r="E249" t="s">
        <v>52</v>
      </c>
      <c r="F249">
        <v>7098510</v>
      </c>
      <c r="G249" t="s">
        <v>61</v>
      </c>
      <c r="H249" t="s">
        <v>43</v>
      </c>
      <c r="I249" t="s">
        <v>44</v>
      </c>
      <c r="J249" t="s">
        <v>50</v>
      </c>
      <c r="K249" t="s">
        <v>11</v>
      </c>
      <c r="L249" t="s">
        <v>62</v>
      </c>
      <c r="M249" t="s">
        <v>659</v>
      </c>
      <c r="N249" t="s">
        <v>660</v>
      </c>
      <c r="O249" t="s">
        <v>63</v>
      </c>
      <c r="P249" t="s">
        <v>383</v>
      </c>
      <c r="Q249" t="s">
        <v>112</v>
      </c>
      <c r="R249" t="s">
        <v>113</v>
      </c>
      <c r="S249" t="s">
        <v>46</v>
      </c>
      <c r="T249" t="s">
        <v>46</v>
      </c>
      <c r="U249" s="4">
        <v>353.78</v>
      </c>
      <c r="V249" t="str">
        <f t="shared" si="3"/>
        <v>FF15</v>
      </c>
      <c r="W249" t="str">
        <f>VLOOKUP(K249,[1]Info!A$1:B$21,2,0)</f>
        <v>Feller</v>
      </c>
      <c r="X249" t="str">
        <f>IF(M249="109595132","Material de Limpeza-Não Avaliar",IF(AND(K249="F20",M249&lt;&gt;109595132),IF(RIGHT(F249,2)="70","Infraestrutura de Planta","Prédios e Instalações"),IF(K249="FPC",VLOOKUP(F249,[1]Info!$E$2:$F$11,2,0),IF(K249="FGP",VLOOKUP(F249,[1]Info!$E$9:$F$10,2,0),IF(K249="F10",VLOOKUP(F249,[1]Info!$E$2:$F$3,2,0),VLOOKUP(K249,[1]Info!$A$1:$B$21,2,0))))))</f>
        <v>Feller</v>
      </c>
    </row>
    <row r="250" spans="1:24" x14ac:dyDescent="0.35">
      <c r="A250" t="s">
        <v>41</v>
      </c>
      <c r="B250" t="s">
        <v>54</v>
      </c>
      <c r="C250" t="s">
        <v>55</v>
      </c>
      <c r="D250" t="s">
        <v>94</v>
      </c>
      <c r="E250" t="s">
        <v>52</v>
      </c>
      <c r="F250">
        <v>7098510</v>
      </c>
      <c r="G250" t="s">
        <v>61</v>
      </c>
      <c r="H250" t="s">
        <v>43</v>
      </c>
      <c r="I250" t="s">
        <v>44</v>
      </c>
      <c r="J250" t="s">
        <v>50</v>
      </c>
      <c r="K250" t="s">
        <v>11</v>
      </c>
      <c r="L250" t="s">
        <v>62</v>
      </c>
      <c r="M250" t="s">
        <v>659</v>
      </c>
      <c r="N250" t="s">
        <v>660</v>
      </c>
      <c r="O250" t="s">
        <v>63</v>
      </c>
      <c r="P250" t="s">
        <v>383</v>
      </c>
      <c r="Q250" t="s">
        <v>114</v>
      </c>
      <c r="R250" t="s">
        <v>115</v>
      </c>
      <c r="S250" t="s">
        <v>46</v>
      </c>
      <c r="T250" t="s">
        <v>46</v>
      </c>
      <c r="U250" s="4">
        <v>165.86</v>
      </c>
      <c r="V250" t="str">
        <f t="shared" si="3"/>
        <v>FF15</v>
      </c>
      <c r="W250" t="str">
        <f>VLOOKUP(K250,[1]Info!A$1:B$21,2,0)</f>
        <v>Feller</v>
      </c>
      <c r="X250" t="str">
        <f>IF(M250="109595132","Material de Limpeza-Não Avaliar",IF(AND(K250="F20",M250&lt;&gt;109595132),IF(RIGHT(F250,2)="70","Infraestrutura de Planta","Prédios e Instalações"),IF(K250="FPC",VLOOKUP(F250,[1]Info!$E$2:$F$11,2,0),IF(K250="FGP",VLOOKUP(F250,[1]Info!$E$9:$F$10,2,0),IF(K250="F10",VLOOKUP(F250,[1]Info!$E$2:$F$3,2,0),VLOOKUP(K250,[1]Info!$A$1:$B$21,2,0))))))</f>
        <v>Feller</v>
      </c>
    </row>
    <row r="251" spans="1:24" x14ac:dyDescent="0.35">
      <c r="A251" t="s">
        <v>41</v>
      </c>
      <c r="B251" t="s">
        <v>54</v>
      </c>
      <c r="C251" t="s">
        <v>55</v>
      </c>
      <c r="D251" t="s">
        <v>94</v>
      </c>
      <c r="E251" t="s">
        <v>52</v>
      </c>
      <c r="F251">
        <v>7098510</v>
      </c>
      <c r="G251" t="s">
        <v>61</v>
      </c>
      <c r="H251" t="s">
        <v>43</v>
      </c>
      <c r="I251" t="s">
        <v>44</v>
      </c>
      <c r="J251" t="s">
        <v>50</v>
      </c>
      <c r="K251" t="s">
        <v>11</v>
      </c>
      <c r="L251" t="s">
        <v>62</v>
      </c>
      <c r="M251" t="s">
        <v>385</v>
      </c>
      <c r="N251" t="s">
        <v>386</v>
      </c>
      <c r="O251" t="s">
        <v>150</v>
      </c>
      <c r="P251" t="s">
        <v>383</v>
      </c>
      <c r="Q251" t="s">
        <v>108</v>
      </c>
      <c r="R251" t="s">
        <v>109</v>
      </c>
      <c r="S251" t="s">
        <v>46</v>
      </c>
      <c r="T251" t="s">
        <v>46</v>
      </c>
      <c r="U251" s="4">
        <v>138.61000000000001</v>
      </c>
      <c r="V251" t="str">
        <f t="shared" si="3"/>
        <v>FF16</v>
      </c>
      <c r="W251" t="str">
        <f>VLOOKUP(K251,[1]Info!A$1:B$21,2,0)</f>
        <v>Feller</v>
      </c>
      <c r="X251" t="str">
        <f>IF(M251="109595132","Material de Limpeza-Não Avaliar",IF(AND(K251="F20",M251&lt;&gt;109595132),IF(RIGHT(F251,2)="70","Infraestrutura de Planta","Prédios e Instalações"),IF(K251="FPC",VLOOKUP(F251,[1]Info!$E$2:$F$11,2,0),IF(K251="FGP",VLOOKUP(F251,[1]Info!$E$9:$F$10,2,0),IF(K251="F10",VLOOKUP(F251,[1]Info!$E$2:$F$3,2,0),VLOOKUP(K251,[1]Info!$A$1:$B$21,2,0))))))</f>
        <v>Feller</v>
      </c>
    </row>
    <row r="252" spans="1:24" x14ac:dyDescent="0.35">
      <c r="A252" t="s">
        <v>41</v>
      </c>
      <c r="B252" t="s">
        <v>54</v>
      </c>
      <c r="C252" t="s">
        <v>55</v>
      </c>
      <c r="D252" t="s">
        <v>94</v>
      </c>
      <c r="E252" t="s">
        <v>52</v>
      </c>
      <c r="F252">
        <v>7098510</v>
      </c>
      <c r="G252" t="s">
        <v>61</v>
      </c>
      <c r="H252" t="s">
        <v>43</v>
      </c>
      <c r="I252" t="s">
        <v>44</v>
      </c>
      <c r="J252" t="s">
        <v>50</v>
      </c>
      <c r="K252" t="s">
        <v>11</v>
      </c>
      <c r="L252" t="s">
        <v>62</v>
      </c>
      <c r="M252" t="s">
        <v>385</v>
      </c>
      <c r="N252" t="s">
        <v>386</v>
      </c>
      <c r="O252" t="s">
        <v>150</v>
      </c>
      <c r="P252" t="s">
        <v>383</v>
      </c>
      <c r="Q252" t="s">
        <v>110</v>
      </c>
      <c r="R252" t="s">
        <v>111</v>
      </c>
      <c r="S252" t="s">
        <v>46</v>
      </c>
      <c r="T252" t="s">
        <v>46</v>
      </c>
      <c r="U252" s="4">
        <v>338.99</v>
      </c>
      <c r="V252" t="str">
        <f t="shared" si="3"/>
        <v>FF16</v>
      </c>
      <c r="W252" t="str">
        <f>VLOOKUP(K252,[1]Info!A$1:B$21,2,0)</f>
        <v>Feller</v>
      </c>
      <c r="X252" t="str">
        <f>IF(M252="109595132","Material de Limpeza-Não Avaliar",IF(AND(K252="F20",M252&lt;&gt;109595132),IF(RIGHT(F252,2)="70","Infraestrutura de Planta","Prédios e Instalações"),IF(K252="FPC",VLOOKUP(F252,[1]Info!$E$2:$F$11,2,0),IF(K252="FGP",VLOOKUP(F252,[1]Info!$E$9:$F$10,2,0),IF(K252="F10",VLOOKUP(F252,[1]Info!$E$2:$F$3,2,0),VLOOKUP(K252,[1]Info!$A$1:$B$21,2,0))))))</f>
        <v>Feller</v>
      </c>
    </row>
    <row r="253" spans="1:24" x14ac:dyDescent="0.35">
      <c r="A253" t="s">
        <v>41</v>
      </c>
      <c r="B253" t="s">
        <v>54</v>
      </c>
      <c r="C253" t="s">
        <v>55</v>
      </c>
      <c r="D253" t="s">
        <v>94</v>
      </c>
      <c r="E253" t="s">
        <v>52</v>
      </c>
      <c r="F253">
        <v>7098510</v>
      </c>
      <c r="G253" t="s">
        <v>61</v>
      </c>
      <c r="H253" t="s">
        <v>43</v>
      </c>
      <c r="I253" t="s">
        <v>44</v>
      </c>
      <c r="J253" t="s">
        <v>50</v>
      </c>
      <c r="K253" t="s">
        <v>11</v>
      </c>
      <c r="L253" t="s">
        <v>62</v>
      </c>
      <c r="M253" t="s">
        <v>385</v>
      </c>
      <c r="N253" t="s">
        <v>386</v>
      </c>
      <c r="O253" t="s">
        <v>150</v>
      </c>
      <c r="P253" t="s">
        <v>383</v>
      </c>
      <c r="Q253" t="s">
        <v>112</v>
      </c>
      <c r="R253" t="s">
        <v>113</v>
      </c>
      <c r="S253" t="s">
        <v>46</v>
      </c>
      <c r="T253" t="s">
        <v>46</v>
      </c>
      <c r="U253" s="4">
        <v>353.78</v>
      </c>
      <c r="V253" t="str">
        <f t="shared" si="3"/>
        <v>FF16</v>
      </c>
      <c r="W253" t="str">
        <f>VLOOKUP(K253,[1]Info!A$1:B$21,2,0)</f>
        <v>Feller</v>
      </c>
      <c r="X253" t="str">
        <f>IF(M253="109595132","Material de Limpeza-Não Avaliar",IF(AND(K253="F20",M253&lt;&gt;109595132),IF(RIGHT(F253,2)="70","Infraestrutura de Planta","Prédios e Instalações"),IF(K253="FPC",VLOOKUP(F253,[1]Info!$E$2:$F$11,2,0),IF(K253="FGP",VLOOKUP(F253,[1]Info!$E$9:$F$10,2,0),IF(K253="F10",VLOOKUP(F253,[1]Info!$E$2:$F$3,2,0),VLOOKUP(K253,[1]Info!$A$1:$B$21,2,0))))))</f>
        <v>Feller</v>
      </c>
    </row>
    <row r="254" spans="1:24" x14ac:dyDescent="0.35">
      <c r="A254" t="s">
        <v>41</v>
      </c>
      <c r="B254" t="s">
        <v>54</v>
      </c>
      <c r="C254" t="s">
        <v>55</v>
      </c>
      <c r="D254" t="s">
        <v>94</v>
      </c>
      <c r="E254" t="s">
        <v>52</v>
      </c>
      <c r="F254">
        <v>7098510</v>
      </c>
      <c r="G254" t="s">
        <v>61</v>
      </c>
      <c r="H254" t="s">
        <v>43</v>
      </c>
      <c r="I254" t="s">
        <v>44</v>
      </c>
      <c r="J254" t="s">
        <v>50</v>
      </c>
      <c r="K254" t="s">
        <v>11</v>
      </c>
      <c r="L254" t="s">
        <v>62</v>
      </c>
      <c r="M254" t="s">
        <v>385</v>
      </c>
      <c r="N254" t="s">
        <v>386</v>
      </c>
      <c r="O254" t="s">
        <v>150</v>
      </c>
      <c r="P254" t="s">
        <v>383</v>
      </c>
      <c r="Q254" t="s">
        <v>136</v>
      </c>
      <c r="R254" t="s">
        <v>137</v>
      </c>
      <c r="S254" t="s">
        <v>46</v>
      </c>
      <c r="T254" t="s">
        <v>46</v>
      </c>
      <c r="U254" s="4">
        <v>234.51</v>
      </c>
      <c r="V254" t="str">
        <f t="shared" si="3"/>
        <v>FF16</v>
      </c>
      <c r="W254" t="str">
        <f>VLOOKUP(K254,[1]Info!A$1:B$21,2,0)</f>
        <v>Feller</v>
      </c>
      <c r="X254" t="str">
        <f>IF(M254="109595132","Material de Limpeza-Não Avaliar",IF(AND(K254="F20",M254&lt;&gt;109595132),IF(RIGHT(F254,2)="70","Infraestrutura de Planta","Prédios e Instalações"),IF(K254="FPC",VLOOKUP(F254,[1]Info!$E$2:$F$11,2,0),IF(K254="FGP",VLOOKUP(F254,[1]Info!$E$9:$F$10,2,0),IF(K254="F10",VLOOKUP(F254,[1]Info!$E$2:$F$3,2,0),VLOOKUP(K254,[1]Info!$A$1:$B$21,2,0))))))</f>
        <v>Feller</v>
      </c>
    </row>
    <row r="255" spans="1:24" x14ac:dyDescent="0.35">
      <c r="A255" t="s">
        <v>41</v>
      </c>
      <c r="B255" t="s">
        <v>54</v>
      </c>
      <c r="C255" t="s">
        <v>55</v>
      </c>
      <c r="D255" t="s">
        <v>94</v>
      </c>
      <c r="E255" t="s">
        <v>52</v>
      </c>
      <c r="F255">
        <v>7098510</v>
      </c>
      <c r="G255" t="s">
        <v>61</v>
      </c>
      <c r="H255" t="s">
        <v>43</v>
      </c>
      <c r="I255" t="s">
        <v>44</v>
      </c>
      <c r="J255" t="s">
        <v>50</v>
      </c>
      <c r="K255" t="s">
        <v>11</v>
      </c>
      <c r="L255" t="s">
        <v>62</v>
      </c>
      <c r="M255" t="s">
        <v>385</v>
      </c>
      <c r="N255" t="s">
        <v>386</v>
      </c>
      <c r="O255" t="s">
        <v>150</v>
      </c>
      <c r="P255" t="s">
        <v>383</v>
      </c>
      <c r="Q255" t="s">
        <v>114</v>
      </c>
      <c r="R255" t="s">
        <v>115</v>
      </c>
      <c r="S255" t="s">
        <v>46</v>
      </c>
      <c r="T255" t="s">
        <v>46</v>
      </c>
      <c r="U255" s="4">
        <v>165.86</v>
      </c>
      <c r="V255" t="str">
        <f t="shared" si="3"/>
        <v>FF16</v>
      </c>
      <c r="W255" t="str">
        <f>VLOOKUP(K255,[1]Info!A$1:B$21,2,0)</f>
        <v>Feller</v>
      </c>
      <c r="X255" t="str">
        <f>IF(M255="109595132","Material de Limpeza-Não Avaliar",IF(AND(K255="F20",M255&lt;&gt;109595132),IF(RIGHT(F255,2)="70","Infraestrutura de Planta","Prédios e Instalações"),IF(K255="FPC",VLOOKUP(F255,[1]Info!$E$2:$F$11,2,0),IF(K255="FGP",VLOOKUP(F255,[1]Info!$E$9:$F$10,2,0),IF(K255="F10",VLOOKUP(F255,[1]Info!$E$2:$F$3,2,0),VLOOKUP(K255,[1]Info!$A$1:$B$21,2,0))))))</f>
        <v>Feller</v>
      </c>
    </row>
    <row r="256" spans="1:24" x14ac:dyDescent="0.35">
      <c r="A256" t="s">
        <v>41</v>
      </c>
      <c r="B256" t="s">
        <v>54</v>
      </c>
      <c r="C256" t="s">
        <v>55</v>
      </c>
      <c r="D256" t="s">
        <v>94</v>
      </c>
      <c r="E256" t="s">
        <v>52</v>
      </c>
      <c r="F256">
        <v>7098510</v>
      </c>
      <c r="G256" t="s">
        <v>61</v>
      </c>
      <c r="H256" t="s">
        <v>43</v>
      </c>
      <c r="I256" t="s">
        <v>44</v>
      </c>
      <c r="J256" t="s">
        <v>50</v>
      </c>
      <c r="K256" t="s">
        <v>11</v>
      </c>
      <c r="L256" t="s">
        <v>51</v>
      </c>
      <c r="M256" t="s">
        <v>1429</v>
      </c>
      <c r="N256" t="s">
        <v>1430</v>
      </c>
      <c r="O256" t="s">
        <v>488</v>
      </c>
      <c r="P256" t="s">
        <v>1292</v>
      </c>
      <c r="Q256" t="s">
        <v>46</v>
      </c>
      <c r="R256" t="s">
        <v>47</v>
      </c>
      <c r="S256" t="s">
        <v>46</v>
      </c>
      <c r="T256" t="s">
        <v>46</v>
      </c>
      <c r="U256" s="4">
        <v>23503.51</v>
      </c>
      <c r="V256" t="str">
        <f t="shared" si="3"/>
        <v>FF13</v>
      </c>
      <c r="W256" t="str">
        <f>VLOOKUP(K256,[1]Info!A$1:B$21,2,0)</f>
        <v>Feller</v>
      </c>
      <c r="X256" t="str">
        <f>IF(M256="109595132","Material de Limpeza-Não Avaliar",IF(AND(K256="F20",M256&lt;&gt;109595132),IF(RIGHT(F256,2)="70","Infraestrutura de Planta","Prédios e Instalações"),IF(K256="FPC",VLOOKUP(F256,[1]Info!$E$2:$F$11,2,0),IF(K256="FGP",VLOOKUP(F256,[1]Info!$E$9:$F$10,2,0),IF(K256="F10",VLOOKUP(F256,[1]Info!$E$2:$F$3,2,0),VLOOKUP(K256,[1]Info!$A$1:$B$21,2,0))))))</f>
        <v>Feller</v>
      </c>
    </row>
    <row r="257" spans="1:24" x14ac:dyDescent="0.35">
      <c r="A257" t="s">
        <v>41</v>
      </c>
      <c r="B257" t="s">
        <v>54</v>
      </c>
      <c r="C257" t="s">
        <v>55</v>
      </c>
      <c r="D257" t="s">
        <v>94</v>
      </c>
      <c r="E257" t="s">
        <v>52</v>
      </c>
      <c r="F257">
        <v>7098510</v>
      </c>
      <c r="G257" t="s">
        <v>61</v>
      </c>
      <c r="H257" t="s">
        <v>43</v>
      </c>
      <c r="I257" t="s">
        <v>44</v>
      </c>
      <c r="J257" t="s">
        <v>50</v>
      </c>
      <c r="K257" t="s">
        <v>11</v>
      </c>
      <c r="L257" t="s">
        <v>51</v>
      </c>
      <c r="M257" t="s">
        <v>1431</v>
      </c>
      <c r="N257" t="s">
        <v>1432</v>
      </c>
      <c r="O257" t="s">
        <v>149</v>
      </c>
      <c r="P257" t="s">
        <v>1292</v>
      </c>
      <c r="Q257" t="s">
        <v>46</v>
      </c>
      <c r="R257" t="s">
        <v>47</v>
      </c>
      <c r="S257" t="s">
        <v>46</v>
      </c>
      <c r="T257" t="s">
        <v>46</v>
      </c>
      <c r="U257" s="4">
        <v>20502.490000000002</v>
      </c>
      <c r="V257" t="str">
        <f t="shared" si="3"/>
        <v>FF12</v>
      </c>
      <c r="W257" t="str">
        <f>VLOOKUP(K257,[1]Info!A$1:B$21,2,0)</f>
        <v>Feller</v>
      </c>
      <c r="X257" t="str">
        <f>IF(M257="109595132","Material de Limpeza-Não Avaliar",IF(AND(K257="F20",M257&lt;&gt;109595132),IF(RIGHT(F257,2)="70","Infraestrutura de Planta","Prédios e Instalações"),IF(K257="FPC",VLOOKUP(F257,[1]Info!$E$2:$F$11,2,0),IF(K257="FGP",VLOOKUP(F257,[1]Info!$E$9:$F$10,2,0),IF(K257="F10",VLOOKUP(F257,[1]Info!$E$2:$F$3,2,0),VLOOKUP(K257,[1]Info!$A$1:$B$21,2,0))))))</f>
        <v>Feller</v>
      </c>
    </row>
    <row r="258" spans="1:24" x14ac:dyDescent="0.35">
      <c r="A258" t="s">
        <v>41</v>
      </c>
      <c r="B258" t="s">
        <v>54</v>
      </c>
      <c r="C258" t="s">
        <v>55</v>
      </c>
      <c r="D258" t="s">
        <v>94</v>
      </c>
      <c r="E258" t="s">
        <v>52</v>
      </c>
      <c r="F258">
        <v>7098510</v>
      </c>
      <c r="G258" t="s">
        <v>61</v>
      </c>
      <c r="H258" t="s">
        <v>43</v>
      </c>
      <c r="I258" t="s">
        <v>44</v>
      </c>
      <c r="J258" t="s">
        <v>50</v>
      </c>
      <c r="K258" t="s">
        <v>11</v>
      </c>
      <c r="L258" t="s">
        <v>51</v>
      </c>
      <c r="M258" t="s">
        <v>1433</v>
      </c>
      <c r="N258" t="s">
        <v>1434</v>
      </c>
      <c r="O258" t="s">
        <v>140</v>
      </c>
      <c r="P258" t="s">
        <v>1292</v>
      </c>
      <c r="Q258" t="s">
        <v>46</v>
      </c>
      <c r="R258" t="s">
        <v>47</v>
      </c>
      <c r="S258" t="s">
        <v>46</v>
      </c>
      <c r="T258" t="s">
        <v>46</v>
      </c>
      <c r="U258" s="4">
        <v>6125.37</v>
      </c>
      <c r="V258" t="str">
        <f t="shared" si="3"/>
        <v>FF14</v>
      </c>
      <c r="W258" t="str">
        <f>VLOOKUP(K258,[1]Info!A$1:B$21,2,0)</f>
        <v>Feller</v>
      </c>
      <c r="X258" t="str">
        <f>IF(M258="109595132","Material de Limpeza-Não Avaliar",IF(AND(K258="F20",M258&lt;&gt;109595132),IF(RIGHT(F258,2)="70","Infraestrutura de Planta","Prédios e Instalações"),IF(K258="FPC",VLOOKUP(F258,[1]Info!$E$2:$F$11,2,0),IF(K258="FGP",VLOOKUP(F258,[1]Info!$E$9:$F$10,2,0),IF(K258="F10",VLOOKUP(F258,[1]Info!$E$2:$F$3,2,0),VLOOKUP(K258,[1]Info!$A$1:$B$21,2,0))))))</f>
        <v>Feller</v>
      </c>
    </row>
    <row r="259" spans="1:24" x14ac:dyDescent="0.35">
      <c r="A259" t="s">
        <v>41</v>
      </c>
      <c r="B259" t="s">
        <v>54</v>
      </c>
      <c r="C259" t="s">
        <v>55</v>
      </c>
      <c r="D259" t="s">
        <v>94</v>
      </c>
      <c r="E259" t="s">
        <v>52</v>
      </c>
      <c r="F259">
        <v>7098510</v>
      </c>
      <c r="G259" t="s">
        <v>61</v>
      </c>
      <c r="H259" t="s">
        <v>43</v>
      </c>
      <c r="I259" t="s">
        <v>44</v>
      </c>
      <c r="J259" t="s">
        <v>50</v>
      </c>
      <c r="K259" t="s">
        <v>11</v>
      </c>
      <c r="L259" t="s">
        <v>51</v>
      </c>
      <c r="M259" t="s">
        <v>486</v>
      </c>
      <c r="N259" t="s">
        <v>487</v>
      </c>
      <c r="O259" t="s">
        <v>488</v>
      </c>
      <c r="P259" t="s">
        <v>383</v>
      </c>
      <c r="Q259" t="s">
        <v>661</v>
      </c>
      <c r="R259" t="s">
        <v>662</v>
      </c>
      <c r="S259" t="s">
        <v>46</v>
      </c>
      <c r="T259" t="s">
        <v>46</v>
      </c>
      <c r="U259" s="4">
        <v>29.09</v>
      </c>
      <c r="V259" t="str">
        <f t="shared" si="3"/>
        <v>FF13</v>
      </c>
      <c r="W259" t="str">
        <f>VLOOKUP(K259,[1]Info!A$1:B$21,2,0)</f>
        <v>Feller</v>
      </c>
      <c r="X259" t="str">
        <f>IF(M259="109595132","Material de Limpeza-Não Avaliar",IF(AND(K259="F20",M259&lt;&gt;109595132),IF(RIGHT(F259,2)="70","Infraestrutura de Planta","Prédios e Instalações"),IF(K259="FPC",VLOOKUP(F259,[1]Info!$E$2:$F$11,2,0),IF(K259="FGP",VLOOKUP(F259,[1]Info!$E$9:$F$10,2,0),IF(K259="F10",VLOOKUP(F259,[1]Info!$E$2:$F$3,2,0),VLOOKUP(K259,[1]Info!$A$1:$B$21,2,0))))))</f>
        <v>Feller</v>
      </c>
    </row>
    <row r="260" spans="1:24" x14ac:dyDescent="0.35">
      <c r="A260" t="s">
        <v>41</v>
      </c>
      <c r="B260" t="s">
        <v>54</v>
      </c>
      <c r="C260" t="s">
        <v>55</v>
      </c>
      <c r="D260" t="s">
        <v>94</v>
      </c>
      <c r="E260" t="s">
        <v>52</v>
      </c>
      <c r="F260">
        <v>7098510</v>
      </c>
      <c r="G260" t="s">
        <v>61</v>
      </c>
      <c r="H260" t="s">
        <v>43</v>
      </c>
      <c r="I260" t="s">
        <v>44</v>
      </c>
      <c r="J260" t="s">
        <v>50</v>
      </c>
      <c r="K260" t="s">
        <v>11</v>
      </c>
      <c r="L260" t="s">
        <v>51</v>
      </c>
      <c r="M260" t="s">
        <v>486</v>
      </c>
      <c r="N260" t="s">
        <v>487</v>
      </c>
      <c r="O260" t="s">
        <v>488</v>
      </c>
      <c r="P260" t="s">
        <v>1292</v>
      </c>
      <c r="Q260" t="s">
        <v>46</v>
      </c>
      <c r="R260" t="s">
        <v>47</v>
      </c>
      <c r="S260" t="s">
        <v>46</v>
      </c>
      <c r="T260" t="s">
        <v>46</v>
      </c>
      <c r="U260" s="4">
        <v>49779.83</v>
      </c>
      <c r="V260" t="str">
        <f t="shared" ref="V260:V323" si="4">RIGHT(O260,4)</f>
        <v>FF13</v>
      </c>
      <c r="W260" t="str">
        <f>VLOOKUP(K260,[1]Info!A$1:B$21,2,0)</f>
        <v>Feller</v>
      </c>
      <c r="X260" t="str">
        <f>IF(M260="109595132","Material de Limpeza-Não Avaliar",IF(AND(K260="F20",M260&lt;&gt;109595132),IF(RIGHT(F260,2)="70","Infraestrutura de Planta","Prédios e Instalações"),IF(K260="FPC",VLOOKUP(F260,[1]Info!$E$2:$F$11,2,0),IF(K260="FGP",VLOOKUP(F260,[1]Info!$E$9:$F$10,2,0),IF(K260="F10",VLOOKUP(F260,[1]Info!$E$2:$F$3,2,0),VLOOKUP(K260,[1]Info!$A$1:$B$21,2,0))))))</f>
        <v>Feller</v>
      </c>
    </row>
    <row r="261" spans="1:24" x14ac:dyDescent="0.35">
      <c r="A261" t="s">
        <v>41</v>
      </c>
      <c r="B261" t="s">
        <v>54</v>
      </c>
      <c r="C261" t="s">
        <v>55</v>
      </c>
      <c r="D261" t="s">
        <v>94</v>
      </c>
      <c r="E261" t="s">
        <v>52</v>
      </c>
      <c r="F261">
        <v>7098510</v>
      </c>
      <c r="G261" t="s">
        <v>61</v>
      </c>
      <c r="H261" t="s">
        <v>43</v>
      </c>
      <c r="I261" t="s">
        <v>44</v>
      </c>
      <c r="J261" t="s">
        <v>50</v>
      </c>
      <c r="K261" t="s">
        <v>11</v>
      </c>
      <c r="L261" t="s">
        <v>51</v>
      </c>
      <c r="M261" t="s">
        <v>261</v>
      </c>
      <c r="N261" t="s">
        <v>262</v>
      </c>
      <c r="O261" t="s">
        <v>149</v>
      </c>
      <c r="P261" t="s">
        <v>1292</v>
      </c>
      <c r="Q261" t="s">
        <v>46</v>
      </c>
      <c r="R261" t="s">
        <v>47</v>
      </c>
      <c r="S261" t="s">
        <v>46</v>
      </c>
      <c r="T261" t="s">
        <v>46</v>
      </c>
      <c r="U261" s="4">
        <v>1804.04</v>
      </c>
      <c r="V261" t="str">
        <f t="shared" si="4"/>
        <v>FF12</v>
      </c>
      <c r="W261" t="str">
        <f>VLOOKUP(K261,[1]Info!A$1:B$21,2,0)</f>
        <v>Feller</v>
      </c>
      <c r="X261" t="str">
        <f>IF(M261="109595132","Material de Limpeza-Não Avaliar",IF(AND(K261="F20",M261&lt;&gt;109595132),IF(RIGHT(F261,2)="70","Infraestrutura de Planta","Prédios e Instalações"),IF(K261="FPC",VLOOKUP(F261,[1]Info!$E$2:$F$11,2,0),IF(K261="FGP",VLOOKUP(F261,[1]Info!$E$9:$F$10,2,0),IF(K261="F10",VLOOKUP(F261,[1]Info!$E$2:$F$3,2,0),VLOOKUP(K261,[1]Info!$A$1:$B$21,2,0))))))</f>
        <v>Feller</v>
      </c>
    </row>
    <row r="262" spans="1:24" x14ac:dyDescent="0.35">
      <c r="A262" t="s">
        <v>41</v>
      </c>
      <c r="B262" t="s">
        <v>54</v>
      </c>
      <c r="C262" t="s">
        <v>55</v>
      </c>
      <c r="D262" t="s">
        <v>94</v>
      </c>
      <c r="E262" t="s">
        <v>52</v>
      </c>
      <c r="F262">
        <v>7098510</v>
      </c>
      <c r="G262" t="s">
        <v>61</v>
      </c>
      <c r="H262" t="s">
        <v>43</v>
      </c>
      <c r="I262" t="s">
        <v>44</v>
      </c>
      <c r="J262" t="s">
        <v>50</v>
      </c>
      <c r="K262" t="s">
        <v>11</v>
      </c>
      <c r="L262" t="s">
        <v>51</v>
      </c>
      <c r="M262" t="s">
        <v>663</v>
      </c>
      <c r="N262" t="s">
        <v>664</v>
      </c>
      <c r="O262" t="s">
        <v>140</v>
      </c>
      <c r="P262" t="s">
        <v>383</v>
      </c>
      <c r="Q262" t="s">
        <v>665</v>
      </c>
      <c r="R262" t="s">
        <v>666</v>
      </c>
      <c r="S262" t="s">
        <v>46</v>
      </c>
      <c r="T262" t="s">
        <v>46</v>
      </c>
      <c r="U262" s="4">
        <v>1009.87</v>
      </c>
      <c r="V262" t="str">
        <f t="shared" si="4"/>
        <v>FF14</v>
      </c>
      <c r="W262" t="str">
        <f>VLOOKUP(K262,[1]Info!A$1:B$21,2,0)</f>
        <v>Feller</v>
      </c>
      <c r="X262" t="str">
        <f>IF(M262="109595132","Material de Limpeza-Não Avaliar",IF(AND(K262="F20",M262&lt;&gt;109595132),IF(RIGHT(F262,2)="70","Infraestrutura de Planta","Prédios e Instalações"),IF(K262="FPC",VLOOKUP(F262,[1]Info!$E$2:$F$11,2,0),IF(K262="FGP",VLOOKUP(F262,[1]Info!$E$9:$F$10,2,0),IF(K262="F10",VLOOKUP(F262,[1]Info!$E$2:$F$3,2,0),VLOOKUP(K262,[1]Info!$A$1:$B$21,2,0))))))</f>
        <v>Feller</v>
      </c>
    </row>
    <row r="263" spans="1:24" x14ac:dyDescent="0.35">
      <c r="A263" t="s">
        <v>41</v>
      </c>
      <c r="B263" t="s">
        <v>54</v>
      </c>
      <c r="C263" t="s">
        <v>55</v>
      </c>
      <c r="D263" t="s">
        <v>94</v>
      </c>
      <c r="E263" t="s">
        <v>52</v>
      </c>
      <c r="F263">
        <v>7098510</v>
      </c>
      <c r="G263" t="s">
        <v>61</v>
      </c>
      <c r="H263" t="s">
        <v>43</v>
      </c>
      <c r="I263" t="s">
        <v>44</v>
      </c>
      <c r="J263" t="s">
        <v>50</v>
      </c>
      <c r="K263" t="s">
        <v>11</v>
      </c>
      <c r="L263" t="s">
        <v>51</v>
      </c>
      <c r="M263" t="s">
        <v>1435</v>
      </c>
      <c r="N263" t="s">
        <v>1436</v>
      </c>
      <c r="O263" t="s">
        <v>149</v>
      </c>
      <c r="P263" t="s">
        <v>1292</v>
      </c>
      <c r="Q263" t="s">
        <v>46</v>
      </c>
      <c r="R263" t="s">
        <v>47</v>
      </c>
      <c r="S263" t="s">
        <v>46</v>
      </c>
      <c r="T263" t="s">
        <v>46</v>
      </c>
      <c r="U263" s="4">
        <v>5238.58</v>
      </c>
      <c r="V263" t="str">
        <f t="shared" si="4"/>
        <v>FF12</v>
      </c>
      <c r="W263" t="str">
        <f>VLOOKUP(K263,[1]Info!A$1:B$21,2,0)</f>
        <v>Feller</v>
      </c>
      <c r="X263" t="str">
        <f>IF(M263="109595132","Material de Limpeza-Não Avaliar",IF(AND(K263="F20",M263&lt;&gt;109595132),IF(RIGHT(F263,2)="70","Infraestrutura de Planta","Prédios e Instalações"),IF(K263="FPC",VLOOKUP(F263,[1]Info!$E$2:$F$11,2,0),IF(K263="FGP",VLOOKUP(F263,[1]Info!$E$9:$F$10,2,0),IF(K263="F10",VLOOKUP(F263,[1]Info!$E$2:$F$3,2,0),VLOOKUP(K263,[1]Info!$A$1:$B$21,2,0))))))</f>
        <v>Feller</v>
      </c>
    </row>
    <row r="264" spans="1:24" x14ac:dyDescent="0.35">
      <c r="A264" t="s">
        <v>41</v>
      </c>
      <c r="B264" t="s">
        <v>54</v>
      </c>
      <c r="C264" t="s">
        <v>55</v>
      </c>
      <c r="D264" t="s">
        <v>94</v>
      </c>
      <c r="E264" t="s">
        <v>52</v>
      </c>
      <c r="F264">
        <v>7098510</v>
      </c>
      <c r="G264" t="s">
        <v>61</v>
      </c>
      <c r="H264" t="s">
        <v>43</v>
      </c>
      <c r="I264" t="s">
        <v>44</v>
      </c>
      <c r="J264" t="s">
        <v>50</v>
      </c>
      <c r="K264" t="s">
        <v>11</v>
      </c>
      <c r="L264" t="s">
        <v>51</v>
      </c>
      <c r="M264" t="s">
        <v>667</v>
      </c>
      <c r="N264" t="s">
        <v>668</v>
      </c>
      <c r="O264" t="s">
        <v>149</v>
      </c>
      <c r="P264" t="s">
        <v>383</v>
      </c>
      <c r="Q264" t="s">
        <v>669</v>
      </c>
      <c r="R264" t="s">
        <v>670</v>
      </c>
      <c r="S264" t="s">
        <v>46</v>
      </c>
      <c r="T264" t="s">
        <v>46</v>
      </c>
      <c r="U264" s="4">
        <v>269.60000000000002</v>
      </c>
      <c r="V264" t="str">
        <f t="shared" si="4"/>
        <v>FF12</v>
      </c>
      <c r="W264" t="str">
        <f>VLOOKUP(K264,[1]Info!A$1:B$21,2,0)</f>
        <v>Feller</v>
      </c>
      <c r="X264" t="str">
        <f>IF(M264="109595132","Material de Limpeza-Não Avaliar",IF(AND(K264="F20",M264&lt;&gt;109595132),IF(RIGHT(F264,2)="70","Infraestrutura de Planta","Prédios e Instalações"),IF(K264="FPC",VLOOKUP(F264,[1]Info!$E$2:$F$11,2,0),IF(K264="FGP",VLOOKUP(F264,[1]Info!$E$9:$F$10,2,0),IF(K264="F10",VLOOKUP(F264,[1]Info!$E$2:$F$3,2,0),VLOOKUP(K264,[1]Info!$A$1:$B$21,2,0))))))</f>
        <v>Feller</v>
      </c>
    </row>
    <row r="265" spans="1:24" x14ac:dyDescent="0.35">
      <c r="A265" t="s">
        <v>41</v>
      </c>
      <c r="B265" t="s">
        <v>54</v>
      </c>
      <c r="C265" t="s">
        <v>55</v>
      </c>
      <c r="D265" t="s">
        <v>94</v>
      </c>
      <c r="E265" t="s">
        <v>52</v>
      </c>
      <c r="F265">
        <v>7098510</v>
      </c>
      <c r="G265" t="s">
        <v>61</v>
      </c>
      <c r="H265" t="s">
        <v>43</v>
      </c>
      <c r="I265" t="s">
        <v>44</v>
      </c>
      <c r="J265" t="s">
        <v>50</v>
      </c>
      <c r="K265" t="s">
        <v>11</v>
      </c>
      <c r="L265" t="s">
        <v>51</v>
      </c>
      <c r="M265" t="s">
        <v>263</v>
      </c>
      <c r="N265" t="s">
        <v>264</v>
      </c>
      <c r="O265" t="s">
        <v>150</v>
      </c>
      <c r="P265" t="s">
        <v>383</v>
      </c>
      <c r="Q265" t="s">
        <v>671</v>
      </c>
      <c r="R265" t="s">
        <v>672</v>
      </c>
      <c r="S265" t="s">
        <v>46</v>
      </c>
      <c r="T265" t="s">
        <v>46</v>
      </c>
      <c r="U265" s="4">
        <v>14476.93</v>
      </c>
      <c r="V265" t="str">
        <f t="shared" si="4"/>
        <v>FF16</v>
      </c>
      <c r="W265" t="str">
        <f>VLOOKUP(K265,[1]Info!A$1:B$21,2,0)</f>
        <v>Feller</v>
      </c>
      <c r="X265" t="str">
        <f>IF(M265="109595132","Material de Limpeza-Não Avaliar",IF(AND(K265="F20",M265&lt;&gt;109595132),IF(RIGHT(F265,2)="70","Infraestrutura de Planta","Prédios e Instalações"),IF(K265="FPC",VLOOKUP(F265,[1]Info!$E$2:$F$11,2,0),IF(K265="FGP",VLOOKUP(F265,[1]Info!$E$9:$F$10,2,0),IF(K265="F10",VLOOKUP(F265,[1]Info!$E$2:$F$3,2,0),VLOOKUP(K265,[1]Info!$A$1:$B$21,2,0))))))</f>
        <v>Feller</v>
      </c>
    </row>
    <row r="266" spans="1:24" x14ac:dyDescent="0.35">
      <c r="A266" t="s">
        <v>41</v>
      </c>
      <c r="B266" t="s">
        <v>54</v>
      </c>
      <c r="C266" t="s">
        <v>55</v>
      </c>
      <c r="D266" t="s">
        <v>94</v>
      </c>
      <c r="E266" t="s">
        <v>52</v>
      </c>
      <c r="F266">
        <v>7098510</v>
      </c>
      <c r="G266" t="s">
        <v>61</v>
      </c>
      <c r="H266" t="s">
        <v>43</v>
      </c>
      <c r="I266" t="s">
        <v>44</v>
      </c>
      <c r="J266" t="s">
        <v>50</v>
      </c>
      <c r="K266" t="s">
        <v>11</v>
      </c>
      <c r="L266" t="s">
        <v>51</v>
      </c>
      <c r="M266" t="s">
        <v>1437</v>
      </c>
      <c r="N266" t="s">
        <v>1438</v>
      </c>
      <c r="O266" t="s">
        <v>675</v>
      </c>
      <c r="P266" t="s">
        <v>1292</v>
      </c>
      <c r="Q266" t="s">
        <v>46</v>
      </c>
      <c r="R266" t="s">
        <v>47</v>
      </c>
      <c r="S266" t="s">
        <v>46</v>
      </c>
      <c r="T266" t="s">
        <v>46</v>
      </c>
      <c r="U266" s="4">
        <v>2224.71</v>
      </c>
      <c r="V266" t="str">
        <f t="shared" si="4"/>
        <v>0030</v>
      </c>
      <c r="W266" t="str">
        <f>VLOOKUP(K266,[1]Info!A$1:B$21,2,0)</f>
        <v>Feller</v>
      </c>
      <c r="X266" t="str">
        <f>IF(M266="109595132","Material de Limpeza-Não Avaliar",IF(AND(K266="F20",M266&lt;&gt;109595132),IF(RIGHT(F266,2)="70","Infraestrutura de Planta","Prédios e Instalações"),IF(K266="FPC",VLOOKUP(F266,[1]Info!$E$2:$F$11,2,0),IF(K266="FGP",VLOOKUP(F266,[1]Info!$E$9:$F$10,2,0),IF(K266="F10",VLOOKUP(F266,[1]Info!$E$2:$F$3,2,0),VLOOKUP(K266,[1]Info!$A$1:$B$21,2,0))))))</f>
        <v>Feller</v>
      </c>
    </row>
    <row r="267" spans="1:24" x14ac:dyDescent="0.35">
      <c r="A267" t="s">
        <v>41</v>
      </c>
      <c r="B267" t="s">
        <v>54</v>
      </c>
      <c r="C267" t="s">
        <v>55</v>
      </c>
      <c r="D267" t="s">
        <v>94</v>
      </c>
      <c r="E267" t="s">
        <v>52</v>
      </c>
      <c r="F267">
        <v>7098510</v>
      </c>
      <c r="G267" t="s">
        <v>61</v>
      </c>
      <c r="H267" t="s">
        <v>43</v>
      </c>
      <c r="I267" t="s">
        <v>44</v>
      </c>
      <c r="J267" t="s">
        <v>50</v>
      </c>
      <c r="K267" t="s">
        <v>11</v>
      </c>
      <c r="L267" t="s">
        <v>51</v>
      </c>
      <c r="M267" t="s">
        <v>673</v>
      </c>
      <c r="N267" t="s">
        <v>674</v>
      </c>
      <c r="O267" t="s">
        <v>675</v>
      </c>
      <c r="P267" t="s">
        <v>383</v>
      </c>
      <c r="Q267" t="s">
        <v>669</v>
      </c>
      <c r="R267" t="s">
        <v>670</v>
      </c>
      <c r="S267" t="s">
        <v>46</v>
      </c>
      <c r="T267" t="s">
        <v>46</v>
      </c>
      <c r="U267" s="4">
        <v>179.73</v>
      </c>
      <c r="V267" t="str">
        <f t="shared" si="4"/>
        <v>0030</v>
      </c>
      <c r="W267" t="str">
        <f>VLOOKUP(K267,[1]Info!A$1:B$21,2,0)</f>
        <v>Feller</v>
      </c>
      <c r="X267" t="str">
        <f>IF(M267="109595132","Material de Limpeza-Não Avaliar",IF(AND(K267="F20",M267&lt;&gt;109595132),IF(RIGHT(F267,2)="70","Infraestrutura de Planta","Prédios e Instalações"),IF(K267="FPC",VLOOKUP(F267,[1]Info!$E$2:$F$11,2,0),IF(K267="FGP",VLOOKUP(F267,[1]Info!$E$9:$F$10,2,0),IF(K267="F10",VLOOKUP(F267,[1]Info!$E$2:$F$3,2,0),VLOOKUP(K267,[1]Info!$A$1:$B$21,2,0))))))</f>
        <v>Feller</v>
      </c>
    </row>
    <row r="268" spans="1:24" x14ac:dyDescent="0.35">
      <c r="A268" t="s">
        <v>41</v>
      </c>
      <c r="B268" t="s">
        <v>54</v>
      </c>
      <c r="C268" t="s">
        <v>55</v>
      </c>
      <c r="D268" t="s">
        <v>100</v>
      </c>
      <c r="E268" t="s">
        <v>65</v>
      </c>
      <c r="F268">
        <v>7098530</v>
      </c>
      <c r="G268" t="s">
        <v>57</v>
      </c>
      <c r="H268" t="s">
        <v>43</v>
      </c>
      <c r="I268" t="s">
        <v>44</v>
      </c>
      <c r="J268" t="s">
        <v>50</v>
      </c>
      <c r="K268" t="s">
        <v>15</v>
      </c>
      <c r="L268" t="s">
        <v>51</v>
      </c>
      <c r="M268" t="s">
        <v>1439</v>
      </c>
      <c r="N268" t="s">
        <v>1440</v>
      </c>
      <c r="O268" t="s">
        <v>251</v>
      </c>
      <c r="P268" t="s">
        <v>1292</v>
      </c>
      <c r="Q268" t="s">
        <v>46</v>
      </c>
      <c r="R268" t="s">
        <v>47</v>
      </c>
      <c r="S268" t="s">
        <v>46</v>
      </c>
      <c r="T268" t="s">
        <v>46</v>
      </c>
      <c r="U268" s="4">
        <v>40557.050000000003</v>
      </c>
      <c r="V268" t="str">
        <f t="shared" si="4"/>
        <v>SK13</v>
      </c>
      <c r="W268" t="str">
        <f>VLOOKUP(K268,[1]Info!A$1:B$21,2,0)</f>
        <v>Skidder</v>
      </c>
      <c r="X268" t="str">
        <f>IF(M268="109595132","Material de Limpeza-Não Avaliar",IF(AND(K268="F20",M268&lt;&gt;109595132),IF(RIGHT(F268,2)="70","Infraestrutura de Planta","Prédios e Instalações"),IF(K268="FPC",VLOOKUP(F268,[1]Info!$E$2:$F$11,2,0),IF(K268="FGP",VLOOKUP(F268,[1]Info!$E$9:$F$10,2,0),IF(K268="F10",VLOOKUP(F268,[1]Info!$E$2:$F$3,2,0),VLOOKUP(K268,[1]Info!$A$1:$B$21,2,0))))))</f>
        <v>Skidder</v>
      </c>
    </row>
    <row r="269" spans="1:24" x14ac:dyDescent="0.35">
      <c r="A269" t="s">
        <v>41</v>
      </c>
      <c r="B269" t="s">
        <v>54</v>
      </c>
      <c r="C269" t="s">
        <v>55</v>
      </c>
      <c r="D269" t="s">
        <v>100</v>
      </c>
      <c r="E269" t="s">
        <v>65</v>
      </c>
      <c r="F269">
        <v>7098530</v>
      </c>
      <c r="G269" t="s">
        <v>57</v>
      </c>
      <c r="H269" t="s">
        <v>43</v>
      </c>
      <c r="I269" t="s">
        <v>44</v>
      </c>
      <c r="J269" t="s">
        <v>50</v>
      </c>
      <c r="K269" t="s">
        <v>15</v>
      </c>
      <c r="L269" t="s">
        <v>51</v>
      </c>
      <c r="M269" t="s">
        <v>1441</v>
      </c>
      <c r="N269" t="s">
        <v>1442</v>
      </c>
      <c r="O269" t="s">
        <v>99</v>
      </c>
      <c r="P269" t="s">
        <v>1292</v>
      </c>
      <c r="Q269" t="s">
        <v>46</v>
      </c>
      <c r="R269" t="s">
        <v>47</v>
      </c>
      <c r="S269" t="s">
        <v>46</v>
      </c>
      <c r="T269" t="s">
        <v>46</v>
      </c>
      <c r="U269" s="4">
        <v>40557.050000000003</v>
      </c>
      <c r="V269" t="str">
        <f t="shared" si="4"/>
        <v>SK14</v>
      </c>
      <c r="W269" t="str">
        <f>VLOOKUP(K269,[1]Info!A$1:B$21,2,0)</f>
        <v>Skidder</v>
      </c>
      <c r="X269" t="str">
        <f>IF(M269="109595132","Material de Limpeza-Não Avaliar",IF(AND(K269="F20",M269&lt;&gt;109595132),IF(RIGHT(F269,2)="70","Infraestrutura de Planta","Prédios e Instalações"),IF(K269="FPC",VLOOKUP(F269,[1]Info!$E$2:$F$11,2,0),IF(K269="FGP",VLOOKUP(F269,[1]Info!$E$9:$F$10,2,0),IF(K269="F10",VLOOKUP(F269,[1]Info!$E$2:$F$3,2,0),VLOOKUP(K269,[1]Info!$A$1:$B$21,2,0))))))</f>
        <v>Skidder</v>
      </c>
    </row>
    <row r="270" spans="1:24" x14ac:dyDescent="0.35">
      <c r="A270" t="s">
        <v>41</v>
      </c>
      <c r="B270" t="s">
        <v>54</v>
      </c>
      <c r="C270" t="s">
        <v>55</v>
      </c>
      <c r="D270" t="s">
        <v>100</v>
      </c>
      <c r="E270" t="s">
        <v>65</v>
      </c>
      <c r="F270">
        <v>7098530</v>
      </c>
      <c r="G270" t="s">
        <v>57</v>
      </c>
      <c r="H270" t="s">
        <v>43</v>
      </c>
      <c r="I270" t="s">
        <v>44</v>
      </c>
      <c r="J270" t="s">
        <v>50</v>
      </c>
      <c r="K270" t="s">
        <v>15</v>
      </c>
      <c r="L270" t="s">
        <v>51</v>
      </c>
      <c r="M270" t="s">
        <v>1443</v>
      </c>
      <c r="N270" t="s">
        <v>1444</v>
      </c>
      <c r="O270" t="s">
        <v>165</v>
      </c>
      <c r="P270" t="s">
        <v>1292</v>
      </c>
      <c r="Q270" t="s">
        <v>46</v>
      </c>
      <c r="R270" t="s">
        <v>47</v>
      </c>
      <c r="S270" t="s">
        <v>46</v>
      </c>
      <c r="T270" t="s">
        <v>46</v>
      </c>
      <c r="U270" s="4">
        <v>24686.9</v>
      </c>
      <c r="V270" t="str">
        <f t="shared" si="4"/>
        <v>SK15</v>
      </c>
      <c r="W270" t="str">
        <f>VLOOKUP(K270,[1]Info!A$1:B$21,2,0)</f>
        <v>Skidder</v>
      </c>
      <c r="X270" t="str">
        <f>IF(M270="109595132","Material de Limpeza-Não Avaliar",IF(AND(K270="F20",M270&lt;&gt;109595132),IF(RIGHT(F270,2)="70","Infraestrutura de Planta","Prédios e Instalações"),IF(K270="FPC",VLOOKUP(F270,[1]Info!$E$2:$F$11,2,0),IF(K270="FGP",VLOOKUP(F270,[1]Info!$E$9:$F$10,2,0),IF(K270="F10",VLOOKUP(F270,[1]Info!$E$2:$F$3,2,0),VLOOKUP(K270,[1]Info!$A$1:$B$21,2,0))))))</f>
        <v>Skidder</v>
      </c>
    </row>
    <row r="271" spans="1:24" x14ac:dyDescent="0.35">
      <c r="A271" t="s">
        <v>41</v>
      </c>
      <c r="B271" t="s">
        <v>54</v>
      </c>
      <c r="C271" t="s">
        <v>55</v>
      </c>
      <c r="D271" t="s">
        <v>100</v>
      </c>
      <c r="E271" t="s">
        <v>65</v>
      </c>
      <c r="F271">
        <v>7098530</v>
      </c>
      <c r="G271" t="s">
        <v>57</v>
      </c>
      <c r="H271" t="s">
        <v>43</v>
      </c>
      <c r="I271" t="s">
        <v>44</v>
      </c>
      <c r="J271" t="s">
        <v>50</v>
      </c>
      <c r="K271" t="s">
        <v>15</v>
      </c>
      <c r="L271" t="s">
        <v>51</v>
      </c>
      <c r="M271" t="s">
        <v>1445</v>
      </c>
      <c r="N271" t="s">
        <v>1446</v>
      </c>
      <c r="O271" t="s">
        <v>141</v>
      </c>
      <c r="P271" t="s">
        <v>1292</v>
      </c>
      <c r="Q271" t="s">
        <v>46</v>
      </c>
      <c r="R271" t="s">
        <v>47</v>
      </c>
      <c r="S271" t="s">
        <v>46</v>
      </c>
      <c r="T271" t="s">
        <v>46</v>
      </c>
      <c r="U271" s="4">
        <v>19396.849999999999</v>
      </c>
      <c r="V271" t="str">
        <f t="shared" si="4"/>
        <v>SK16</v>
      </c>
      <c r="W271" t="str">
        <f>VLOOKUP(K271,[1]Info!A$1:B$21,2,0)</f>
        <v>Skidder</v>
      </c>
      <c r="X271" t="str">
        <f>IF(M271="109595132","Material de Limpeza-Não Avaliar",IF(AND(K271="F20",M271&lt;&gt;109595132),IF(RIGHT(F271,2)="70","Infraestrutura de Planta","Prédios e Instalações"),IF(K271="FPC",VLOOKUP(F271,[1]Info!$E$2:$F$11,2,0),IF(K271="FGP",VLOOKUP(F271,[1]Info!$E$9:$F$10,2,0),IF(K271="F10",VLOOKUP(F271,[1]Info!$E$2:$F$3,2,0),VLOOKUP(K271,[1]Info!$A$1:$B$21,2,0))))))</f>
        <v>Skidder</v>
      </c>
    </row>
    <row r="272" spans="1:24" x14ac:dyDescent="0.35">
      <c r="A272" t="s">
        <v>41</v>
      </c>
      <c r="B272" t="s">
        <v>54</v>
      </c>
      <c r="C272" t="s">
        <v>55</v>
      </c>
      <c r="D272" t="s">
        <v>100</v>
      </c>
      <c r="E272" t="s">
        <v>65</v>
      </c>
      <c r="F272">
        <v>7098530</v>
      </c>
      <c r="G272" t="s">
        <v>57</v>
      </c>
      <c r="H272" t="s">
        <v>43</v>
      </c>
      <c r="I272" t="s">
        <v>44</v>
      </c>
      <c r="J272" t="s">
        <v>50</v>
      </c>
      <c r="K272" t="s">
        <v>15</v>
      </c>
      <c r="L272" t="s">
        <v>51</v>
      </c>
      <c r="M272" t="s">
        <v>1447</v>
      </c>
      <c r="N272" t="s">
        <v>1448</v>
      </c>
      <c r="O272" t="s">
        <v>165</v>
      </c>
      <c r="P272" t="s">
        <v>1292</v>
      </c>
      <c r="Q272" t="s">
        <v>46</v>
      </c>
      <c r="R272" t="s">
        <v>47</v>
      </c>
      <c r="S272" t="s">
        <v>46</v>
      </c>
      <c r="T272" t="s">
        <v>46</v>
      </c>
      <c r="U272" s="4">
        <v>348.82</v>
      </c>
      <c r="V272" t="str">
        <f t="shared" si="4"/>
        <v>SK15</v>
      </c>
      <c r="W272" t="str">
        <f>VLOOKUP(K272,[1]Info!A$1:B$21,2,0)</f>
        <v>Skidder</v>
      </c>
      <c r="X272" t="str">
        <f>IF(M272="109595132","Material de Limpeza-Não Avaliar",IF(AND(K272="F20",M272&lt;&gt;109595132),IF(RIGHT(F272,2)="70","Infraestrutura de Planta","Prédios e Instalações"),IF(K272="FPC",VLOOKUP(F272,[1]Info!$E$2:$F$11,2,0),IF(K272="FGP",VLOOKUP(F272,[1]Info!$E$9:$F$10,2,0),IF(K272="F10",VLOOKUP(F272,[1]Info!$E$2:$F$3,2,0),VLOOKUP(K272,[1]Info!$A$1:$B$21,2,0))))))</f>
        <v>Skidder</v>
      </c>
    </row>
    <row r="273" spans="1:24" x14ac:dyDescent="0.35">
      <c r="A273" t="s">
        <v>41</v>
      </c>
      <c r="B273" t="s">
        <v>54</v>
      </c>
      <c r="C273" t="s">
        <v>55</v>
      </c>
      <c r="D273" t="s">
        <v>100</v>
      </c>
      <c r="E273" t="s">
        <v>65</v>
      </c>
      <c r="F273">
        <v>7098525</v>
      </c>
      <c r="G273" t="s">
        <v>168</v>
      </c>
      <c r="H273" t="s">
        <v>43</v>
      </c>
      <c r="I273" t="s">
        <v>44</v>
      </c>
      <c r="J273" t="s">
        <v>50</v>
      </c>
      <c r="K273" t="s">
        <v>4</v>
      </c>
      <c r="L273" t="s">
        <v>51</v>
      </c>
      <c r="M273" t="s">
        <v>1449</v>
      </c>
      <c r="N273" t="s">
        <v>1450</v>
      </c>
      <c r="O273" t="s">
        <v>173</v>
      </c>
      <c r="P273" t="s">
        <v>1292</v>
      </c>
      <c r="Q273" t="s">
        <v>46</v>
      </c>
      <c r="R273" t="s">
        <v>47</v>
      </c>
      <c r="S273" t="s">
        <v>46</v>
      </c>
      <c r="T273" t="s">
        <v>46</v>
      </c>
      <c r="U273" s="4">
        <v>10580.1</v>
      </c>
      <c r="V273" t="str">
        <f t="shared" si="4"/>
        <v>GP02</v>
      </c>
      <c r="W273" t="str">
        <f>VLOOKUP(K273,[1]Info!A$1:B$21,2,0)</f>
        <v>Garra Picadora</v>
      </c>
      <c r="X273" t="str">
        <f>IF(M273="109595132","Material de Limpeza-Não Avaliar",IF(AND(K273="F20",M273&lt;&gt;109595132),IF(RIGHT(F273,2)="70","Infraestrutura de Planta","Prédios e Instalações"),IF(K273="FPC",VLOOKUP(F273,[1]Info!$E$2:$F$11,2,0),IF(K273="FGP",VLOOKUP(F273,[1]Info!$E$9:$F$10,2,0),IF(K273="F10",VLOOKUP(F273,[1]Info!$E$2:$F$3,2,0),VLOOKUP(K273,[1]Info!$A$1:$B$21,2,0))))))</f>
        <v>Garra Picadora Canabrava</v>
      </c>
    </row>
    <row r="274" spans="1:24" x14ac:dyDescent="0.35">
      <c r="A274" t="s">
        <v>41</v>
      </c>
      <c r="B274" t="s">
        <v>54</v>
      </c>
      <c r="C274" t="s">
        <v>55</v>
      </c>
      <c r="D274" t="s">
        <v>100</v>
      </c>
      <c r="E274" t="s">
        <v>65</v>
      </c>
      <c r="F274">
        <v>7098525</v>
      </c>
      <c r="G274" t="s">
        <v>168</v>
      </c>
      <c r="H274" t="s">
        <v>43</v>
      </c>
      <c r="I274" t="s">
        <v>44</v>
      </c>
      <c r="J274" t="s">
        <v>50</v>
      </c>
      <c r="K274" t="s">
        <v>4</v>
      </c>
      <c r="L274" t="s">
        <v>51</v>
      </c>
      <c r="M274" t="s">
        <v>1451</v>
      </c>
      <c r="N274" t="s">
        <v>545</v>
      </c>
      <c r="O274" t="s">
        <v>546</v>
      </c>
      <c r="P274" t="s">
        <v>1292</v>
      </c>
      <c r="Q274" t="s">
        <v>46</v>
      </c>
      <c r="R274" t="s">
        <v>47</v>
      </c>
      <c r="S274" t="s">
        <v>46</v>
      </c>
      <c r="T274" t="s">
        <v>46</v>
      </c>
      <c r="U274" s="4">
        <v>783.72</v>
      </c>
      <c r="V274" t="str">
        <f t="shared" si="4"/>
        <v>GP01</v>
      </c>
      <c r="W274" t="str">
        <f>VLOOKUP(K274,[1]Info!A$1:B$21,2,0)</f>
        <v>Garra Picadora</v>
      </c>
      <c r="X274" t="str">
        <f>IF(M274="109595132","Material de Limpeza-Não Avaliar",IF(AND(K274="F20",M274&lt;&gt;109595132),IF(RIGHT(F274,2)="70","Infraestrutura de Planta","Prédios e Instalações"),IF(K274="FPC",VLOOKUP(F274,[1]Info!$E$2:$F$11,2,0),IF(K274="FGP",VLOOKUP(F274,[1]Info!$E$9:$F$10,2,0),IF(K274="F10",VLOOKUP(F274,[1]Info!$E$2:$F$3,2,0),VLOOKUP(K274,[1]Info!$A$1:$B$21,2,0))))))</f>
        <v>Garra Picadora Canabrava</v>
      </c>
    </row>
    <row r="275" spans="1:24" x14ac:dyDescent="0.35">
      <c r="A275" t="s">
        <v>41</v>
      </c>
      <c r="B275" t="s">
        <v>54</v>
      </c>
      <c r="C275" t="s">
        <v>55</v>
      </c>
      <c r="D275" t="s">
        <v>100</v>
      </c>
      <c r="E275" t="s">
        <v>65</v>
      </c>
      <c r="F275">
        <v>7098520</v>
      </c>
      <c r="G275" t="s">
        <v>58</v>
      </c>
      <c r="H275" t="s">
        <v>43</v>
      </c>
      <c r="I275" t="s">
        <v>44</v>
      </c>
      <c r="J275" t="s">
        <v>50</v>
      </c>
      <c r="K275" t="s">
        <v>12</v>
      </c>
      <c r="L275" t="s">
        <v>51</v>
      </c>
      <c r="M275" t="s">
        <v>1452</v>
      </c>
      <c r="N275" t="s">
        <v>1453</v>
      </c>
      <c r="O275" t="s">
        <v>169</v>
      </c>
      <c r="P275" t="s">
        <v>1292</v>
      </c>
      <c r="Q275" t="s">
        <v>46</v>
      </c>
      <c r="R275" t="s">
        <v>47</v>
      </c>
      <c r="S275" t="s">
        <v>46</v>
      </c>
      <c r="T275" t="s">
        <v>46</v>
      </c>
      <c r="U275" s="4">
        <v>31740.3</v>
      </c>
      <c r="V275" t="str">
        <f t="shared" si="4"/>
        <v>GT14</v>
      </c>
      <c r="W275" t="str">
        <f>VLOOKUP(K275,[1]Info!A$1:B$21,2,0)</f>
        <v>Garra Traçadora</v>
      </c>
      <c r="X275" t="str">
        <f>IF(M275="109595132","Material de Limpeza-Não Avaliar",IF(AND(K275="F20",M275&lt;&gt;109595132),IF(RIGHT(F275,2)="70","Infraestrutura de Planta","Prédios e Instalações"),IF(K275="FPC",VLOOKUP(F275,[1]Info!$E$2:$F$11,2,0),IF(K275="FGP",VLOOKUP(F275,[1]Info!$E$9:$F$10,2,0),IF(K275="F10",VLOOKUP(F275,[1]Info!$E$2:$F$3,2,0),VLOOKUP(K275,[1]Info!$A$1:$B$21,2,0))))))</f>
        <v>Garra Traçadora</v>
      </c>
    </row>
    <row r="276" spans="1:24" x14ac:dyDescent="0.35">
      <c r="A276" t="s">
        <v>41</v>
      </c>
      <c r="B276" t="s">
        <v>54</v>
      </c>
      <c r="C276" t="s">
        <v>55</v>
      </c>
      <c r="D276" t="s">
        <v>100</v>
      </c>
      <c r="E276" t="s">
        <v>65</v>
      </c>
      <c r="F276">
        <v>7098520</v>
      </c>
      <c r="G276" t="s">
        <v>58</v>
      </c>
      <c r="H276" t="s">
        <v>43</v>
      </c>
      <c r="I276" t="s">
        <v>44</v>
      </c>
      <c r="J276" t="s">
        <v>50</v>
      </c>
      <c r="K276" t="s">
        <v>12</v>
      </c>
      <c r="L276" t="s">
        <v>51</v>
      </c>
      <c r="M276" t="s">
        <v>1454</v>
      </c>
      <c r="N276" t="s">
        <v>1455</v>
      </c>
      <c r="O276" t="s">
        <v>209</v>
      </c>
      <c r="P276" t="s">
        <v>1292</v>
      </c>
      <c r="Q276" t="s">
        <v>46</v>
      </c>
      <c r="R276" t="s">
        <v>47</v>
      </c>
      <c r="S276" t="s">
        <v>46</v>
      </c>
      <c r="T276" t="s">
        <v>46</v>
      </c>
      <c r="U276" s="4">
        <v>28213.599999999999</v>
      </c>
      <c r="V276" t="str">
        <f t="shared" si="4"/>
        <v>GT15</v>
      </c>
      <c r="W276" t="str">
        <f>VLOOKUP(K276,[1]Info!A$1:B$21,2,0)</f>
        <v>Garra Traçadora</v>
      </c>
      <c r="X276" t="str">
        <f>IF(M276="109595132","Material de Limpeza-Não Avaliar",IF(AND(K276="F20",M276&lt;&gt;109595132),IF(RIGHT(F276,2)="70","Infraestrutura de Planta","Prédios e Instalações"),IF(K276="FPC",VLOOKUP(F276,[1]Info!$E$2:$F$11,2,0),IF(K276="FGP",VLOOKUP(F276,[1]Info!$E$9:$F$10,2,0),IF(K276="F10",VLOOKUP(F276,[1]Info!$E$2:$F$3,2,0),VLOOKUP(K276,[1]Info!$A$1:$B$21,2,0))))))</f>
        <v>Garra Traçadora</v>
      </c>
    </row>
    <row r="277" spans="1:24" x14ac:dyDescent="0.35">
      <c r="A277" t="s">
        <v>41</v>
      </c>
      <c r="B277" t="s">
        <v>54</v>
      </c>
      <c r="C277" t="s">
        <v>55</v>
      </c>
      <c r="D277" t="s">
        <v>100</v>
      </c>
      <c r="E277" t="s">
        <v>65</v>
      </c>
      <c r="F277">
        <v>7098520</v>
      </c>
      <c r="G277" t="s">
        <v>58</v>
      </c>
      <c r="H277" t="s">
        <v>43</v>
      </c>
      <c r="I277" t="s">
        <v>44</v>
      </c>
      <c r="J277" t="s">
        <v>50</v>
      </c>
      <c r="K277" t="s">
        <v>12</v>
      </c>
      <c r="L277" t="s">
        <v>51</v>
      </c>
      <c r="M277" t="s">
        <v>1456</v>
      </c>
      <c r="N277" t="s">
        <v>1457</v>
      </c>
      <c r="O277" t="s">
        <v>85</v>
      </c>
      <c r="P277" t="s">
        <v>1292</v>
      </c>
      <c r="Q277" t="s">
        <v>46</v>
      </c>
      <c r="R277" t="s">
        <v>47</v>
      </c>
      <c r="S277" t="s">
        <v>46</v>
      </c>
      <c r="T277" t="s">
        <v>46</v>
      </c>
      <c r="U277" s="4">
        <v>29976.95</v>
      </c>
      <c r="V277" t="str">
        <f t="shared" si="4"/>
        <v>GT16</v>
      </c>
      <c r="W277" t="str">
        <f>VLOOKUP(K277,[1]Info!A$1:B$21,2,0)</f>
        <v>Garra Traçadora</v>
      </c>
      <c r="X277" t="str">
        <f>IF(M277="109595132","Material de Limpeza-Não Avaliar",IF(AND(K277="F20",M277&lt;&gt;109595132),IF(RIGHT(F277,2)="70","Infraestrutura de Planta","Prédios e Instalações"),IF(K277="FPC",VLOOKUP(F277,[1]Info!$E$2:$F$11,2,0),IF(K277="FGP",VLOOKUP(F277,[1]Info!$E$9:$F$10,2,0),IF(K277="F10",VLOOKUP(F277,[1]Info!$E$2:$F$3,2,0),VLOOKUP(K277,[1]Info!$A$1:$B$21,2,0))))))</f>
        <v>Garra Traçadora</v>
      </c>
    </row>
    <row r="278" spans="1:24" x14ac:dyDescent="0.35">
      <c r="A278" t="s">
        <v>41</v>
      </c>
      <c r="B278" t="s">
        <v>54</v>
      </c>
      <c r="C278" t="s">
        <v>55</v>
      </c>
      <c r="D278" t="s">
        <v>100</v>
      </c>
      <c r="E278" t="s">
        <v>65</v>
      </c>
      <c r="F278">
        <v>7098520</v>
      </c>
      <c r="G278" t="s">
        <v>58</v>
      </c>
      <c r="H278" t="s">
        <v>43</v>
      </c>
      <c r="I278" t="s">
        <v>44</v>
      </c>
      <c r="J278" t="s">
        <v>50</v>
      </c>
      <c r="K278" t="s">
        <v>12</v>
      </c>
      <c r="L278" t="s">
        <v>51</v>
      </c>
      <c r="M278" t="s">
        <v>1458</v>
      </c>
      <c r="N278" t="s">
        <v>1459</v>
      </c>
      <c r="O278" t="s">
        <v>1415</v>
      </c>
      <c r="P278" t="s">
        <v>1292</v>
      </c>
      <c r="Q278" t="s">
        <v>46</v>
      </c>
      <c r="R278" t="s">
        <v>47</v>
      </c>
      <c r="S278" t="s">
        <v>46</v>
      </c>
      <c r="T278" t="s">
        <v>46</v>
      </c>
      <c r="U278" s="4">
        <v>28213.599999999999</v>
      </c>
      <c r="V278" t="str">
        <f t="shared" si="4"/>
        <v>GT17</v>
      </c>
      <c r="W278" t="str">
        <f>VLOOKUP(K278,[1]Info!A$1:B$21,2,0)</f>
        <v>Garra Traçadora</v>
      </c>
      <c r="X278" t="str">
        <f>IF(M278="109595132","Material de Limpeza-Não Avaliar",IF(AND(K278="F20",M278&lt;&gt;109595132),IF(RIGHT(F278,2)="70","Infraestrutura de Planta","Prédios e Instalações"),IF(K278="FPC",VLOOKUP(F278,[1]Info!$E$2:$F$11,2,0),IF(K278="FGP",VLOOKUP(F278,[1]Info!$E$9:$F$10,2,0),IF(K278="F10",VLOOKUP(F278,[1]Info!$E$2:$F$3,2,0),VLOOKUP(K278,[1]Info!$A$1:$B$21,2,0))))))</f>
        <v>Garra Traçadora</v>
      </c>
    </row>
    <row r="279" spans="1:24" x14ac:dyDescent="0.35">
      <c r="A279" t="s">
        <v>41</v>
      </c>
      <c r="B279" t="s">
        <v>54</v>
      </c>
      <c r="C279" t="s">
        <v>55</v>
      </c>
      <c r="D279" t="s">
        <v>100</v>
      </c>
      <c r="E279" t="s">
        <v>65</v>
      </c>
      <c r="F279">
        <v>7098520</v>
      </c>
      <c r="G279" t="s">
        <v>58</v>
      </c>
      <c r="H279" t="s">
        <v>43</v>
      </c>
      <c r="I279" t="s">
        <v>44</v>
      </c>
      <c r="J279" t="s">
        <v>50</v>
      </c>
      <c r="K279" t="s">
        <v>12</v>
      </c>
      <c r="L279" t="s">
        <v>51</v>
      </c>
      <c r="M279" t="s">
        <v>1460</v>
      </c>
      <c r="N279" t="s">
        <v>1461</v>
      </c>
      <c r="O279" t="s">
        <v>60</v>
      </c>
      <c r="P279" t="s">
        <v>1292</v>
      </c>
      <c r="Q279" t="s">
        <v>46</v>
      </c>
      <c r="R279" t="s">
        <v>47</v>
      </c>
      <c r="S279" t="s">
        <v>46</v>
      </c>
      <c r="T279" t="s">
        <v>46</v>
      </c>
      <c r="U279" s="4">
        <v>10580.1</v>
      </c>
      <c r="V279" t="str">
        <f t="shared" si="4"/>
        <v>GT18</v>
      </c>
      <c r="W279" t="str">
        <f>VLOOKUP(K279,[1]Info!A$1:B$21,2,0)</f>
        <v>Garra Traçadora</v>
      </c>
      <c r="X279" t="str">
        <f>IF(M279="109595132","Material de Limpeza-Não Avaliar",IF(AND(K279="F20",M279&lt;&gt;109595132),IF(RIGHT(F279,2)="70","Infraestrutura de Planta","Prédios e Instalações"),IF(K279="FPC",VLOOKUP(F279,[1]Info!$E$2:$F$11,2,0),IF(K279="FGP",VLOOKUP(F279,[1]Info!$E$9:$F$10,2,0),IF(K279="F10",VLOOKUP(F279,[1]Info!$E$2:$F$3,2,0),VLOOKUP(K279,[1]Info!$A$1:$B$21,2,0))))))</f>
        <v>Garra Traçadora</v>
      </c>
    </row>
    <row r="280" spans="1:24" x14ac:dyDescent="0.35">
      <c r="A280" t="s">
        <v>41</v>
      </c>
      <c r="B280" t="s">
        <v>54</v>
      </c>
      <c r="C280" t="s">
        <v>55</v>
      </c>
      <c r="D280" t="s">
        <v>100</v>
      </c>
      <c r="E280" t="s">
        <v>65</v>
      </c>
      <c r="F280">
        <v>7098520</v>
      </c>
      <c r="G280" t="s">
        <v>58</v>
      </c>
      <c r="H280" t="s">
        <v>43</v>
      </c>
      <c r="I280" t="s">
        <v>44</v>
      </c>
      <c r="J280" t="s">
        <v>50</v>
      </c>
      <c r="K280" t="s">
        <v>12</v>
      </c>
      <c r="L280" t="s">
        <v>51</v>
      </c>
      <c r="M280" t="s">
        <v>1416</v>
      </c>
      <c r="N280" t="s">
        <v>1417</v>
      </c>
      <c r="O280" t="s">
        <v>60</v>
      </c>
      <c r="P280" t="s">
        <v>1292</v>
      </c>
      <c r="Q280" t="s">
        <v>46</v>
      </c>
      <c r="R280" t="s">
        <v>47</v>
      </c>
      <c r="S280" t="s">
        <v>46</v>
      </c>
      <c r="T280" t="s">
        <v>46</v>
      </c>
      <c r="U280" s="4">
        <v>2804.49</v>
      </c>
      <c r="V280" t="str">
        <f t="shared" si="4"/>
        <v>GT18</v>
      </c>
      <c r="W280" t="str">
        <f>VLOOKUP(K280,[1]Info!A$1:B$21,2,0)</f>
        <v>Garra Traçadora</v>
      </c>
      <c r="X280" t="str">
        <f>IF(M280="109595132","Material de Limpeza-Não Avaliar",IF(AND(K280="F20",M280&lt;&gt;109595132),IF(RIGHT(F280,2)="70","Infraestrutura de Planta","Prédios e Instalações"),IF(K280="FPC",VLOOKUP(F280,[1]Info!$E$2:$F$11,2,0),IF(K280="FGP",VLOOKUP(F280,[1]Info!$E$9:$F$10,2,0),IF(K280="F10",VLOOKUP(F280,[1]Info!$E$2:$F$3,2,0),VLOOKUP(K280,[1]Info!$A$1:$B$21,2,0))))))</f>
        <v>Garra Traçadora</v>
      </c>
    </row>
    <row r="281" spans="1:24" x14ac:dyDescent="0.35">
      <c r="A281" t="s">
        <v>41</v>
      </c>
      <c r="B281" t="s">
        <v>54</v>
      </c>
      <c r="C281" t="s">
        <v>55</v>
      </c>
      <c r="D281" t="s">
        <v>100</v>
      </c>
      <c r="E281" t="s">
        <v>65</v>
      </c>
      <c r="F281">
        <v>7098510</v>
      </c>
      <c r="G281" t="s">
        <v>61</v>
      </c>
      <c r="H281" t="s">
        <v>43</v>
      </c>
      <c r="I281" t="s">
        <v>44</v>
      </c>
      <c r="J281" t="s">
        <v>50</v>
      </c>
      <c r="K281" t="s">
        <v>11</v>
      </c>
      <c r="L281" t="s">
        <v>51</v>
      </c>
      <c r="M281" t="s">
        <v>1462</v>
      </c>
      <c r="N281" t="s">
        <v>1463</v>
      </c>
      <c r="O281" t="s">
        <v>149</v>
      </c>
      <c r="P281" t="s">
        <v>1292</v>
      </c>
      <c r="Q281" t="s">
        <v>46</v>
      </c>
      <c r="R281" t="s">
        <v>47</v>
      </c>
      <c r="S281" t="s">
        <v>46</v>
      </c>
      <c r="T281" t="s">
        <v>46</v>
      </c>
      <c r="U281" s="4">
        <v>29976.95</v>
      </c>
      <c r="V281" t="str">
        <f t="shared" si="4"/>
        <v>FF12</v>
      </c>
      <c r="W281" t="str">
        <f>VLOOKUP(K281,[1]Info!A$1:B$21,2,0)</f>
        <v>Feller</v>
      </c>
      <c r="X281" t="str">
        <f>IF(M281="109595132","Material de Limpeza-Não Avaliar",IF(AND(K281="F20",M281&lt;&gt;109595132),IF(RIGHT(F281,2)="70","Infraestrutura de Planta","Prédios e Instalações"),IF(K281="FPC",VLOOKUP(F281,[1]Info!$E$2:$F$11,2,0),IF(K281="FGP",VLOOKUP(F281,[1]Info!$E$9:$F$10,2,0),IF(K281="F10",VLOOKUP(F281,[1]Info!$E$2:$F$3,2,0),VLOOKUP(K281,[1]Info!$A$1:$B$21,2,0))))))</f>
        <v>Feller</v>
      </c>
    </row>
    <row r="282" spans="1:24" x14ac:dyDescent="0.35">
      <c r="A282" t="s">
        <v>41</v>
      </c>
      <c r="B282" t="s">
        <v>54</v>
      </c>
      <c r="C282" t="s">
        <v>55</v>
      </c>
      <c r="D282" t="s">
        <v>100</v>
      </c>
      <c r="E282" t="s">
        <v>65</v>
      </c>
      <c r="F282">
        <v>7098510</v>
      </c>
      <c r="G282" t="s">
        <v>61</v>
      </c>
      <c r="H282" t="s">
        <v>43</v>
      </c>
      <c r="I282" t="s">
        <v>44</v>
      </c>
      <c r="J282" t="s">
        <v>50</v>
      </c>
      <c r="K282" t="s">
        <v>11</v>
      </c>
      <c r="L282" t="s">
        <v>51</v>
      </c>
      <c r="M282" t="s">
        <v>1464</v>
      </c>
      <c r="N282" t="s">
        <v>1465</v>
      </c>
      <c r="O282" t="s">
        <v>488</v>
      </c>
      <c r="P282" t="s">
        <v>1292</v>
      </c>
      <c r="Q282" t="s">
        <v>46</v>
      </c>
      <c r="R282" t="s">
        <v>47</v>
      </c>
      <c r="S282" t="s">
        <v>46</v>
      </c>
      <c r="T282" t="s">
        <v>46</v>
      </c>
      <c r="U282" s="4">
        <v>29976.95</v>
      </c>
      <c r="V282" t="str">
        <f t="shared" si="4"/>
        <v>FF13</v>
      </c>
      <c r="W282" t="str">
        <f>VLOOKUP(K282,[1]Info!A$1:B$21,2,0)</f>
        <v>Feller</v>
      </c>
      <c r="X282" t="str">
        <f>IF(M282="109595132","Material de Limpeza-Não Avaliar",IF(AND(K282="F20",M282&lt;&gt;109595132),IF(RIGHT(F282,2)="70","Infraestrutura de Planta","Prédios e Instalações"),IF(K282="FPC",VLOOKUP(F282,[1]Info!$E$2:$F$11,2,0),IF(K282="FGP",VLOOKUP(F282,[1]Info!$E$9:$F$10,2,0),IF(K282="F10",VLOOKUP(F282,[1]Info!$E$2:$F$3,2,0),VLOOKUP(K282,[1]Info!$A$1:$B$21,2,0))))))</f>
        <v>Feller</v>
      </c>
    </row>
    <row r="283" spans="1:24" x14ac:dyDescent="0.35">
      <c r="A283" t="s">
        <v>41</v>
      </c>
      <c r="B283" t="s">
        <v>54</v>
      </c>
      <c r="C283" t="s">
        <v>55</v>
      </c>
      <c r="D283" t="s">
        <v>100</v>
      </c>
      <c r="E283" t="s">
        <v>65</v>
      </c>
      <c r="F283">
        <v>7098510</v>
      </c>
      <c r="G283" t="s">
        <v>61</v>
      </c>
      <c r="H283" t="s">
        <v>43</v>
      </c>
      <c r="I283" t="s">
        <v>44</v>
      </c>
      <c r="J283" t="s">
        <v>50</v>
      </c>
      <c r="K283" t="s">
        <v>11</v>
      </c>
      <c r="L283" t="s">
        <v>51</v>
      </c>
      <c r="M283" t="s">
        <v>1466</v>
      </c>
      <c r="N283" t="s">
        <v>1467</v>
      </c>
      <c r="O283" t="s">
        <v>140</v>
      </c>
      <c r="P283" t="s">
        <v>1292</v>
      </c>
      <c r="Q283" t="s">
        <v>46</v>
      </c>
      <c r="R283" t="s">
        <v>47</v>
      </c>
      <c r="S283" t="s">
        <v>46</v>
      </c>
      <c r="T283" t="s">
        <v>46</v>
      </c>
      <c r="U283" s="4">
        <v>45847.1</v>
      </c>
      <c r="V283" t="str">
        <f t="shared" si="4"/>
        <v>FF14</v>
      </c>
      <c r="W283" t="str">
        <f>VLOOKUP(K283,[1]Info!A$1:B$21,2,0)</f>
        <v>Feller</v>
      </c>
      <c r="X283" t="str">
        <f>IF(M283="109595132","Material de Limpeza-Não Avaliar",IF(AND(K283="F20",M283&lt;&gt;109595132),IF(RIGHT(F283,2)="70","Infraestrutura de Planta","Prédios e Instalações"),IF(K283="FPC",VLOOKUP(F283,[1]Info!$E$2:$F$11,2,0),IF(K283="FGP",VLOOKUP(F283,[1]Info!$E$9:$F$10,2,0),IF(K283="F10",VLOOKUP(F283,[1]Info!$E$2:$F$3,2,0),VLOOKUP(K283,[1]Info!$A$1:$B$21,2,0))))))</f>
        <v>Feller</v>
      </c>
    </row>
    <row r="284" spans="1:24" x14ac:dyDescent="0.35">
      <c r="A284" t="s">
        <v>41</v>
      </c>
      <c r="B284" t="s">
        <v>54</v>
      </c>
      <c r="C284" t="s">
        <v>55</v>
      </c>
      <c r="D284" t="s">
        <v>100</v>
      </c>
      <c r="E284" t="s">
        <v>65</v>
      </c>
      <c r="F284">
        <v>7098510</v>
      </c>
      <c r="G284" t="s">
        <v>61</v>
      </c>
      <c r="H284" t="s">
        <v>43</v>
      </c>
      <c r="I284" t="s">
        <v>44</v>
      </c>
      <c r="J284" t="s">
        <v>50</v>
      </c>
      <c r="K284" t="s">
        <v>11</v>
      </c>
      <c r="L284" t="s">
        <v>51</v>
      </c>
      <c r="M284" t="s">
        <v>1468</v>
      </c>
      <c r="N284" t="s">
        <v>1469</v>
      </c>
      <c r="O284" t="s">
        <v>63</v>
      </c>
      <c r="P284" t="s">
        <v>1292</v>
      </c>
      <c r="Q284" t="s">
        <v>46</v>
      </c>
      <c r="R284" t="s">
        <v>47</v>
      </c>
      <c r="S284" t="s">
        <v>46</v>
      </c>
      <c r="T284" t="s">
        <v>46</v>
      </c>
      <c r="U284" s="4">
        <v>26450.25</v>
      </c>
      <c r="V284" t="str">
        <f t="shared" si="4"/>
        <v>FF15</v>
      </c>
      <c r="W284" t="str">
        <f>VLOOKUP(K284,[1]Info!A$1:B$21,2,0)</f>
        <v>Feller</v>
      </c>
      <c r="X284" t="str">
        <f>IF(M284="109595132","Material de Limpeza-Não Avaliar",IF(AND(K284="F20",M284&lt;&gt;109595132),IF(RIGHT(F284,2)="70","Infraestrutura de Planta","Prédios e Instalações"),IF(K284="FPC",VLOOKUP(F284,[1]Info!$E$2:$F$11,2,0),IF(K284="FGP",VLOOKUP(F284,[1]Info!$E$9:$F$10,2,0),IF(K284="F10",VLOOKUP(F284,[1]Info!$E$2:$F$3,2,0),VLOOKUP(K284,[1]Info!$A$1:$B$21,2,0))))))</f>
        <v>Feller</v>
      </c>
    </row>
    <row r="285" spans="1:24" x14ac:dyDescent="0.35">
      <c r="A285" t="s">
        <v>41</v>
      </c>
      <c r="B285" t="s">
        <v>54</v>
      </c>
      <c r="C285" t="s">
        <v>55</v>
      </c>
      <c r="D285" t="s">
        <v>100</v>
      </c>
      <c r="E285" t="s">
        <v>65</v>
      </c>
      <c r="F285">
        <v>7098510</v>
      </c>
      <c r="G285" t="s">
        <v>61</v>
      </c>
      <c r="H285" t="s">
        <v>43</v>
      </c>
      <c r="I285" t="s">
        <v>44</v>
      </c>
      <c r="J285" t="s">
        <v>50</v>
      </c>
      <c r="K285" t="s">
        <v>11</v>
      </c>
      <c r="L285" t="s">
        <v>51</v>
      </c>
      <c r="M285" t="s">
        <v>1470</v>
      </c>
      <c r="N285" t="s">
        <v>1471</v>
      </c>
      <c r="O285" t="s">
        <v>63</v>
      </c>
      <c r="P285" t="s">
        <v>1292</v>
      </c>
      <c r="Q285" t="s">
        <v>46</v>
      </c>
      <c r="R285" t="s">
        <v>47</v>
      </c>
      <c r="S285" t="s">
        <v>46</v>
      </c>
      <c r="T285" t="s">
        <v>46</v>
      </c>
      <c r="U285" s="4">
        <v>4604.3900000000003</v>
      </c>
      <c r="V285" t="str">
        <f t="shared" si="4"/>
        <v>FF15</v>
      </c>
      <c r="W285" t="str">
        <f>VLOOKUP(K285,[1]Info!A$1:B$21,2,0)</f>
        <v>Feller</v>
      </c>
      <c r="X285" t="str">
        <f>IF(M285="109595132","Material de Limpeza-Não Avaliar",IF(AND(K285="F20",M285&lt;&gt;109595132),IF(RIGHT(F285,2)="70","Infraestrutura de Planta","Prédios e Instalações"),IF(K285="FPC",VLOOKUP(F285,[1]Info!$E$2:$F$11,2,0),IF(K285="FGP",VLOOKUP(F285,[1]Info!$E$9:$F$10,2,0),IF(K285="F10",VLOOKUP(F285,[1]Info!$E$2:$F$3,2,0),VLOOKUP(K285,[1]Info!$A$1:$B$21,2,0))))))</f>
        <v>Feller</v>
      </c>
    </row>
    <row r="286" spans="1:24" x14ac:dyDescent="0.35">
      <c r="A286" t="s">
        <v>41</v>
      </c>
      <c r="B286" t="s">
        <v>54</v>
      </c>
      <c r="C286" t="s">
        <v>55</v>
      </c>
      <c r="D286" t="s">
        <v>95</v>
      </c>
      <c r="E286" t="s">
        <v>53</v>
      </c>
      <c r="F286">
        <v>7098530</v>
      </c>
      <c r="G286" t="s">
        <v>57</v>
      </c>
      <c r="H286" t="s">
        <v>43</v>
      </c>
      <c r="I286" t="s">
        <v>44</v>
      </c>
      <c r="J286" t="s">
        <v>50</v>
      </c>
      <c r="K286" t="s">
        <v>15</v>
      </c>
      <c r="L286" t="s">
        <v>62</v>
      </c>
      <c r="M286" t="s">
        <v>676</v>
      </c>
      <c r="N286" t="s">
        <v>677</v>
      </c>
      <c r="O286" t="s">
        <v>99</v>
      </c>
      <c r="P286" t="s">
        <v>383</v>
      </c>
      <c r="Q286" t="s">
        <v>678</v>
      </c>
      <c r="R286" t="s">
        <v>679</v>
      </c>
      <c r="S286" t="s">
        <v>46</v>
      </c>
      <c r="T286" t="s">
        <v>46</v>
      </c>
      <c r="U286" s="4">
        <v>803.4</v>
      </c>
      <c r="V286" t="str">
        <f t="shared" si="4"/>
        <v>SK14</v>
      </c>
      <c r="W286" t="str">
        <f>VLOOKUP(K286,[1]Info!A$1:B$21,2,0)</f>
        <v>Skidder</v>
      </c>
      <c r="X286" t="str">
        <f>IF(M286="109595132","Material de Limpeza-Não Avaliar",IF(AND(K286="F20",M286&lt;&gt;109595132),IF(RIGHT(F286,2)="70","Infraestrutura de Planta","Prédios e Instalações"),IF(K286="FPC",VLOOKUP(F286,[1]Info!$E$2:$F$11,2,0),IF(K286="FGP",VLOOKUP(F286,[1]Info!$E$9:$F$10,2,0),IF(K286="F10",VLOOKUP(F286,[1]Info!$E$2:$F$3,2,0),VLOOKUP(K286,[1]Info!$A$1:$B$21,2,0))))))</f>
        <v>Skidder</v>
      </c>
    </row>
    <row r="287" spans="1:24" x14ac:dyDescent="0.35">
      <c r="A287" t="s">
        <v>41</v>
      </c>
      <c r="B287" t="s">
        <v>54</v>
      </c>
      <c r="C287" t="s">
        <v>55</v>
      </c>
      <c r="D287" t="s">
        <v>95</v>
      </c>
      <c r="E287" t="s">
        <v>53</v>
      </c>
      <c r="F287">
        <v>7098530</v>
      </c>
      <c r="G287" t="s">
        <v>57</v>
      </c>
      <c r="H287" t="s">
        <v>43</v>
      </c>
      <c r="I287" t="s">
        <v>44</v>
      </c>
      <c r="J287" t="s">
        <v>50</v>
      </c>
      <c r="K287" t="s">
        <v>15</v>
      </c>
      <c r="L287" t="s">
        <v>62</v>
      </c>
      <c r="M287" t="s">
        <v>193</v>
      </c>
      <c r="N287" t="s">
        <v>194</v>
      </c>
      <c r="O287" t="s">
        <v>165</v>
      </c>
      <c r="P287" t="s">
        <v>383</v>
      </c>
      <c r="Q287" t="s">
        <v>680</v>
      </c>
      <c r="R287" t="s">
        <v>681</v>
      </c>
      <c r="S287" t="s">
        <v>46</v>
      </c>
      <c r="T287" t="s">
        <v>46</v>
      </c>
      <c r="U287" s="4">
        <v>1638.8</v>
      </c>
      <c r="V287" t="str">
        <f t="shared" si="4"/>
        <v>SK15</v>
      </c>
      <c r="W287" t="str">
        <f>VLOOKUP(K287,[1]Info!A$1:B$21,2,0)</f>
        <v>Skidder</v>
      </c>
      <c r="X287" t="str">
        <f>IF(M287="109595132","Material de Limpeza-Não Avaliar",IF(AND(K287="F20",M287&lt;&gt;109595132),IF(RIGHT(F287,2)="70","Infraestrutura de Planta","Prédios e Instalações"),IF(K287="FPC",VLOOKUP(F287,[1]Info!$E$2:$F$11,2,0),IF(K287="FGP",VLOOKUP(F287,[1]Info!$E$9:$F$10,2,0),IF(K287="F10",VLOOKUP(F287,[1]Info!$E$2:$F$3,2,0),VLOOKUP(K287,[1]Info!$A$1:$B$21,2,0))))))</f>
        <v>Skidder</v>
      </c>
    </row>
    <row r="288" spans="1:24" x14ac:dyDescent="0.35">
      <c r="A288" t="s">
        <v>41</v>
      </c>
      <c r="B288" t="s">
        <v>54</v>
      </c>
      <c r="C288" t="s">
        <v>55</v>
      </c>
      <c r="D288" t="s">
        <v>95</v>
      </c>
      <c r="E288" t="s">
        <v>53</v>
      </c>
      <c r="F288">
        <v>7098530</v>
      </c>
      <c r="G288" t="s">
        <v>57</v>
      </c>
      <c r="H288" t="s">
        <v>43</v>
      </c>
      <c r="I288" t="s">
        <v>44</v>
      </c>
      <c r="J288" t="s">
        <v>50</v>
      </c>
      <c r="K288" t="s">
        <v>15</v>
      </c>
      <c r="L288" t="s">
        <v>62</v>
      </c>
      <c r="M288" t="s">
        <v>195</v>
      </c>
      <c r="N288" t="s">
        <v>196</v>
      </c>
      <c r="O288" t="s">
        <v>141</v>
      </c>
      <c r="P288" t="s">
        <v>383</v>
      </c>
      <c r="Q288" t="s">
        <v>680</v>
      </c>
      <c r="R288" t="s">
        <v>681</v>
      </c>
      <c r="S288" t="s">
        <v>46</v>
      </c>
      <c r="T288" t="s">
        <v>46</v>
      </c>
      <c r="U288" s="4">
        <v>1638.8</v>
      </c>
      <c r="V288" t="str">
        <f t="shared" si="4"/>
        <v>SK16</v>
      </c>
      <c r="W288" t="str">
        <f>VLOOKUP(K288,[1]Info!A$1:B$21,2,0)</f>
        <v>Skidder</v>
      </c>
      <c r="X288" t="str">
        <f>IF(M288="109595132","Material de Limpeza-Não Avaliar",IF(AND(K288="F20",M288&lt;&gt;109595132),IF(RIGHT(F288,2)="70","Infraestrutura de Planta","Prédios e Instalações"),IF(K288="FPC",VLOOKUP(F288,[1]Info!$E$2:$F$11,2,0),IF(K288="FGP",VLOOKUP(F288,[1]Info!$E$9:$F$10,2,0),IF(K288="F10",VLOOKUP(F288,[1]Info!$E$2:$F$3,2,0),VLOOKUP(K288,[1]Info!$A$1:$B$21,2,0))))))</f>
        <v>Skidder</v>
      </c>
    </row>
    <row r="289" spans="1:24" x14ac:dyDescent="0.35">
      <c r="A289" t="s">
        <v>41</v>
      </c>
      <c r="B289" t="s">
        <v>54</v>
      </c>
      <c r="C289" t="s">
        <v>55</v>
      </c>
      <c r="D289" t="s">
        <v>95</v>
      </c>
      <c r="E289" t="s">
        <v>53</v>
      </c>
      <c r="F289">
        <v>7098525</v>
      </c>
      <c r="G289" t="s">
        <v>168</v>
      </c>
      <c r="H289" t="s">
        <v>43</v>
      </c>
      <c r="I289" t="s">
        <v>44</v>
      </c>
      <c r="J289" t="s">
        <v>50</v>
      </c>
      <c r="K289" t="s">
        <v>4</v>
      </c>
      <c r="L289" t="s">
        <v>62</v>
      </c>
      <c r="M289" t="s">
        <v>343</v>
      </c>
      <c r="N289" t="s">
        <v>344</v>
      </c>
      <c r="O289" t="s">
        <v>169</v>
      </c>
      <c r="P289" t="s">
        <v>383</v>
      </c>
      <c r="Q289" t="s">
        <v>102</v>
      </c>
      <c r="R289" t="s">
        <v>103</v>
      </c>
      <c r="S289" t="s">
        <v>46</v>
      </c>
      <c r="T289" t="s">
        <v>46</v>
      </c>
      <c r="U289" s="4">
        <v>16.170000000000002</v>
      </c>
      <c r="V289" t="str">
        <f t="shared" si="4"/>
        <v>GT14</v>
      </c>
      <c r="W289" t="str">
        <f>VLOOKUP(K289,[1]Info!A$1:B$21,2,0)</f>
        <v>Garra Picadora</v>
      </c>
      <c r="X289" t="str">
        <f>IF(M289="109595132","Material de Limpeza-Não Avaliar",IF(AND(K289="F20",M289&lt;&gt;109595132),IF(RIGHT(F289,2)="70","Infraestrutura de Planta","Prédios e Instalações"),IF(K289="FPC",VLOOKUP(F289,[1]Info!$E$2:$F$11,2,0),IF(K289="FGP",VLOOKUP(F289,[1]Info!$E$9:$F$10,2,0),IF(K289="F10",VLOOKUP(F289,[1]Info!$E$2:$F$3,2,0),VLOOKUP(K289,[1]Info!$A$1:$B$21,2,0))))))</f>
        <v>Garra Picadora Canabrava</v>
      </c>
    </row>
    <row r="290" spans="1:24" x14ac:dyDescent="0.35">
      <c r="A290" t="s">
        <v>41</v>
      </c>
      <c r="B290" t="s">
        <v>54</v>
      </c>
      <c r="C290" t="s">
        <v>55</v>
      </c>
      <c r="D290" t="s">
        <v>95</v>
      </c>
      <c r="E290" t="s">
        <v>53</v>
      </c>
      <c r="F290">
        <v>7098525</v>
      </c>
      <c r="G290" t="s">
        <v>168</v>
      </c>
      <c r="H290" t="s">
        <v>43</v>
      </c>
      <c r="I290" t="s">
        <v>44</v>
      </c>
      <c r="J290" t="s">
        <v>50</v>
      </c>
      <c r="K290" t="s">
        <v>4</v>
      </c>
      <c r="L290" t="s">
        <v>62</v>
      </c>
      <c r="M290" t="s">
        <v>343</v>
      </c>
      <c r="N290" t="s">
        <v>344</v>
      </c>
      <c r="O290" t="s">
        <v>169</v>
      </c>
      <c r="P290" t="s">
        <v>383</v>
      </c>
      <c r="Q290" t="s">
        <v>680</v>
      </c>
      <c r="R290" t="s">
        <v>681</v>
      </c>
      <c r="S290" t="s">
        <v>46</v>
      </c>
      <c r="T290" t="s">
        <v>46</v>
      </c>
      <c r="U290" s="4">
        <v>1638.8</v>
      </c>
      <c r="V290" t="str">
        <f t="shared" si="4"/>
        <v>GT14</v>
      </c>
      <c r="W290" t="str">
        <f>VLOOKUP(K290,[1]Info!A$1:B$21,2,0)</f>
        <v>Garra Picadora</v>
      </c>
      <c r="X290" t="str">
        <f>IF(M290="109595132","Material de Limpeza-Não Avaliar",IF(AND(K290="F20",M290&lt;&gt;109595132),IF(RIGHT(F290,2)="70","Infraestrutura de Planta","Prédios e Instalações"),IF(K290="FPC",VLOOKUP(F290,[1]Info!$E$2:$F$11,2,0),IF(K290="FGP",VLOOKUP(F290,[1]Info!$E$9:$F$10,2,0),IF(K290="F10",VLOOKUP(F290,[1]Info!$E$2:$F$3,2,0),VLOOKUP(K290,[1]Info!$A$1:$B$21,2,0))))))</f>
        <v>Garra Picadora Canabrava</v>
      </c>
    </row>
    <row r="291" spans="1:24" x14ac:dyDescent="0.35">
      <c r="A291" t="s">
        <v>41</v>
      </c>
      <c r="B291" t="s">
        <v>54</v>
      </c>
      <c r="C291" t="s">
        <v>55</v>
      </c>
      <c r="D291" t="s">
        <v>95</v>
      </c>
      <c r="E291" t="s">
        <v>53</v>
      </c>
      <c r="F291">
        <v>7098520</v>
      </c>
      <c r="G291" t="s">
        <v>58</v>
      </c>
      <c r="H291" t="s">
        <v>43</v>
      </c>
      <c r="I291" t="s">
        <v>44</v>
      </c>
      <c r="J291" t="s">
        <v>50</v>
      </c>
      <c r="K291" t="s">
        <v>12</v>
      </c>
      <c r="L291" t="s">
        <v>62</v>
      </c>
      <c r="M291" t="s">
        <v>535</v>
      </c>
      <c r="N291" t="s">
        <v>536</v>
      </c>
      <c r="O291" t="s">
        <v>85</v>
      </c>
      <c r="P291" t="s">
        <v>383</v>
      </c>
      <c r="Q291" t="s">
        <v>102</v>
      </c>
      <c r="R291" t="s">
        <v>103</v>
      </c>
      <c r="S291" t="s">
        <v>46</v>
      </c>
      <c r="T291" t="s">
        <v>46</v>
      </c>
      <c r="U291" s="4">
        <v>18.5</v>
      </c>
      <c r="V291" t="str">
        <f t="shared" si="4"/>
        <v>GT16</v>
      </c>
      <c r="W291" t="str">
        <f>VLOOKUP(K291,[1]Info!A$1:B$21,2,0)</f>
        <v>Garra Traçadora</v>
      </c>
      <c r="X291" t="str">
        <f>IF(M291="109595132","Material de Limpeza-Não Avaliar",IF(AND(K291="F20",M291&lt;&gt;109595132),IF(RIGHT(F291,2)="70","Infraestrutura de Planta","Prédios e Instalações"),IF(K291="FPC",VLOOKUP(F291,[1]Info!$E$2:$F$11,2,0),IF(K291="FGP",VLOOKUP(F291,[1]Info!$E$9:$F$10,2,0),IF(K291="F10",VLOOKUP(F291,[1]Info!$E$2:$F$3,2,0),VLOOKUP(K291,[1]Info!$A$1:$B$21,2,0))))))</f>
        <v>Garra Traçadora</v>
      </c>
    </row>
    <row r="292" spans="1:24" x14ac:dyDescent="0.35">
      <c r="A292" t="s">
        <v>41</v>
      </c>
      <c r="B292" t="s">
        <v>54</v>
      </c>
      <c r="C292" t="s">
        <v>55</v>
      </c>
      <c r="D292" t="s">
        <v>95</v>
      </c>
      <c r="E292" t="s">
        <v>53</v>
      </c>
      <c r="F292">
        <v>7098520</v>
      </c>
      <c r="G292" t="s">
        <v>58</v>
      </c>
      <c r="H292" t="s">
        <v>43</v>
      </c>
      <c r="I292" t="s">
        <v>44</v>
      </c>
      <c r="J292" t="s">
        <v>50</v>
      </c>
      <c r="K292" t="s">
        <v>12</v>
      </c>
      <c r="L292" t="s">
        <v>62</v>
      </c>
      <c r="M292" t="s">
        <v>615</v>
      </c>
      <c r="N292" t="s">
        <v>616</v>
      </c>
      <c r="O292" t="s">
        <v>85</v>
      </c>
      <c r="P292" t="s">
        <v>383</v>
      </c>
      <c r="Q292" t="s">
        <v>102</v>
      </c>
      <c r="R292" t="s">
        <v>103</v>
      </c>
      <c r="S292" t="s">
        <v>46</v>
      </c>
      <c r="T292" t="s">
        <v>46</v>
      </c>
      <c r="U292" s="4">
        <v>16.010000000000002</v>
      </c>
      <c r="V292" t="str">
        <f t="shared" si="4"/>
        <v>GT16</v>
      </c>
      <c r="W292" t="str">
        <f>VLOOKUP(K292,[1]Info!A$1:B$21,2,0)</f>
        <v>Garra Traçadora</v>
      </c>
      <c r="X292" t="str">
        <f>IF(M292="109595132","Material de Limpeza-Não Avaliar",IF(AND(K292="F20",M292&lt;&gt;109595132),IF(RIGHT(F292,2)="70","Infraestrutura de Planta","Prédios e Instalações"),IF(K292="FPC",VLOOKUP(F292,[1]Info!$E$2:$F$11,2,0),IF(K292="FGP",VLOOKUP(F292,[1]Info!$E$9:$F$10,2,0),IF(K292="F10",VLOOKUP(F292,[1]Info!$E$2:$F$3,2,0),VLOOKUP(K292,[1]Info!$A$1:$B$21,2,0))))))</f>
        <v>Garra Traçadora</v>
      </c>
    </row>
    <row r="293" spans="1:24" x14ac:dyDescent="0.35">
      <c r="A293" t="s">
        <v>41</v>
      </c>
      <c r="B293" t="s">
        <v>54</v>
      </c>
      <c r="C293" t="s">
        <v>55</v>
      </c>
      <c r="D293" t="s">
        <v>95</v>
      </c>
      <c r="E293" t="s">
        <v>53</v>
      </c>
      <c r="F293">
        <v>7098510</v>
      </c>
      <c r="G293" t="s">
        <v>61</v>
      </c>
      <c r="H293" t="s">
        <v>43</v>
      </c>
      <c r="I293" t="s">
        <v>44</v>
      </c>
      <c r="J293" t="s">
        <v>50</v>
      </c>
      <c r="K293" t="s">
        <v>11</v>
      </c>
      <c r="L293" t="s">
        <v>62</v>
      </c>
      <c r="M293" t="s">
        <v>537</v>
      </c>
      <c r="N293" t="s">
        <v>538</v>
      </c>
      <c r="O293" t="s">
        <v>63</v>
      </c>
      <c r="P293" t="s">
        <v>383</v>
      </c>
      <c r="Q293" t="s">
        <v>102</v>
      </c>
      <c r="R293" t="s">
        <v>103</v>
      </c>
      <c r="S293" t="s">
        <v>46</v>
      </c>
      <c r="T293" t="s">
        <v>46</v>
      </c>
      <c r="U293" s="4">
        <v>14.39</v>
      </c>
      <c r="V293" t="str">
        <f t="shared" si="4"/>
        <v>FF15</v>
      </c>
      <c r="W293" t="str">
        <f>VLOOKUP(K293,[1]Info!A$1:B$21,2,0)</f>
        <v>Feller</v>
      </c>
      <c r="X293" t="str">
        <f>IF(M293="109595132","Material de Limpeza-Não Avaliar",IF(AND(K293="F20",M293&lt;&gt;109595132),IF(RIGHT(F293,2)="70","Infraestrutura de Planta","Prédios e Instalações"),IF(K293="FPC",VLOOKUP(F293,[1]Info!$E$2:$F$11,2,0),IF(K293="FGP",VLOOKUP(F293,[1]Info!$E$9:$F$10,2,0),IF(K293="F10",VLOOKUP(F293,[1]Info!$E$2:$F$3,2,0),VLOOKUP(K293,[1]Info!$A$1:$B$21,2,0))))))</f>
        <v>Feller</v>
      </c>
    </row>
    <row r="294" spans="1:24" x14ac:dyDescent="0.35">
      <c r="A294" t="s">
        <v>41</v>
      </c>
      <c r="B294" t="s">
        <v>54</v>
      </c>
      <c r="C294" t="s">
        <v>55</v>
      </c>
      <c r="D294" t="s">
        <v>95</v>
      </c>
      <c r="E294" t="s">
        <v>53</v>
      </c>
      <c r="F294">
        <v>7098510</v>
      </c>
      <c r="G294" t="s">
        <v>61</v>
      </c>
      <c r="H294" t="s">
        <v>43</v>
      </c>
      <c r="I294" t="s">
        <v>44</v>
      </c>
      <c r="J294" t="s">
        <v>50</v>
      </c>
      <c r="K294" t="s">
        <v>11</v>
      </c>
      <c r="L294" t="s">
        <v>62</v>
      </c>
      <c r="M294" t="s">
        <v>479</v>
      </c>
      <c r="N294" t="s">
        <v>190</v>
      </c>
      <c r="O294" t="s">
        <v>149</v>
      </c>
      <c r="P294" t="s">
        <v>383</v>
      </c>
      <c r="Q294" t="s">
        <v>102</v>
      </c>
      <c r="R294" t="s">
        <v>103</v>
      </c>
      <c r="S294" t="s">
        <v>46</v>
      </c>
      <c r="T294" t="s">
        <v>46</v>
      </c>
      <c r="U294" s="4">
        <v>18.5</v>
      </c>
      <c r="V294" t="str">
        <f t="shared" si="4"/>
        <v>FF12</v>
      </c>
      <c r="W294" t="str">
        <f>VLOOKUP(K294,[1]Info!A$1:B$21,2,0)</f>
        <v>Feller</v>
      </c>
      <c r="X294" t="str">
        <f>IF(M294="109595132","Material de Limpeza-Não Avaliar",IF(AND(K294="F20",M294&lt;&gt;109595132),IF(RIGHT(F294,2)="70","Infraestrutura de Planta","Prédios e Instalações"),IF(K294="FPC",VLOOKUP(F294,[1]Info!$E$2:$F$11,2,0),IF(K294="FGP",VLOOKUP(F294,[1]Info!$E$9:$F$10,2,0),IF(K294="F10",VLOOKUP(F294,[1]Info!$E$2:$F$3,2,0),VLOOKUP(K294,[1]Info!$A$1:$B$21,2,0))))))</f>
        <v>Feller</v>
      </c>
    </row>
    <row r="295" spans="1:24" x14ac:dyDescent="0.35">
      <c r="A295" t="s">
        <v>41</v>
      </c>
      <c r="B295" t="s">
        <v>54</v>
      </c>
      <c r="C295" t="s">
        <v>55</v>
      </c>
      <c r="D295" t="s">
        <v>95</v>
      </c>
      <c r="E295" t="s">
        <v>53</v>
      </c>
      <c r="F295">
        <v>7098510</v>
      </c>
      <c r="G295" t="s">
        <v>61</v>
      </c>
      <c r="H295" t="s">
        <v>43</v>
      </c>
      <c r="I295" t="s">
        <v>44</v>
      </c>
      <c r="J295" t="s">
        <v>50</v>
      </c>
      <c r="K295" t="s">
        <v>11</v>
      </c>
      <c r="L295" t="s">
        <v>62</v>
      </c>
      <c r="M295" t="s">
        <v>191</v>
      </c>
      <c r="N295" t="s">
        <v>192</v>
      </c>
      <c r="O295" t="s">
        <v>63</v>
      </c>
      <c r="P295" t="s">
        <v>383</v>
      </c>
      <c r="Q295" t="s">
        <v>102</v>
      </c>
      <c r="R295" t="s">
        <v>103</v>
      </c>
      <c r="S295" t="s">
        <v>46</v>
      </c>
      <c r="T295" t="s">
        <v>46</v>
      </c>
      <c r="U295" s="4">
        <v>14.39</v>
      </c>
      <c r="V295" t="str">
        <f t="shared" si="4"/>
        <v>FF15</v>
      </c>
      <c r="W295" t="str">
        <f>VLOOKUP(K295,[1]Info!A$1:B$21,2,0)</f>
        <v>Feller</v>
      </c>
      <c r="X295" t="str">
        <f>IF(M295="109595132","Material de Limpeza-Não Avaliar",IF(AND(K295="F20",M295&lt;&gt;109595132),IF(RIGHT(F295,2)="70","Infraestrutura de Planta","Prédios e Instalações"),IF(K295="FPC",VLOOKUP(F295,[1]Info!$E$2:$F$11,2,0),IF(K295="FGP",VLOOKUP(F295,[1]Info!$E$9:$F$10,2,0),IF(K295="F10",VLOOKUP(F295,[1]Info!$E$2:$F$3,2,0),VLOOKUP(K295,[1]Info!$A$1:$B$21,2,0))))))</f>
        <v>Feller</v>
      </c>
    </row>
    <row r="296" spans="1:24" x14ac:dyDescent="0.35">
      <c r="A296" t="s">
        <v>41</v>
      </c>
      <c r="B296" t="s">
        <v>54</v>
      </c>
      <c r="C296" t="s">
        <v>55</v>
      </c>
      <c r="D296" t="s">
        <v>95</v>
      </c>
      <c r="E296" t="s">
        <v>53</v>
      </c>
      <c r="F296">
        <v>7098510</v>
      </c>
      <c r="G296" t="s">
        <v>61</v>
      </c>
      <c r="H296" t="s">
        <v>43</v>
      </c>
      <c r="I296" t="s">
        <v>44</v>
      </c>
      <c r="J296" t="s">
        <v>50</v>
      </c>
      <c r="K296" t="s">
        <v>11</v>
      </c>
      <c r="L296" t="s">
        <v>62</v>
      </c>
      <c r="M296" t="s">
        <v>191</v>
      </c>
      <c r="N296" t="s">
        <v>192</v>
      </c>
      <c r="O296" t="s">
        <v>63</v>
      </c>
      <c r="P296" t="s">
        <v>383</v>
      </c>
      <c r="Q296" t="s">
        <v>680</v>
      </c>
      <c r="R296" t="s">
        <v>681</v>
      </c>
      <c r="S296" t="s">
        <v>46</v>
      </c>
      <c r="T296" t="s">
        <v>46</v>
      </c>
      <c r="U296" s="4">
        <v>1638.8</v>
      </c>
      <c r="V296" t="str">
        <f t="shared" si="4"/>
        <v>FF15</v>
      </c>
      <c r="W296" t="str">
        <f>VLOOKUP(K296,[1]Info!A$1:B$21,2,0)</f>
        <v>Feller</v>
      </c>
      <c r="X296" t="str">
        <f>IF(M296="109595132","Material de Limpeza-Não Avaliar",IF(AND(K296="F20",M296&lt;&gt;109595132),IF(RIGHT(F296,2)="70","Infraestrutura de Planta","Prédios e Instalações"),IF(K296="FPC",VLOOKUP(F296,[1]Info!$E$2:$F$11,2,0),IF(K296="FGP",VLOOKUP(F296,[1]Info!$E$9:$F$10,2,0),IF(K296="F10",VLOOKUP(F296,[1]Info!$E$2:$F$3,2,0),VLOOKUP(K296,[1]Info!$A$1:$B$21,2,0))))))</f>
        <v>Feller</v>
      </c>
    </row>
    <row r="297" spans="1:24" x14ac:dyDescent="0.35">
      <c r="A297" t="s">
        <v>41</v>
      </c>
      <c r="B297" t="s">
        <v>54</v>
      </c>
      <c r="C297" t="s">
        <v>55</v>
      </c>
      <c r="D297" t="s">
        <v>95</v>
      </c>
      <c r="E297" t="s">
        <v>53</v>
      </c>
      <c r="F297">
        <v>7098510</v>
      </c>
      <c r="G297" t="s">
        <v>61</v>
      </c>
      <c r="H297" t="s">
        <v>43</v>
      </c>
      <c r="I297" t="s">
        <v>44</v>
      </c>
      <c r="J297" t="s">
        <v>50</v>
      </c>
      <c r="K297" t="s">
        <v>11</v>
      </c>
      <c r="L297" t="s">
        <v>62</v>
      </c>
      <c r="M297" t="s">
        <v>197</v>
      </c>
      <c r="N297" t="s">
        <v>198</v>
      </c>
      <c r="O297" t="s">
        <v>150</v>
      </c>
      <c r="P297" t="s">
        <v>383</v>
      </c>
      <c r="Q297" t="s">
        <v>102</v>
      </c>
      <c r="R297" t="s">
        <v>103</v>
      </c>
      <c r="S297" t="s">
        <v>46</v>
      </c>
      <c r="T297" t="s">
        <v>46</v>
      </c>
      <c r="U297" s="4">
        <v>14.39</v>
      </c>
      <c r="V297" t="str">
        <f t="shared" si="4"/>
        <v>FF16</v>
      </c>
      <c r="W297" t="str">
        <f>VLOOKUP(K297,[1]Info!A$1:B$21,2,0)</f>
        <v>Feller</v>
      </c>
      <c r="X297" t="str">
        <f>IF(M297="109595132","Material de Limpeza-Não Avaliar",IF(AND(K297="F20",M297&lt;&gt;109595132),IF(RIGHT(F297,2)="70","Infraestrutura de Planta","Prédios e Instalações"),IF(K297="FPC",VLOOKUP(F297,[1]Info!$E$2:$F$11,2,0),IF(K297="FGP",VLOOKUP(F297,[1]Info!$E$9:$F$10,2,0),IF(K297="F10",VLOOKUP(F297,[1]Info!$E$2:$F$3,2,0),VLOOKUP(K297,[1]Info!$A$1:$B$21,2,0))))))</f>
        <v>Feller</v>
      </c>
    </row>
    <row r="298" spans="1:24" x14ac:dyDescent="0.35">
      <c r="A298" t="s">
        <v>41</v>
      </c>
      <c r="B298" t="s">
        <v>54</v>
      </c>
      <c r="C298" t="s">
        <v>55</v>
      </c>
      <c r="D298" t="s">
        <v>95</v>
      </c>
      <c r="E298" t="s">
        <v>53</v>
      </c>
      <c r="F298">
        <v>7098510</v>
      </c>
      <c r="G298" t="s">
        <v>61</v>
      </c>
      <c r="H298" t="s">
        <v>43</v>
      </c>
      <c r="I298" t="s">
        <v>44</v>
      </c>
      <c r="J298" t="s">
        <v>50</v>
      </c>
      <c r="K298" t="s">
        <v>11</v>
      </c>
      <c r="L298" t="s">
        <v>62</v>
      </c>
      <c r="M298" t="s">
        <v>197</v>
      </c>
      <c r="N298" t="s">
        <v>198</v>
      </c>
      <c r="O298" t="s">
        <v>150</v>
      </c>
      <c r="P298" t="s">
        <v>383</v>
      </c>
      <c r="Q298" t="s">
        <v>680</v>
      </c>
      <c r="R298" t="s">
        <v>681</v>
      </c>
      <c r="S298" t="s">
        <v>46</v>
      </c>
      <c r="T298" t="s">
        <v>46</v>
      </c>
      <c r="U298" s="4">
        <v>1638.8</v>
      </c>
      <c r="V298" t="str">
        <f t="shared" si="4"/>
        <v>FF16</v>
      </c>
      <c r="W298" t="str">
        <f>VLOOKUP(K298,[1]Info!A$1:B$21,2,0)</f>
        <v>Feller</v>
      </c>
      <c r="X298" t="str">
        <f>IF(M298="109595132","Material de Limpeza-Não Avaliar",IF(AND(K298="F20",M298&lt;&gt;109595132),IF(RIGHT(F298,2)="70","Infraestrutura de Planta","Prédios e Instalações"),IF(K298="FPC",VLOOKUP(F298,[1]Info!$E$2:$F$11,2,0),IF(K298="FGP",VLOOKUP(F298,[1]Info!$E$9:$F$10,2,0),IF(K298="F10",VLOOKUP(F298,[1]Info!$E$2:$F$3,2,0),VLOOKUP(K298,[1]Info!$A$1:$B$21,2,0))))))</f>
        <v>Feller</v>
      </c>
    </row>
    <row r="299" spans="1:24" x14ac:dyDescent="0.35">
      <c r="A299" t="s">
        <v>41</v>
      </c>
      <c r="B299" t="s">
        <v>54</v>
      </c>
      <c r="C299" t="s">
        <v>55</v>
      </c>
      <c r="D299" t="s">
        <v>95</v>
      </c>
      <c r="E299" t="s">
        <v>53</v>
      </c>
      <c r="F299">
        <v>7098510</v>
      </c>
      <c r="G299" t="s">
        <v>61</v>
      </c>
      <c r="H299" t="s">
        <v>43</v>
      </c>
      <c r="I299" t="s">
        <v>44</v>
      </c>
      <c r="J299" t="s">
        <v>50</v>
      </c>
      <c r="K299" t="s">
        <v>11</v>
      </c>
      <c r="L299" t="s">
        <v>62</v>
      </c>
      <c r="M299" t="s">
        <v>539</v>
      </c>
      <c r="N299" t="s">
        <v>190</v>
      </c>
      <c r="O299" t="s">
        <v>149</v>
      </c>
      <c r="P299" t="s">
        <v>383</v>
      </c>
      <c r="Q299" t="s">
        <v>102</v>
      </c>
      <c r="R299" t="s">
        <v>103</v>
      </c>
      <c r="S299" t="s">
        <v>46</v>
      </c>
      <c r="T299" t="s">
        <v>46</v>
      </c>
      <c r="U299" s="4">
        <v>14.39</v>
      </c>
      <c r="V299" t="str">
        <f t="shared" si="4"/>
        <v>FF12</v>
      </c>
      <c r="W299" t="str">
        <f>VLOOKUP(K299,[1]Info!A$1:B$21,2,0)</f>
        <v>Feller</v>
      </c>
      <c r="X299" t="str">
        <f>IF(M299="109595132","Material de Limpeza-Não Avaliar",IF(AND(K299="F20",M299&lt;&gt;109595132),IF(RIGHT(F299,2)="70","Infraestrutura de Planta","Prédios e Instalações"),IF(K299="FPC",VLOOKUP(F299,[1]Info!$E$2:$F$11,2,0),IF(K299="FGP",VLOOKUP(F299,[1]Info!$E$9:$F$10,2,0),IF(K299="F10",VLOOKUP(F299,[1]Info!$E$2:$F$3,2,0),VLOOKUP(K299,[1]Info!$A$1:$B$21,2,0))))))</f>
        <v>Feller</v>
      </c>
    </row>
    <row r="300" spans="1:24" x14ac:dyDescent="0.35">
      <c r="A300" t="s">
        <v>41</v>
      </c>
      <c r="B300" t="s">
        <v>54</v>
      </c>
      <c r="C300" t="s">
        <v>55</v>
      </c>
      <c r="D300" t="s">
        <v>95</v>
      </c>
      <c r="E300" t="s">
        <v>53</v>
      </c>
      <c r="F300">
        <v>7098510</v>
      </c>
      <c r="G300" t="s">
        <v>61</v>
      </c>
      <c r="H300" t="s">
        <v>43</v>
      </c>
      <c r="I300" t="s">
        <v>44</v>
      </c>
      <c r="J300" t="s">
        <v>50</v>
      </c>
      <c r="K300" t="s">
        <v>11</v>
      </c>
      <c r="L300" t="s">
        <v>62</v>
      </c>
      <c r="M300" t="s">
        <v>659</v>
      </c>
      <c r="N300" t="s">
        <v>660</v>
      </c>
      <c r="O300" t="s">
        <v>63</v>
      </c>
      <c r="P300" t="s">
        <v>383</v>
      </c>
      <c r="Q300" t="s">
        <v>102</v>
      </c>
      <c r="R300" t="s">
        <v>103</v>
      </c>
      <c r="S300" t="s">
        <v>46</v>
      </c>
      <c r="T300" t="s">
        <v>46</v>
      </c>
      <c r="U300" s="4">
        <v>16.010000000000002</v>
      </c>
      <c r="V300" t="str">
        <f t="shared" si="4"/>
        <v>FF15</v>
      </c>
      <c r="W300" t="str">
        <f>VLOOKUP(K300,[1]Info!A$1:B$21,2,0)</f>
        <v>Feller</v>
      </c>
      <c r="X300" t="str">
        <f>IF(M300="109595132","Material de Limpeza-Não Avaliar",IF(AND(K300="F20",M300&lt;&gt;109595132),IF(RIGHT(F300,2)="70","Infraestrutura de Planta","Prédios e Instalações"),IF(K300="FPC",VLOOKUP(F300,[1]Info!$E$2:$F$11,2,0),IF(K300="FGP",VLOOKUP(F300,[1]Info!$E$9:$F$10,2,0),IF(K300="F10",VLOOKUP(F300,[1]Info!$E$2:$F$3,2,0),VLOOKUP(K300,[1]Info!$A$1:$B$21,2,0))))))</f>
        <v>Feller</v>
      </c>
    </row>
    <row r="301" spans="1:24" x14ac:dyDescent="0.35">
      <c r="A301" t="s">
        <v>41</v>
      </c>
      <c r="B301" t="s">
        <v>54</v>
      </c>
      <c r="C301" t="s">
        <v>55</v>
      </c>
      <c r="D301" t="s">
        <v>95</v>
      </c>
      <c r="E301" t="s">
        <v>53</v>
      </c>
      <c r="F301">
        <v>7098510</v>
      </c>
      <c r="G301" t="s">
        <v>61</v>
      </c>
      <c r="H301" t="s">
        <v>43</v>
      </c>
      <c r="I301" t="s">
        <v>44</v>
      </c>
      <c r="J301" t="s">
        <v>50</v>
      </c>
      <c r="K301" t="s">
        <v>11</v>
      </c>
      <c r="L301" t="s">
        <v>62</v>
      </c>
      <c r="M301" t="s">
        <v>385</v>
      </c>
      <c r="N301" t="s">
        <v>386</v>
      </c>
      <c r="O301" t="s">
        <v>150</v>
      </c>
      <c r="P301" t="s">
        <v>383</v>
      </c>
      <c r="Q301" t="s">
        <v>102</v>
      </c>
      <c r="R301" t="s">
        <v>103</v>
      </c>
      <c r="S301" t="s">
        <v>46</v>
      </c>
      <c r="T301" t="s">
        <v>46</v>
      </c>
      <c r="U301" s="4">
        <v>16.010000000000002</v>
      </c>
      <c r="V301" t="str">
        <f t="shared" si="4"/>
        <v>FF16</v>
      </c>
      <c r="W301" t="str">
        <f>VLOOKUP(K301,[1]Info!A$1:B$21,2,0)</f>
        <v>Feller</v>
      </c>
      <c r="X301" t="str">
        <f>IF(M301="109595132","Material de Limpeza-Não Avaliar",IF(AND(K301="F20",M301&lt;&gt;109595132),IF(RIGHT(F301,2)="70","Infraestrutura de Planta","Prédios e Instalações"),IF(K301="FPC",VLOOKUP(F301,[1]Info!$E$2:$F$11,2,0),IF(K301="FGP",VLOOKUP(F301,[1]Info!$E$9:$F$10,2,0),IF(K301="F10",VLOOKUP(F301,[1]Info!$E$2:$F$3,2,0),VLOOKUP(K301,[1]Info!$A$1:$B$21,2,0))))))</f>
        <v>Feller</v>
      </c>
    </row>
    <row r="302" spans="1:24" x14ac:dyDescent="0.35">
      <c r="A302" t="s">
        <v>41</v>
      </c>
      <c r="B302" t="s">
        <v>54</v>
      </c>
      <c r="C302" t="s">
        <v>55</v>
      </c>
      <c r="D302" t="s">
        <v>1472</v>
      </c>
      <c r="E302" t="s">
        <v>1473</v>
      </c>
      <c r="F302">
        <v>7098520</v>
      </c>
      <c r="G302" t="s">
        <v>58</v>
      </c>
      <c r="H302" t="s">
        <v>43</v>
      </c>
      <c r="I302" t="s">
        <v>44</v>
      </c>
      <c r="J302" t="s">
        <v>50</v>
      </c>
      <c r="K302" t="s">
        <v>12</v>
      </c>
      <c r="L302" t="s">
        <v>51</v>
      </c>
      <c r="M302" t="s">
        <v>1420</v>
      </c>
      <c r="N302" t="s">
        <v>1421</v>
      </c>
      <c r="O302" t="s">
        <v>209</v>
      </c>
      <c r="P302" t="s">
        <v>1292</v>
      </c>
      <c r="Q302" t="s">
        <v>46</v>
      </c>
      <c r="R302" t="s">
        <v>47</v>
      </c>
      <c r="S302" t="s">
        <v>46</v>
      </c>
      <c r="T302" t="s">
        <v>46</v>
      </c>
      <c r="U302" s="4">
        <v>513.51</v>
      </c>
      <c r="V302" t="str">
        <f t="shared" si="4"/>
        <v>GT15</v>
      </c>
      <c r="W302" t="str">
        <f>VLOOKUP(K302,[1]Info!A$1:B$21,2,0)</f>
        <v>Garra Traçadora</v>
      </c>
      <c r="X302" t="str">
        <f>IF(M302="109595132","Material de Limpeza-Não Avaliar",IF(AND(K302="F20",M302&lt;&gt;109595132),IF(RIGHT(F302,2)="70","Infraestrutura de Planta","Prédios e Instalações"),IF(K302="FPC",VLOOKUP(F302,[1]Info!$E$2:$F$11,2,0),IF(K302="FGP",VLOOKUP(F302,[1]Info!$E$9:$F$10,2,0),IF(K302="F10",VLOOKUP(F302,[1]Info!$E$2:$F$3,2,0),VLOOKUP(K302,[1]Info!$A$1:$B$21,2,0))))))</f>
        <v>Garra Traçadora</v>
      </c>
    </row>
    <row r="303" spans="1:24" x14ac:dyDescent="0.35">
      <c r="A303" t="s">
        <v>41</v>
      </c>
      <c r="B303" t="s">
        <v>54</v>
      </c>
      <c r="C303" t="s">
        <v>55</v>
      </c>
      <c r="D303" t="s">
        <v>106</v>
      </c>
      <c r="E303" t="s">
        <v>107</v>
      </c>
      <c r="F303">
        <v>7098590</v>
      </c>
      <c r="G303" t="s">
        <v>14</v>
      </c>
      <c r="H303" t="s">
        <v>48</v>
      </c>
      <c r="I303" t="s">
        <v>49</v>
      </c>
      <c r="J303" t="s">
        <v>50</v>
      </c>
      <c r="K303" t="s">
        <v>13</v>
      </c>
      <c r="L303" t="s">
        <v>51</v>
      </c>
      <c r="M303" t="s">
        <v>1364</v>
      </c>
      <c r="N303" t="s">
        <v>1365</v>
      </c>
      <c r="O303" t="s">
        <v>167</v>
      </c>
      <c r="P303" t="s">
        <v>1292</v>
      </c>
      <c r="Q303" t="s">
        <v>46</v>
      </c>
      <c r="R303" t="s">
        <v>47</v>
      </c>
      <c r="S303" t="s">
        <v>389</v>
      </c>
      <c r="T303" t="s">
        <v>390</v>
      </c>
      <c r="U303" s="4">
        <v>4115.51</v>
      </c>
      <c r="V303" t="str">
        <f t="shared" si="4"/>
        <v>CM05</v>
      </c>
      <c r="W303" t="str">
        <f>VLOOKUP(K303,[1]Info!A$1:B$21,2,0)</f>
        <v>Carreta Prancha</v>
      </c>
      <c r="X303" t="str">
        <f>IF(M303="109595132","Material de Limpeza-Não Avaliar",IF(AND(K303="F20",M303&lt;&gt;109595132),IF(RIGHT(F303,2)="70","Infraestrutura de Planta","Prédios e Instalações"),IF(K303="FPC",VLOOKUP(F303,[1]Info!$E$2:$F$11,2,0),IF(K303="FGP",VLOOKUP(F303,[1]Info!$E$9:$F$10,2,0),IF(K303="F10",VLOOKUP(F303,[1]Info!$E$2:$F$3,2,0),VLOOKUP(K303,[1]Info!$A$1:$B$21,2,0))))))</f>
        <v>Carreta Prancha</v>
      </c>
    </row>
    <row r="304" spans="1:24" x14ac:dyDescent="0.35">
      <c r="A304" t="s">
        <v>41</v>
      </c>
      <c r="B304" t="s">
        <v>54</v>
      </c>
      <c r="C304" t="s">
        <v>55</v>
      </c>
      <c r="D304" t="s">
        <v>106</v>
      </c>
      <c r="E304" t="s">
        <v>107</v>
      </c>
      <c r="F304">
        <v>7098590</v>
      </c>
      <c r="G304" t="s">
        <v>14</v>
      </c>
      <c r="H304" t="s">
        <v>48</v>
      </c>
      <c r="I304" t="s">
        <v>49</v>
      </c>
      <c r="J304" t="s">
        <v>50</v>
      </c>
      <c r="K304" t="s">
        <v>13</v>
      </c>
      <c r="L304" t="s">
        <v>51</v>
      </c>
      <c r="M304" t="s">
        <v>1364</v>
      </c>
      <c r="N304" t="s">
        <v>1365</v>
      </c>
      <c r="O304" t="s">
        <v>167</v>
      </c>
      <c r="P304" t="s">
        <v>1292</v>
      </c>
      <c r="Q304" t="s">
        <v>46</v>
      </c>
      <c r="R304" t="s">
        <v>47</v>
      </c>
      <c r="S304" t="s">
        <v>269</v>
      </c>
      <c r="T304" t="s">
        <v>270</v>
      </c>
      <c r="U304" s="4">
        <v>350.39</v>
      </c>
      <c r="V304" t="str">
        <f t="shared" si="4"/>
        <v>CM05</v>
      </c>
      <c r="W304" t="str">
        <f>VLOOKUP(K304,[1]Info!A$1:B$21,2,0)</f>
        <v>Carreta Prancha</v>
      </c>
      <c r="X304" t="str">
        <f>IF(M304="109595132","Material de Limpeza-Não Avaliar",IF(AND(K304="F20",M304&lt;&gt;109595132),IF(RIGHT(F304,2)="70","Infraestrutura de Planta","Prédios e Instalações"),IF(K304="FPC",VLOOKUP(F304,[1]Info!$E$2:$F$11,2,0),IF(K304="FGP",VLOOKUP(F304,[1]Info!$E$9:$F$10,2,0),IF(K304="F10",VLOOKUP(F304,[1]Info!$E$2:$F$3,2,0),VLOOKUP(K304,[1]Info!$A$1:$B$21,2,0))))))</f>
        <v>Carreta Prancha</v>
      </c>
    </row>
    <row r="305" spans="1:24" x14ac:dyDescent="0.35">
      <c r="A305" t="s">
        <v>41</v>
      </c>
      <c r="B305" t="s">
        <v>54</v>
      </c>
      <c r="C305" t="s">
        <v>55</v>
      </c>
      <c r="D305" t="s">
        <v>106</v>
      </c>
      <c r="E305" t="s">
        <v>107</v>
      </c>
      <c r="F305">
        <v>7098530</v>
      </c>
      <c r="G305" t="s">
        <v>57</v>
      </c>
      <c r="H305" t="s">
        <v>43</v>
      </c>
      <c r="I305" t="s">
        <v>44</v>
      </c>
      <c r="J305" t="s">
        <v>50</v>
      </c>
      <c r="K305" t="s">
        <v>15</v>
      </c>
      <c r="L305" t="s">
        <v>51</v>
      </c>
      <c r="M305" t="s">
        <v>1474</v>
      </c>
      <c r="N305" t="s">
        <v>1475</v>
      </c>
      <c r="O305" t="s">
        <v>141</v>
      </c>
      <c r="P305" t="s">
        <v>1292</v>
      </c>
      <c r="Q305" t="s">
        <v>46</v>
      </c>
      <c r="R305" t="s">
        <v>47</v>
      </c>
      <c r="S305" t="s">
        <v>1476</v>
      </c>
      <c r="T305" t="s">
        <v>1477</v>
      </c>
      <c r="U305" s="4">
        <v>2150.39</v>
      </c>
      <c r="V305" t="str">
        <f t="shared" si="4"/>
        <v>SK16</v>
      </c>
      <c r="W305" t="str">
        <f>VLOOKUP(K305,[1]Info!A$1:B$21,2,0)</f>
        <v>Skidder</v>
      </c>
      <c r="X305" t="str">
        <f>IF(M305="109595132","Material de Limpeza-Não Avaliar",IF(AND(K305="F20",M305&lt;&gt;109595132),IF(RIGHT(F305,2)="70","Infraestrutura de Planta","Prédios e Instalações"),IF(K305="FPC",VLOOKUP(F305,[1]Info!$E$2:$F$11,2,0),IF(K305="FGP",VLOOKUP(F305,[1]Info!$E$9:$F$10,2,0),IF(K305="F10",VLOOKUP(F305,[1]Info!$E$2:$F$3,2,0),VLOOKUP(K305,[1]Info!$A$1:$B$21,2,0))))))</f>
        <v>Skidder</v>
      </c>
    </row>
    <row r="306" spans="1:24" x14ac:dyDescent="0.35">
      <c r="A306" t="s">
        <v>41</v>
      </c>
      <c r="B306" t="s">
        <v>54</v>
      </c>
      <c r="C306" t="s">
        <v>55</v>
      </c>
      <c r="D306" t="s">
        <v>106</v>
      </c>
      <c r="E306" t="s">
        <v>107</v>
      </c>
      <c r="F306">
        <v>7098530</v>
      </c>
      <c r="G306" t="s">
        <v>57</v>
      </c>
      <c r="H306" t="s">
        <v>43</v>
      </c>
      <c r="I306" t="s">
        <v>44</v>
      </c>
      <c r="J306" t="s">
        <v>50</v>
      </c>
      <c r="K306" t="s">
        <v>15</v>
      </c>
      <c r="L306" t="s">
        <v>51</v>
      </c>
      <c r="M306" t="s">
        <v>1386</v>
      </c>
      <c r="N306" t="s">
        <v>1387</v>
      </c>
      <c r="O306" t="s">
        <v>1388</v>
      </c>
      <c r="P306" t="s">
        <v>1292</v>
      </c>
      <c r="Q306" t="s">
        <v>46</v>
      </c>
      <c r="R306" t="s">
        <v>47</v>
      </c>
      <c r="S306" t="s">
        <v>269</v>
      </c>
      <c r="T306" t="s">
        <v>270</v>
      </c>
      <c r="U306" s="4">
        <v>833.08</v>
      </c>
      <c r="V306" t="str">
        <f t="shared" si="4"/>
        <v>-C01</v>
      </c>
      <c r="W306" t="str">
        <f>VLOOKUP(K306,[1]Info!A$1:B$21,2,0)</f>
        <v>Skidder</v>
      </c>
      <c r="X306" t="str">
        <f>IF(M306="109595132","Material de Limpeza-Não Avaliar",IF(AND(K306="F20",M306&lt;&gt;109595132),IF(RIGHT(F306,2)="70","Infraestrutura de Planta","Prédios e Instalações"),IF(K306="FPC",VLOOKUP(F306,[1]Info!$E$2:$F$11,2,0),IF(K306="FGP",VLOOKUP(F306,[1]Info!$E$9:$F$10,2,0),IF(K306="F10",VLOOKUP(F306,[1]Info!$E$2:$F$3,2,0),VLOOKUP(K306,[1]Info!$A$1:$B$21,2,0))))))</f>
        <v>Skidder</v>
      </c>
    </row>
    <row r="307" spans="1:24" x14ac:dyDescent="0.35">
      <c r="A307" t="s">
        <v>41</v>
      </c>
      <c r="B307" t="s">
        <v>54</v>
      </c>
      <c r="C307" t="s">
        <v>55</v>
      </c>
      <c r="D307" t="s">
        <v>106</v>
      </c>
      <c r="E307" t="s">
        <v>107</v>
      </c>
      <c r="F307">
        <v>7098520</v>
      </c>
      <c r="G307" t="s">
        <v>58</v>
      </c>
      <c r="H307" t="s">
        <v>43</v>
      </c>
      <c r="I307" t="s">
        <v>44</v>
      </c>
      <c r="J307" t="s">
        <v>50</v>
      </c>
      <c r="K307" t="s">
        <v>12</v>
      </c>
      <c r="L307" t="s">
        <v>51</v>
      </c>
      <c r="M307" t="s">
        <v>1416</v>
      </c>
      <c r="N307" t="s">
        <v>1417</v>
      </c>
      <c r="O307" t="s">
        <v>60</v>
      </c>
      <c r="P307" t="s">
        <v>1292</v>
      </c>
      <c r="Q307" t="s">
        <v>46</v>
      </c>
      <c r="R307" t="s">
        <v>47</v>
      </c>
      <c r="S307" t="s">
        <v>1476</v>
      </c>
      <c r="T307" t="s">
        <v>1477</v>
      </c>
      <c r="U307" s="4">
        <v>9308.8799999999992</v>
      </c>
      <c r="V307" t="str">
        <f t="shared" si="4"/>
        <v>GT18</v>
      </c>
      <c r="W307" t="str">
        <f>VLOOKUP(K307,[1]Info!A$1:B$21,2,0)</f>
        <v>Garra Traçadora</v>
      </c>
      <c r="X307" t="str">
        <f>IF(M307="109595132","Material de Limpeza-Não Avaliar",IF(AND(K307="F20",M307&lt;&gt;109595132),IF(RIGHT(F307,2)="70","Infraestrutura de Planta","Prédios e Instalações"),IF(K307="FPC",VLOOKUP(F307,[1]Info!$E$2:$F$11,2,0),IF(K307="FGP",VLOOKUP(F307,[1]Info!$E$9:$F$10,2,0),IF(K307="F10",VLOOKUP(F307,[1]Info!$E$2:$F$3,2,0),VLOOKUP(K307,[1]Info!$A$1:$B$21,2,0))))))</f>
        <v>Garra Traçadora</v>
      </c>
    </row>
    <row r="308" spans="1:24" x14ac:dyDescent="0.35">
      <c r="A308" t="s">
        <v>41</v>
      </c>
      <c r="B308" t="s">
        <v>54</v>
      </c>
      <c r="C308" t="s">
        <v>55</v>
      </c>
      <c r="D308" t="s">
        <v>106</v>
      </c>
      <c r="E308" t="s">
        <v>107</v>
      </c>
      <c r="F308">
        <v>7098510</v>
      </c>
      <c r="G308" t="s">
        <v>61</v>
      </c>
      <c r="H308" t="s">
        <v>43</v>
      </c>
      <c r="I308" t="s">
        <v>44</v>
      </c>
      <c r="J308" t="s">
        <v>50</v>
      </c>
      <c r="K308" t="s">
        <v>11</v>
      </c>
      <c r="L308" t="s">
        <v>59</v>
      </c>
      <c r="M308" t="s">
        <v>1478</v>
      </c>
      <c r="N308" t="s">
        <v>1479</v>
      </c>
      <c r="O308" t="s">
        <v>1480</v>
      </c>
      <c r="P308" t="s">
        <v>1292</v>
      </c>
      <c r="Q308" t="s">
        <v>46</v>
      </c>
      <c r="R308" t="s">
        <v>47</v>
      </c>
      <c r="S308" t="s">
        <v>1476</v>
      </c>
      <c r="T308" t="s">
        <v>1477</v>
      </c>
      <c r="U308" s="4">
        <v>1799.99</v>
      </c>
      <c r="V308" t="str">
        <f t="shared" si="4"/>
        <v>0020</v>
      </c>
      <c r="W308" t="str">
        <f>VLOOKUP(K308,[1]Info!A$1:B$21,2,0)</f>
        <v>Feller</v>
      </c>
      <c r="X308" t="str">
        <f>IF(M308="109595132","Material de Limpeza-Não Avaliar",IF(AND(K308="F20",M308&lt;&gt;109595132),IF(RIGHT(F308,2)="70","Infraestrutura de Planta","Prédios e Instalações"),IF(K308="FPC",VLOOKUP(F308,[1]Info!$E$2:$F$11,2,0),IF(K308="FGP",VLOOKUP(F308,[1]Info!$E$9:$F$10,2,0),IF(K308="F10",VLOOKUP(F308,[1]Info!$E$2:$F$3,2,0),VLOOKUP(K308,[1]Info!$A$1:$B$21,2,0))))))</f>
        <v>Feller</v>
      </c>
    </row>
    <row r="309" spans="1:24" x14ac:dyDescent="0.35">
      <c r="A309" t="s">
        <v>41</v>
      </c>
      <c r="B309" t="s">
        <v>54</v>
      </c>
      <c r="C309" t="s">
        <v>55</v>
      </c>
      <c r="D309" t="s">
        <v>106</v>
      </c>
      <c r="E309" t="s">
        <v>107</v>
      </c>
      <c r="F309">
        <v>7098510</v>
      </c>
      <c r="G309" t="s">
        <v>61</v>
      </c>
      <c r="H309" t="s">
        <v>43</v>
      </c>
      <c r="I309" t="s">
        <v>44</v>
      </c>
      <c r="J309" t="s">
        <v>50</v>
      </c>
      <c r="K309" t="s">
        <v>11</v>
      </c>
      <c r="L309" t="s">
        <v>62</v>
      </c>
      <c r="M309" t="s">
        <v>1481</v>
      </c>
      <c r="N309" t="s">
        <v>1482</v>
      </c>
      <c r="O309" t="s">
        <v>140</v>
      </c>
      <c r="P309" t="s">
        <v>1292</v>
      </c>
      <c r="Q309" t="s">
        <v>46</v>
      </c>
      <c r="R309" t="s">
        <v>47</v>
      </c>
      <c r="S309" t="s">
        <v>1483</v>
      </c>
      <c r="T309" t="s">
        <v>1484</v>
      </c>
      <c r="U309" s="4">
        <v>13497.46</v>
      </c>
      <c r="V309" t="str">
        <f t="shared" si="4"/>
        <v>FF14</v>
      </c>
      <c r="W309" t="str">
        <f>VLOOKUP(K309,[1]Info!A$1:B$21,2,0)</f>
        <v>Feller</v>
      </c>
      <c r="X309" t="str">
        <f>IF(M309="109595132","Material de Limpeza-Não Avaliar",IF(AND(K309="F20",M309&lt;&gt;109595132),IF(RIGHT(F309,2)="70","Infraestrutura de Planta","Prédios e Instalações"),IF(K309="FPC",VLOOKUP(F309,[1]Info!$E$2:$F$11,2,0),IF(K309="FGP",VLOOKUP(F309,[1]Info!$E$9:$F$10,2,0),IF(K309="F10",VLOOKUP(F309,[1]Info!$E$2:$F$3,2,0),VLOOKUP(K309,[1]Info!$A$1:$B$21,2,0))))))</f>
        <v>Feller</v>
      </c>
    </row>
    <row r="310" spans="1:24" x14ac:dyDescent="0.35">
      <c r="A310" t="s">
        <v>41</v>
      </c>
      <c r="B310" t="s">
        <v>54</v>
      </c>
      <c r="C310" t="s">
        <v>55</v>
      </c>
      <c r="D310" t="s">
        <v>106</v>
      </c>
      <c r="E310" t="s">
        <v>107</v>
      </c>
      <c r="F310">
        <v>7098510</v>
      </c>
      <c r="G310" t="s">
        <v>61</v>
      </c>
      <c r="H310" t="s">
        <v>43</v>
      </c>
      <c r="I310" t="s">
        <v>44</v>
      </c>
      <c r="J310" t="s">
        <v>50</v>
      </c>
      <c r="K310" t="s">
        <v>11</v>
      </c>
      <c r="L310" t="s">
        <v>51</v>
      </c>
      <c r="M310" t="s">
        <v>1485</v>
      </c>
      <c r="N310" t="s">
        <v>1486</v>
      </c>
      <c r="O310" t="s">
        <v>140</v>
      </c>
      <c r="P310" t="s">
        <v>1292</v>
      </c>
      <c r="Q310" t="s">
        <v>46</v>
      </c>
      <c r="R310" t="s">
        <v>47</v>
      </c>
      <c r="S310" t="s">
        <v>1483</v>
      </c>
      <c r="T310" t="s">
        <v>1484</v>
      </c>
      <c r="U310" s="4">
        <v>2786.09</v>
      </c>
      <c r="V310" t="str">
        <f t="shared" si="4"/>
        <v>FF14</v>
      </c>
      <c r="W310" t="str">
        <f>VLOOKUP(K310,[1]Info!A$1:B$21,2,0)</f>
        <v>Feller</v>
      </c>
      <c r="X310" t="str">
        <f>IF(M310="109595132","Material de Limpeza-Não Avaliar",IF(AND(K310="F20",M310&lt;&gt;109595132),IF(RIGHT(F310,2)="70","Infraestrutura de Planta","Prédios e Instalações"),IF(K310="FPC",VLOOKUP(F310,[1]Info!$E$2:$F$11,2,0),IF(K310="FGP",VLOOKUP(F310,[1]Info!$E$9:$F$10,2,0),IF(K310="F10",VLOOKUP(F310,[1]Info!$E$2:$F$3,2,0),VLOOKUP(K310,[1]Info!$A$1:$B$21,2,0))))))</f>
        <v>Feller</v>
      </c>
    </row>
    <row r="311" spans="1:24" x14ac:dyDescent="0.35">
      <c r="A311" t="s">
        <v>41</v>
      </c>
      <c r="B311" t="s">
        <v>54</v>
      </c>
      <c r="C311" t="s">
        <v>55</v>
      </c>
      <c r="D311" t="s">
        <v>106</v>
      </c>
      <c r="E311" t="s">
        <v>107</v>
      </c>
      <c r="F311">
        <v>7098510</v>
      </c>
      <c r="G311" t="s">
        <v>61</v>
      </c>
      <c r="H311" t="s">
        <v>43</v>
      </c>
      <c r="I311" t="s">
        <v>44</v>
      </c>
      <c r="J311" t="s">
        <v>50</v>
      </c>
      <c r="K311" t="s">
        <v>11</v>
      </c>
      <c r="L311" t="s">
        <v>51</v>
      </c>
      <c r="M311" t="s">
        <v>486</v>
      </c>
      <c r="N311" t="s">
        <v>487</v>
      </c>
      <c r="O311" t="s">
        <v>488</v>
      </c>
      <c r="P311" t="s">
        <v>1292</v>
      </c>
      <c r="Q311" t="s">
        <v>46</v>
      </c>
      <c r="R311" t="s">
        <v>47</v>
      </c>
      <c r="S311" t="s">
        <v>1487</v>
      </c>
      <c r="T311" t="s">
        <v>1488</v>
      </c>
      <c r="U311" s="4">
        <v>92864.47</v>
      </c>
      <c r="V311" t="str">
        <f t="shared" si="4"/>
        <v>FF13</v>
      </c>
      <c r="W311" t="str">
        <f>VLOOKUP(K311,[1]Info!A$1:B$21,2,0)</f>
        <v>Feller</v>
      </c>
      <c r="X311" t="str">
        <f>IF(M311="109595132","Material de Limpeza-Não Avaliar",IF(AND(K311="F20",M311&lt;&gt;109595132),IF(RIGHT(F311,2)="70","Infraestrutura de Planta","Prédios e Instalações"),IF(K311="FPC",VLOOKUP(F311,[1]Info!$E$2:$F$11,2,0),IF(K311="FGP",VLOOKUP(F311,[1]Info!$E$9:$F$10,2,0),IF(K311="F10",VLOOKUP(F311,[1]Info!$E$2:$F$3,2,0),VLOOKUP(K311,[1]Info!$A$1:$B$21,2,0))))))</f>
        <v>Feller</v>
      </c>
    </row>
    <row r="312" spans="1:24" x14ac:dyDescent="0.35">
      <c r="A312" t="s">
        <v>41</v>
      </c>
      <c r="B312" t="s">
        <v>54</v>
      </c>
      <c r="C312" t="s">
        <v>55</v>
      </c>
      <c r="D312" t="s">
        <v>106</v>
      </c>
      <c r="E312" t="s">
        <v>107</v>
      </c>
      <c r="F312">
        <v>7098510</v>
      </c>
      <c r="G312" t="s">
        <v>61</v>
      </c>
      <c r="H312" t="s">
        <v>43</v>
      </c>
      <c r="I312" t="s">
        <v>44</v>
      </c>
      <c r="J312" t="s">
        <v>50</v>
      </c>
      <c r="K312" t="s">
        <v>11</v>
      </c>
      <c r="L312" t="s">
        <v>51</v>
      </c>
      <c r="M312" t="s">
        <v>486</v>
      </c>
      <c r="N312" t="s">
        <v>487</v>
      </c>
      <c r="O312" t="s">
        <v>488</v>
      </c>
      <c r="P312" t="s">
        <v>1292</v>
      </c>
      <c r="Q312" t="s">
        <v>46</v>
      </c>
      <c r="R312" t="s">
        <v>47</v>
      </c>
      <c r="S312" t="s">
        <v>1476</v>
      </c>
      <c r="T312" t="s">
        <v>1477</v>
      </c>
      <c r="U312" s="4">
        <v>4308.8900000000003</v>
      </c>
      <c r="V312" t="str">
        <f t="shared" si="4"/>
        <v>FF13</v>
      </c>
      <c r="W312" t="str">
        <f>VLOOKUP(K312,[1]Info!A$1:B$21,2,0)</f>
        <v>Feller</v>
      </c>
      <c r="X312" t="str">
        <f>IF(M312="109595132","Material de Limpeza-Não Avaliar",IF(AND(K312="F20",M312&lt;&gt;109595132),IF(RIGHT(F312,2)="70","Infraestrutura de Planta","Prédios e Instalações"),IF(K312="FPC",VLOOKUP(F312,[1]Info!$E$2:$F$11,2,0),IF(K312="FGP",VLOOKUP(F312,[1]Info!$E$9:$F$10,2,0),IF(K312="F10",VLOOKUP(F312,[1]Info!$E$2:$F$3,2,0),VLOOKUP(K312,[1]Info!$A$1:$B$21,2,0))))))</f>
        <v>Feller</v>
      </c>
    </row>
    <row r="313" spans="1:24" x14ac:dyDescent="0.35">
      <c r="A313" t="s">
        <v>41</v>
      </c>
      <c r="B313" t="s">
        <v>54</v>
      </c>
      <c r="C313" t="s">
        <v>55</v>
      </c>
      <c r="D313" t="s">
        <v>682</v>
      </c>
      <c r="E313" t="s">
        <v>683</v>
      </c>
      <c r="F313">
        <v>7098520</v>
      </c>
      <c r="G313" t="s">
        <v>58</v>
      </c>
      <c r="H313" t="s">
        <v>43</v>
      </c>
      <c r="I313" t="s">
        <v>44</v>
      </c>
      <c r="J313" t="s">
        <v>50</v>
      </c>
      <c r="K313" t="s">
        <v>12</v>
      </c>
      <c r="L313" t="s">
        <v>51</v>
      </c>
      <c r="M313" t="s">
        <v>549</v>
      </c>
      <c r="N313" t="s">
        <v>550</v>
      </c>
      <c r="O313" t="s">
        <v>60</v>
      </c>
      <c r="P313" t="s">
        <v>383</v>
      </c>
      <c r="Q313" t="s">
        <v>684</v>
      </c>
      <c r="R313" t="s">
        <v>685</v>
      </c>
      <c r="S313" t="s">
        <v>46</v>
      </c>
      <c r="T313" t="s">
        <v>46</v>
      </c>
      <c r="U313" s="4">
        <v>11.13</v>
      </c>
      <c r="V313" t="str">
        <f t="shared" si="4"/>
        <v>GT18</v>
      </c>
      <c r="W313" t="str">
        <f>VLOOKUP(K313,[1]Info!A$1:B$21,2,0)</f>
        <v>Garra Traçadora</v>
      </c>
      <c r="X313" t="str">
        <f>IF(M313="109595132","Material de Limpeza-Não Avaliar",IF(AND(K313="F20",M313&lt;&gt;109595132),IF(RIGHT(F313,2)="70","Infraestrutura de Planta","Prédios e Instalações"),IF(K313="FPC",VLOOKUP(F313,[1]Info!$E$2:$F$11,2,0),IF(K313="FGP",VLOOKUP(F313,[1]Info!$E$9:$F$10,2,0),IF(K313="F10",VLOOKUP(F313,[1]Info!$E$2:$F$3,2,0),VLOOKUP(K313,[1]Info!$A$1:$B$21,2,0))))))</f>
        <v>Garra Traçadora</v>
      </c>
    </row>
    <row r="314" spans="1:24" x14ac:dyDescent="0.35">
      <c r="A314" t="s">
        <v>41</v>
      </c>
      <c r="B314" t="s">
        <v>54</v>
      </c>
      <c r="C314" t="s">
        <v>55</v>
      </c>
      <c r="D314" t="s">
        <v>682</v>
      </c>
      <c r="E314" t="s">
        <v>683</v>
      </c>
      <c r="F314">
        <v>7098510</v>
      </c>
      <c r="G314" t="s">
        <v>61</v>
      </c>
      <c r="H314" t="s">
        <v>43</v>
      </c>
      <c r="I314" t="s">
        <v>44</v>
      </c>
      <c r="J314" t="s">
        <v>50</v>
      </c>
      <c r="K314" t="s">
        <v>11</v>
      </c>
      <c r="L314" t="s">
        <v>51</v>
      </c>
      <c r="M314" t="s">
        <v>517</v>
      </c>
      <c r="N314" t="s">
        <v>518</v>
      </c>
      <c r="O314" t="s">
        <v>63</v>
      </c>
      <c r="P314" t="s">
        <v>383</v>
      </c>
      <c r="Q314" t="s">
        <v>684</v>
      </c>
      <c r="R314" t="s">
        <v>685</v>
      </c>
      <c r="S314" t="s">
        <v>46</v>
      </c>
      <c r="T314" t="s">
        <v>46</v>
      </c>
      <c r="U314" s="4">
        <v>11.13</v>
      </c>
      <c r="V314" t="str">
        <f t="shared" si="4"/>
        <v>FF15</v>
      </c>
      <c r="W314" t="str">
        <f>VLOOKUP(K314,[1]Info!A$1:B$21,2,0)</f>
        <v>Feller</v>
      </c>
      <c r="X314" t="str">
        <f>IF(M314="109595132","Material de Limpeza-Não Avaliar",IF(AND(K314="F20",M314&lt;&gt;109595132),IF(RIGHT(F314,2)="70","Infraestrutura de Planta","Prédios e Instalações"),IF(K314="FPC",VLOOKUP(F314,[1]Info!$E$2:$F$11,2,0),IF(K314="FGP",VLOOKUP(F314,[1]Info!$E$9:$F$10,2,0),IF(K314="F10",VLOOKUP(F314,[1]Info!$E$2:$F$3,2,0),VLOOKUP(K314,[1]Info!$A$1:$B$21,2,0))))))</f>
        <v>Feller</v>
      </c>
    </row>
    <row r="315" spans="1:24" x14ac:dyDescent="0.35">
      <c r="A315" t="s">
        <v>41</v>
      </c>
      <c r="B315" t="s">
        <v>65</v>
      </c>
      <c r="C315" t="s">
        <v>66</v>
      </c>
      <c r="D315" t="s">
        <v>93</v>
      </c>
      <c r="E315" t="s">
        <v>56</v>
      </c>
      <c r="F315">
        <v>7097051</v>
      </c>
      <c r="G315" t="s">
        <v>67</v>
      </c>
      <c r="H315" t="s">
        <v>68</v>
      </c>
      <c r="I315" t="s">
        <v>69</v>
      </c>
      <c r="J315" t="s">
        <v>50</v>
      </c>
      <c r="K315" t="s">
        <v>10</v>
      </c>
      <c r="L315" t="s">
        <v>51</v>
      </c>
      <c r="M315" t="s">
        <v>1489</v>
      </c>
      <c r="N315" t="s">
        <v>1490</v>
      </c>
      <c r="O315" t="s">
        <v>700</v>
      </c>
      <c r="P315" t="s">
        <v>1292</v>
      </c>
      <c r="Q315" t="s">
        <v>46</v>
      </c>
      <c r="R315" t="s">
        <v>47</v>
      </c>
      <c r="S315" t="s">
        <v>46</v>
      </c>
      <c r="T315" t="s">
        <v>46</v>
      </c>
      <c r="U315" s="4">
        <v>131.63</v>
      </c>
      <c r="V315" t="str">
        <f t="shared" si="4"/>
        <v>CO10</v>
      </c>
      <c r="W315" t="str">
        <f>VLOOKUP(K315,[1]Info!A$1:B$21,2,0)</f>
        <v>Comboio e Oficina</v>
      </c>
      <c r="X315" t="str">
        <f>IF(M315="109595132","Material de Limpeza-Não Avaliar",IF(AND(K315="F20",M315&lt;&gt;109595132),IF(RIGHT(F315,2)="70","Infraestrutura de Planta","Prédios e Instalações"),IF(K315="FPC",VLOOKUP(F315,[1]Info!$E$2:$F$11,2,0),IF(K315="FGP",VLOOKUP(F315,[1]Info!$E$9:$F$10,2,0),IF(K315="F10",VLOOKUP(F315,[1]Info!$E$2:$F$3,2,0),VLOOKUP(K315,[1]Info!$A$1:$B$21,2,0))))))</f>
        <v>Comboio e Oficina</v>
      </c>
    </row>
    <row r="316" spans="1:24" x14ac:dyDescent="0.35">
      <c r="A316" t="s">
        <v>41</v>
      </c>
      <c r="B316" t="s">
        <v>65</v>
      </c>
      <c r="C316" t="s">
        <v>66</v>
      </c>
      <c r="D316" t="s">
        <v>93</v>
      </c>
      <c r="E316" t="s">
        <v>56</v>
      </c>
      <c r="F316">
        <v>7097051</v>
      </c>
      <c r="G316" t="s">
        <v>67</v>
      </c>
      <c r="H316" t="s">
        <v>68</v>
      </c>
      <c r="I316" t="s">
        <v>69</v>
      </c>
      <c r="J316" t="s">
        <v>50</v>
      </c>
      <c r="K316" t="s">
        <v>10</v>
      </c>
      <c r="L316" t="s">
        <v>51</v>
      </c>
      <c r="M316" t="s">
        <v>1491</v>
      </c>
      <c r="N316" t="s">
        <v>1492</v>
      </c>
      <c r="O316" t="s">
        <v>127</v>
      </c>
      <c r="P316" t="s">
        <v>1292</v>
      </c>
      <c r="Q316" t="s">
        <v>46</v>
      </c>
      <c r="R316" t="s">
        <v>47</v>
      </c>
      <c r="S316" t="s">
        <v>46</v>
      </c>
      <c r="T316" t="s">
        <v>46</v>
      </c>
      <c r="U316" s="4">
        <v>131.63</v>
      </c>
      <c r="V316" t="str">
        <f t="shared" si="4"/>
        <v>CO11</v>
      </c>
      <c r="W316" t="str">
        <f>VLOOKUP(K316,[1]Info!A$1:B$21,2,0)</f>
        <v>Comboio e Oficina</v>
      </c>
      <c r="X316" t="str">
        <f>IF(M316="109595132","Material de Limpeza-Não Avaliar",IF(AND(K316="F20",M316&lt;&gt;109595132),IF(RIGHT(F316,2)="70","Infraestrutura de Planta","Prédios e Instalações"),IF(K316="FPC",VLOOKUP(F316,[1]Info!$E$2:$F$11,2,0),IF(K316="FGP",VLOOKUP(F316,[1]Info!$E$9:$F$10,2,0),IF(K316="F10",VLOOKUP(F316,[1]Info!$E$2:$F$3,2,0),VLOOKUP(K316,[1]Info!$A$1:$B$21,2,0))))))</f>
        <v>Comboio e Oficina</v>
      </c>
    </row>
    <row r="317" spans="1:24" x14ac:dyDescent="0.35">
      <c r="A317" t="s">
        <v>41</v>
      </c>
      <c r="B317" t="s">
        <v>65</v>
      </c>
      <c r="C317" t="s">
        <v>66</v>
      </c>
      <c r="D317" t="s">
        <v>93</v>
      </c>
      <c r="E317" t="s">
        <v>56</v>
      </c>
      <c r="F317">
        <v>7097051</v>
      </c>
      <c r="G317" t="s">
        <v>67</v>
      </c>
      <c r="H317" t="s">
        <v>68</v>
      </c>
      <c r="I317" t="s">
        <v>69</v>
      </c>
      <c r="J317" t="s">
        <v>50</v>
      </c>
      <c r="K317" t="s">
        <v>10</v>
      </c>
      <c r="L317" t="s">
        <v>51</v>
      </c>
      <c r="M317" t="s">
        <v>1493</v>
      </c>
      <c r="N317" t="s">
        <v>1494</v>
      </c>
      <c r="O317" t="s">
        <v>138</v>
      </c>
      <c r="P317" t="s">
        <v>1292</v>
      </c>
      <c r="Q317" t="s">
        <v>46</v>
      </c>
      <c r="R317" t="s">
        <v>47</v>
      </c>
      <c r="S317" t="s">
        <v>46</v>
      </c>
      <c r="T317" t="s">
        <v>46</v>
      </c>
      <c r="U317" s="4">
        <v>131.63</v>
      </c>
      <c r="V317" t="str">
        <f t="shared" si="4"/>
        <v>CO12</v>
      </c>
      <c r="W317" t="str">
        <f>VLOOKUP(K317,[1]Info!A$1:B$21,2,0)</f>
        <v>Comboio e Oficina</v>
      </c>
      <c r="X317" t="str">
        <f>IF(M317="109595132","Material de Limpeza-Não Avaliar",IF(AND(K317="F20",M317&lt;&gt;109595132),IF(RIGHT(F317,2)="70","Infraestrutura de Planta","Prédios e Instalações"),IF(K317="FPC",VLOOKUP(F317,[1]Info!$E$2:$F$11,2,0),IF(K317="FGP",VLOOKUP(F317,[1]Info!$E$9:$F$10,2,0),IF(K317="F10",VLOOKUP(F317,[1]Info!$E$2:$F$3,2,0),VLOOKUP(K317,[1]Info!$A$1:$B$21,2,0))))))</f>
        <v>Comboio e Oficina</v>
      </c>
    </row>
    <row r="318" spans="1:24" x14ac:dyDescent="0.35">
      <c r="A318" t="s">
        <v>41</v>
      </c>
      <c r="B318" t="s">
        <v>65</v>
      </c>
      <c r="C318" t="s">
        <v>66</v>
      </c>
      <c r="D318" t="s">
        <v>96</v>
      </c>
      <c r="E318" t="s">
        <v>64</v>
      </c>
      <c r="F318">
        <v>7097051</v>
      </c>
      <c r="G318" t="s">
        <v>67</v>
      </c>
      <c r="H318" t="s">
        <v>68</v>
      </c>
      <c r="I318" t="s">
        <v>69</v>
      </c>
      <c r="J318" t="s">
        <v>50</v>
      </c>
      <c r="K318" t="s">
        <v>10</v>
      </c>
      <c r="L318" t="s">
        <v>51</v>
      </c>
      <c r="M318" t="s">
        <v>370</v>
      </c>
      <c r="N318" t="s">
        <v>371</v>
      </c>
      <c r="O318" t="s">
        <v>166</v>
      </c>
      <c r="P318" t="s">
        <v>383</v>
      </c>
      <c r="Q318" t="s">
        <v>686</v>
      </c>
      <c r="R318" t="s">
        <v>687</v>
      </c>
      <c r="S318" t="s">
        <v>46</v>
      </c>
      <c r="T318" t="s">
        <v>46</v>
      </c>
      <c r="U318" s="4">
        <v>217.83</v>
      </c>
      <c r="V318" t="str">
        <f t="shared" si="4"/>
        <v>CC06</v>
      </c>
      <c r="W318" t="str">
        <f>VLOOKUP(K318,[1]Info!A$1:B$21,2,0)</f>
        <v>Comboio e Oficina</v>
      </c>
      <c r="X318" t="str">
        <f>IF(M318="109595132","Material de Limpeza-Não Avaliar",IF(AND(K318="F20",M318&lt;&gt;109595132),IF(RIGHT(F318,2)="70","Infraestrutura de Planta","Prédios e Instalações"),IF(K318="FPC",VLOOKUP(F318,[1]Info!$E$2:$F$11,2,0),IF(K318="FGP",VLOOKUP(F318,[1]Info!$E$9:$F$10,2,0),IF(K318="F10",VLOOKUP(F318,[1]Info!$E$2:$F$3,2,0),VLOOKUP(K318,[1]Info!$A$1:$B$21,2,0))))))</f>
        <v>Comboio e Oficina</v>
      </c>
    </row>
    <row r="319" spans="1:24" x14ac:dyDescent="0.35">
      <c r="A319" t="s">
        <v>41</v>
      </c>
      <c r="B319" t="s">
        <v>65</v>
      </c>
      <c r="C319" t="s">
        <v>66</v>
      </c>
      <c r="D319" t="s">
        <v>96</v>
      </c>
      <c r="E319" t="s">
        <v>64</v>
      </c>
      <c r="F319">
        <v>7097051</v>
      </c>
      <c r="G319" t="s">
        <v>67</v>
      </c>
      <c r="H319" t="s">
        <v>68</v>
      </c>
      <c r="I319" t="s">
        <v>69</v>
      </c>
      <c r="J319" t="s">
        <v>50</v>
      </c>
      <c r="K319" t="s">
        <v>10</v>
      </c>
      <c r="L319" t="s">
        <v>51</v>
      </c>
      <c r="M319" t="s">
        <v>271</v>
      </c>
      <c r="N319" t="s">
        <v>272</v>
      </c>
      <c r="O319" t="s">
        <v>273</v>
      </c>
      <c r="P319" t="s">
        <v>383</v>
      </c>
      <c r="Q319" t="s">
        <v>274</v>
      </c>
      <c r="R319" t="s">
        <v>275</v>
      </c>
      <c r="S319" t="s">
        <v>46</v>
      </c>
      <c r="T319" t="s">
        <v>46</v>
      </c>
      <c r="U319" s="4">
        <v>406.48</v>
      </c>
      <c r="V319" t="str">
        <f t="shared" si="4"/>
        <v>0030</v>
      </c>
      <c r="W319" t="str">
        <f>VLOOKUP(K319,[1]Info!A$1:B$21,2,0)</f>
        <v>Comboio e Oficina</v>
      </c>
      <c r="X319" t="str">
        <f>IF(M319="109595132","Material de Limpeza-Não Avaliar",IF(AND(K319="F20",M319&lt;&gt;109595132),IF(RIGHT(F319,2)="70","Infraestrutura de Planta","Prédios e Instalações"),IF(K319="FPC",VLOOKUP(F319,[1]Info!$E$2:$F$11,2,0),IF(K319="FGP",VLOOKUP(F319,[1]Info!$E$9:$F$10,2,0),IF(K319="F10",VLOOKUP(F319,[1]Info!$E$2:$F$3,2,0),VLOOKUP(K319,[1]Info!$A$1:$B$21,2,0))))))</f>
        <v>Comboio e Oficina</v>
      </c>
    </row>
    <row r="320" spans="1:24" x14ac:dyDescent="0.35">
      <c r="A320" t="s">
        <v>41</v>
      </c>
      <c r="B320" t="s">
        <v>65</v>
      </c>
      <c r="C320" t="s">
        <v>66</v>
      </c>
      <c r="D320" t="s">
        <v>94</v>
      </c>
      <c r="E320" t="s">
        <v>52</v>
      </c>
      <c r="F320">
        <v>7097051</v>
      </c>
      <c r="G320" t="s">
        <v>67</v>
      </c>
      <c r="H320" t="s">
        <v>68</v>
      </c>
      <c r="I320" t="s">
        <v>69</v>
      </c>
      <c r="J320" t="s">
        <v>50</v>
      </c>
      <c r="K320" t="s">
        <v>10</v>
      </c>
      <c r="L320" t="s">
        <v>51</v>
      </c>
      <c r="M320" t="s">
        <v>1495</v>
      </c>
      <c r="N320" t="s">
        <v>1496</v>
      </c>
      <c r="O320" t="s">
        <v>700</v>
      </c>
      <c r="P320" t="s">
        <v>1292</v>
      </c>
      <c r="Q320" t="s">
        <v>46</v>
      </c>
      <c r="R320" t="s">
        <v>47</v>
      </c>
      <c r="S320" t="s">
        <v>46</v>
      </c>
      <c r="T320" t="s">
        <v>46</v>
      </c>
      <c r="U320" s="4">
        <v>2524.23</v>
      </c>
      <c r="V320" t="str">
        <f t="shared" si="4"/>
        <v>CO10</v>
      </c>
      <c r="W320" t="str">
        <f>VLOOKUP(K320,[1]Info!A$1:B$21,2,0)</f>
        <v>Comboio e Oficina</v>
      </c>
      <c r="X320" t="str">
        <f>IF(M320="109595132","Material de Limpeza-Não Avaliar",IF(AND(K320="F20",M320&lt;&gt;109595132),IF(RIGHT(F320,2)="70","Infraestrutura de Planta","Prédios e Instalações"),IF(K320="FPC",VLOOKUP(F320,[1]Info!$E$2:$F$11,2,0),IF(K320="FGP",VLOOKUP(F320,[1]Info!$E$9:$F$10,2,0),IF(K320="F10",VLOOKUP(F320,[1]Info!$E$2:$F$3,2,0),VLOOKUP(K320,[1]Info!$A$1:$B$21,2,0))))))</f>
        <v>Comboio e Oficina</v>
      </c>
    </row>
    <row r="321" spans="1:24" x14ac:dyDescent="0.35">
      <c r="A321" t="s">
        <v>41</v>
      </c>
      <c r="B321" t="s">
        <v>65</v>
      </c>
      <c r="C321" t="s">
        <v>66</v>
      </c>
      <c r="D321" t="s">
        <v>94</v>
      </c>
      <c r="E321" t="s">
        <v>52</v>
      </c>
      <c r="F321">
        <v>7097051</v>
      </c>
      <c r="G321" t="s">
        <v>67</v>
      </c>
      <c r="H321" t="s">
        <v>68</v>
      </c>
      <c r="I321" t="s">
        <v>69</v>
      </c>
      <c r="J321" t="s">
        <v>50</v>
      </c>
      <c r="K321" t="s">
        <v>10</v>
      </c>
      <c r="L321" t="s">
        <v>51</v>
      </c>
      <c r="M321" t="s">
        <v>688</v>
      </c>
      <c r="N321" t="s">
        <v>689</v>
      </c>
      <c r="O321" t="s">
        <v>690</v>
      </c>
      <c r="P321" t="s">
        <v>383</v>
      </c>
      <c r="Q321" t="s">
        <v>691</v>
      </c>
      <c r="R321" t="s">
        <v>692</v>
      </c>
      <c r="S321" t="s">
        <v>46</v>
      </c>
      <c r="T321" t="s">
        <v>46</v>
      </c>
      <c r="U321" s="4">
        <v>10818.07</v>
      </c>
      <c r="V321" t="str">
        <f t="shared" si="4"/>
        <v>CC07</v>
      </c>
      <c r="W321" t="str">
        <f>VLOOKUP(K321,[1]Info!A$1:B$21,2,0)</f>
        <v>Comboio e Oficina</v>
      </c>
      <c r="X321" t="str">
        <f>IF(M321="109595132","Material de Limpeza-Não Avaliar",IF(AND(K321="F20",M321&lt;&gt;109595132),IF(RIGHT(F321,2)="70","Infraestrutura de Planta","Prédios e Instalações"),IF(K321="FPC",VLOOKUP(F321,[1]Info!$E$2:$F$11,2,0),IF(K321="FGP",VLOOKUP(F321,[1]Info!$E$9:$F$10,2,0),IF(K321="F10",VLOOKUP(F321,[1]Info!$E$2:$F$3,2,0),VLOOKUP(K321,[1]Info!$A$1:$B$21,2,0))))))</f>
        <v>Comboio e Oficina</v>
      </c>
    </row>
    <row r="322" spans="1:24" x14ac:dyDescent="0.35">
      <c r="A322" t="s">
        <v>41</v>
      </c>
      <c r="B322" t="s">
        <v>65</v>
      </c>
      <c r="C322" t="s">
        <v>66</v>
      </c>
      <c r="D322" t="s">
        <v>94</v>
      </c>
      <c r="E322" t="s">
        <v>52</v>
      </c>
      <c r="F322">
        <v>7097051</v>
      </c>
      <c r="G322" t="s">
        <v>67</v>
      </c>
      <c r="H322" t="s">
        <v>68</v>
      </c>
      <c r="I322" t="s">
        <v>69</v>
      </c>
      <c r="J322" t="s">
        <v>50</v>
      </c>
      <c r="K322" t="s">
        <v>10</v>
      </c>
      <c r="L322" t="s">
        <v>51</v>
      </c>
      <c r="M322" t="s">
        <v>693</v>
      </c>
      <c r="N322" t="s">
        <v>694</v>
      </c>
      <c r="O322" t="s">
        <v>695</v>
      </c>
      <c r="P322" t="s">
        <v>383</v>
      </c>
      <c r="Q322" t="s">
        <v>691</v>
      </c>
      <c r="R322" t="s">
        <v>692</v>
      </c>
      <c r="S322" t="s">
        <v>46</v>
      </c>
      <c r="T322" t="s">
        <v>46</v>
      </c>
      <c r="U322" s="4">
        <v>10818.07</v>
      </c>
      <c r="V322" t="str">
        <f t="shared" si="4"/>
        <v>CC08</v>
      </c>
      <c r="W322" t="str">
        <f>VLOOKUP(K322,[1]Info!A$1:B$21,2,0)</f>
        <v>Comboio e Oficina</v>
      </c>
      <c r="X322" t="str">
        <f>IF(M322="109595132","Material de Limpeza-Não Avaliar",IF(AND(K322="F20",M322&lt;&gt;109595132),IF(RIGHT(F322,2)="70","Infraestrutura de Planta","Prédios e Instalações"),IF(K322="FPC",VLOOKUP(F322,[1]Info!$E$2:$F$11,2,0),IF(K322="FGP",VLOOKUP(F322,[1]Info!$E$9:$F$10,2,0),IF(K322="F10",VLOOKUP(F322,[1]Info!$E$2:$F$3,2,0),VLOOKUP(K322,[1]Info!$A$1:$B$21,2,0))))))</f>
        <v>Comboio e Oficina</v>
      </c>
    </row>
    <row r="323" spans="1:24" x14ac:dyDescent="0.35">
      <c r="A323" t="s">
        <v>41</v>
      </c>
      <c r="B323" t="s">
        <v>65</v>
      </c>
      <c r="C323" t="s">
        <v>66</v>
      </c>
      <c r="D323" t="s">
        <v>94</v>
      </c>
      <c r="E323" t="s">
        <v>52</v>
      </c>
      <c r="F323">
        <v>7097051</v>
      </c>
      <c r="G323" t="s">
        <v>67</v>
      </c>
      <c r="H323" t="s">
        <v>68</v>
      </c>
      <c r="I323" t="s">
        <v>69</v>
      </c>
      <c r="J323" t="s">
        <v>50</v>
      </c>
      <c r="K323" t="s">
        <v>10</v>
      </c>
      <c r="L323" t="s">
        <v>51</v>
      </c>
      <c r="M323" t="s">
        <v>696</v>
      </c>
      <c r="N323" t="s">
        <v>697</v>
      </c>
      <c r="O323" t="s">
        <v>166</v>
      </c>
      <c r="P323" t="s">
        <v>383</v>
      </c>
      <c r="Q323" t="s">
        <v>691</v>
      </c>
      <c r="R323" t="s">
        <v>692</v>
      </c>
      <c r="S323" t="s">
        <v>46</v>
      </c>
      <c r="T323" t="s">
        <v>46</v>
      </c>
      <c r="U323" s="4">
        <v>10818.07</v>
      </c>
      <c r="V323" t="str">
        <f t="shared" si="4"/>
        <v>CC06</v>
      </c>
      <c r="W323" t="str">
        <f>VLOOKUP(K323,[1]Info!A$1:B$21,2,0)</f>
        <v>Comboio e Oficina</v>
      </c>
      <c r="X323" t="str">
        <f>IF(M323="109595132","Material de Limpeza-Não Avaliar",IF(AND(K323="F20",M323&lt;&gt;109595132),IF(RIGHT(F323,2)="70","Infraestrutura de Planta","Prédios e Instalações"),IF(K323="FPC",VLOOKUP(F323,[1]Info!$E$2:$F$11,2,0),IF(K323="FGP",VLOOKUP(F323,[1]Info!$E$9:$F$10,2,0),IF(K323="F10",VLOOKUP(F323,[1]Info!$E$2:$F$3,2,0),VLOOKUP(K323,[1]Info!$A$1:$B$21,2,0))))))</f>
        <v>Comboio e Oficina</v>
      </c>
    </row>
    <row r="324" spans="1:24" x14ac:dyDescent="0.35">
      <c r="A324" t="s">
        <v>41</v>
      </c>
      <c r="B324" t="s">
        <v>65</v>
      </c>
      <c r="C324" t="s">
        <v>66</v>
      </c>
      <c r="D324" t="s">
        <v>94</v>
      </c>
      <c r="E324" t="s">
        <v>52</v>
      </c>
      <c r="F324">
        <v>7097051</v>
      </c>
      <c r="G324" t="s">
        <v>67</v>
      </c>
      <c r="H324" t="s">
        <v>68</v>
      </c>
      <c r="I324" t="s">
        <v>69</v>
      </c>
      <c r="J324" t="s">
        <v>50</v>
      </c>
      <c r="K324" t="s">
        <v>10</v>
      </c>
      <c r="L324" t="s">
        <v>51</v>
      </c>
      <c r="M324" t="s">
        <v>698</v>
      </c>
      <c r="N324" t="s">
        <v>699</v>
      </c>
      <c r="O324" t="s">
        <v>700</v>
      </c>
      <c r="P324" t="s">
        <v>383</v>
      </c>
      <c r="Q324" t="s">
        <v>691</v>
      </c>
      <c r="R324" t="s">
        <v>692</v>
      </c>
      <c r="S324" t="s">
        <v>46</v>
      </c>
      <c r="T324" t="s">
        <v>46</v>
      </c>
      <c r="U324" s="4">
        <v>10818.07</v>
      </c>
      <c r="V324" t="str">
        <f t="shared" ref="V324:V387" si="5">RIGHT(O324,4)</f>
        <v>CO10</v>
      </c>
      <c r="W324" t="str">
        <f>VLOOKUP(K324,[1]Info!A$1:B$21,2,0)</f>
        <v>Comboio e Oficina</v>
      </c>
      <c r="X324" t="str">
        <f>IF(M324="109595132","Material de Limpeza-Não Avaliar",IF(AND(K324="F20",M324&lt;&gt;109595132),IF(RIGHT(F324,2)="70","Infraestrutura de Planta","Prédios e Instalações"),IF(K324="FPC",VLOOKUP(F324,[1]Info!$E$2:$F$11,2,0),IF(K324="FGP",VLOOKUP(F324,[1]Info!$E$9:$F$10,2,0),IF(K324="F10",VLOOKUP(F324,[1]Info!$E$2:$F$3,2,0),VLOOKUP(K324,[1]Info!$A$1:$B$21,2,0))))))</f>
        <v>Comboio e Oficina</v>
      </c>
    </row>
    <row r="325" spans="1:24" x14ac:dyDescent="0.35">
      <c r="A325" t="s">
        <v>41</v>
      </c>
      <c r="B325" t="s">
        <v>65</v>
      </c>
      <c r="C325" t="s">
        <v>66</v>
      </c>
      <c r="D325" t="s">
        <v>94</v>
      </c>
      <c r="E325" t="s">
        <v>52</v>
      </c>
      <c r="F325">
        <v>7097051</v>
      </c>
      <c r="G325" t="s">
        <v>67</v>
      </c>
      <c r="H325" t="s">
        <v>68</v>
      </c>
      <c r="I325" t="s">
        <v>69</v>
      </c>
      <c r="J325" t="s">
        <v>50</v>
      </c>
      <c r="K325" t="s">
        <v>10</v>
      </c>
      <c r="L325" t="s">
        <v>51</v>
      </c>
      <c r="M325" t="s">
        <v>701</v>
      </c>
      <c r="N325" t="s">
        <v>702</v>
      </c>
      <c r="O325" t="s">
        <v>118</v>
      </c>
      <c r="P325" t="s">
        <v>383</v>
      </c>
      <c r="Q325" t="s">
        <v>691</v>
      </c>
      <c r="R325" t="s">
        <v>692</v>
      </c>
      <c r="S325" t="s">
        <v>46</v>
      </c>
      <c r="T325" t="s">
        <v>46</v>
      </c>
      <c r="U325" s="4">
        <v>10818.07</v>
      </c>
      <c r="V325" t="str">
        <f t="shared" si="5"/>
        <v>CC09</v>
      </c>
      <c r="W325" t="str">
        <f>VLOOKUP(K325,[1]Info!A$1:B$21,2,0)</f>
        <v>Comboio e Oficina</v>
      </c>
      <c r="X325" t="str">
        <f>IF(M325="109595132","Material de Limpeza-Não Avaliar",IF(AND(K325="F20",M325&lt;&gt;109595132),IF(RIGHT(F325,2)="70","Infraestrutura de Planta","Prédios e Instalações"),IF(K325="FPC",VLOOKUP(F325,[1]Info!$E$2:$F$11,2,0),IF(K325="FGP",VLOOKUP(F325,[1]Info!$E$9:$F$10,2,0),IF(K325="F10",VLOOKUP(F325,[1]Info!$E$2:$F$3,2,0),VLOOKUP(K325,[1]Info!$A$1:$B$21,2,0))))))</f>
        <v>Comboio e Oficina</v>
      </c>
    </row>
    <row r="326" spans="1:24" x14ac:dyDescent="0.35">
      <c r="A326" t="s">
        <v>41</v>
      </c>
      <c r="B326" t="s">
        <v>65</v>
      </c>
      <c r="C326" t="s">
        <v>66</v>
      </c>
      <c r="D326" t="s">
        <v>94</v>
      </c>
      <c r="E326" t="s">
        <v>52</v>
      </c>
      <c r="F326">
        <v>7097051</v>
      </c>
      <c r="G326" t="s">
        <v>67</v>
      </c>
      <c r="H326" t="s">
        <v>68</v>
      </c>
      <c r="I326" t="s">
        <v>69</v>
      </c>
      <c r="J326" t="s">
        <v>50</v>
      </c>
      <c r="K326" t="s">
        <v>10</v>
      </c>
      <c r="L326" t="s">
        <v>51</v>
      </c>
      <c r="M326" t="s">
        <v>323</v>
      </c>
      <c r="N326" t="s">
        <v>324</v>
      </c>
      <c r="O326" t="s">
        <v>127</v>
      </c>
      <c r="P326" t="s">
        <v>1292</v>
      </c>
      <c r="Q326" t="s">
        <v>46</v>
      </c>
      <c r="R326" t="s">
        <v>47</v>
      </c>
      <c r="S326" t="s">
        <v>46</v>
      </c>
      <c r="T326" t="s">
        <v>46</v>
      </c>
      <c r="U326" s="4">
        <v>602.94000000000005</v>
      </c>
      <c r="V326" t="str">
        <f t="shared" si="5"/>
        <v>CO11</v>
      </c>
      <c r="W326" t="str">
        <f>VLOOKUP(K326,[1]Info!A$1:B$21,2,0)</f>
        <v>Comboio e Oficina</v>
      </c>
      <c r="X326" t="str">
        <f>IF(M326="109595132","Material de Limpeza-Não Avaliar",IF(AND(K326="F20",M326&lt;&gt;109595132),IF(RIGHT(F326,2)="70","Infraestrutura de Planta","Prédios e Instalações"),IF(K326="FPC",VLOOKUP(F326,[1]Info!$E$2:$F$11,2,0),IF(K326="FGP",VLOOKUP(F326,[1]Info!$E$9:$F$10,2,0),IF(K326="F10",VLOOKUP(F326,[1]Info!$E$2:$F$3,2,0),VLOOKUP(K326,[1]Info!$A$1:$B$21,2,0))))))</f>
        <v>Comboio e Oficina</v>
      </c>
    </row>
    <row r="327" spans="1:24" x14ac:dyDescent="0.35">
      <c r="A327" t="s">
        <v>41</v>
      </c>
      <c r="B327" t="s">
        <v>65</v>
      </c>
      <c r="C327" t="s">
        <v>66</v>
      </c>
      <c r="D327" t="s">
        <v>94</v>
      </c>
      <c r="E327" t="s">
        <v>52</v>
      </c>
      <c r="F327">
        <v>7097051</v>
      </c>
      <c r="G327" t="s">
        <v>67</v>
      </c>
      <c r="H327" t="s">
        <v>68</v>
      </c>
      <c r="I327" t="s">
        <v>69</v>
      </c>
      <c r="J327" t="s">
        <v>50</v>
      </c>
      <c r="K327" t="s">
        <v>10</v>
      </c>
      <c r="L327" t="s">
        <v>51</v>
      </c>
      <c r="M327" t="s">
        <v>254</v>
      </c>
      <c r="N327" t="s">
        <v>255</v>
      </c>
      <c r="O327" t="s">
        <v>138</v>
      </c>
      <c r="P327" t="s">
        <v>1292</v>
      </c>
      <c r="Q327" t="s">
        <v>46</v>
      </c>
      <c r="R327" t="s">
        <v>47</v>
      </c>
      <c r="S327" t="s">
        <v>46</v>
      </c>
      <c r="T327" t="s">
        <v>46</v>
      </c>
      <c r="U327" s="4">
        <v>199.86</v>
      </c>
      <c r="V327" t="str">
        <f t="shared" si="5"/>
        <v>CO12</v>
      </c>
      <c r="W327" t="str">
        <f>VLOOKUP(K327,[1]Info!A$1:B$21,2,0)</f>
        <v>Comboio e Oficina</v>
      </c>
      <c r="X327" t="str">
        <f>IF(M327="109595132","Material de Limpeza-Não Avaliar",IF(AND(K327="F20",M327&lt;&gt;109595132),IF(RIGHT(F327,2)="70","Infraestrutura de Planta","Prédios e Instalações"),IF(K327="FPC",VLOOKUP(F327,[1]Info!$E$2:$F$11,2,0),IF(K327="FGP",VLOOKUP(F327,[1]Info!$E$9:$F$10,2,0),IF(K327="F10",VLOOKUP(F327,[1]Info!$E$2:$F$3,2,0),VLOOKUP(K327,[1]Info!$A$1:$B$21,2,0))))))</f>
        <v>Comboio e Oficina</v>
      </c>
    </row>
    <row r="328" spans="1:24" x14ac:dyDescent="0.35">
      <c r="A328" t="s">
        <v>41</v>
      </c>
      <c r="B328" t="s">
        <v>65</v>
      </c>
      <c r="C328" t="s">
        <v>66</v>
      </c>
      <c r="D328" t="s">
        <v>94</v>
      </c>
      <c r="E328" t="s">
        <v>52</v>
      </c>
      <c r="F328">
        <v>7097051</v>
      </c>
      <c r="G328" t="s">
        <v>67</v>
      </c>
      <c r="H328" t="s">
        <v>68</v>
      </c>
      <c r="I328" t="s">
        <v>69</v>
      </c>
      <c r="J328" t="s">
        <v>50</v>
      </c>
      <c r="K328" t="s">
        <v>10</v>
      </c>
      <c r="L328" t="s">
        <v>51</v>
      </c>
      <c r="M328" t="s">
        <v>1497</v>
      </c>
      <c r="N328" t="s">
        <v>1498</v>
      </c>
      <c r="O328" t="s">
        <v>138</v>
      </c>
      <c r="P328" t="s">
        <v>1292</v>
      </c>
      <c r="Q328" t="s">
        <v>46</v>
      </c>
      <c r="R328" t="s">
        <v>47</v>
      </c>
      <c r="S328" t="s">
        <v>46</v>
      </c>
      <c r="T328" t="s">
        <v>46</v>
      </c>
      <c r="U328" s="4">
        <v>335</v>
      </c>
      <c r="V328" t="str">
        <f t="shared" si="5"/>
        <v>CO12</v>
      </c>
      <c r="W328" t="str">
        <f>VLOOKUP(K328,[1]Info!A$1:B$21,2,0)</f>
        <v>Comboio e Oficina</v>
      </c>
      <c r="X328" t="str">
        <f>IF(M328="109595132","Material de Limpeza-Não Avaliar",IF(AND(K328="F20",M328&lt;&gt;109595132),IF(RIGHT(F328,2)="70","Infraestrutura de Planta","Prédios e Instalações"),IF(K328="FPC",VLOOKUP(F328,[1]Info!$E$2:$F$11,2,0),IF(K328="FGP",VLOOKUP(F328,[1]Info!$E$9:$F$10,2,0),IF(K328="F10",VLOOKUP(F328,[1]Info!$E$2:$F$3,2,0),VLOOKUP(K328,[1]Info!$A$1:$B$21,2,0))))))</f>
        <v>Comboio e Oficina</v>
      </c>
    </row>
    <row r="329" spans="1:24" x14ac:dyDescent="0.35">
      <c r="A329" t="s">
        <v>41</v>
      </c>
      <c r="B329" t="s">
        <v>65</v>
      </c>
      <c r="C329" t="s">
        <v>66</v>
      </c>
      <c r="D329" t="s">
        <v>94</v>
      </c>
      <c r="E329" t="s">
        <v>52</v>
      </c>
      <c r="F329">
        <v>7097051</v>
      </c>
      <c r="G329" t="s">
        <v>67</v>
      </c>
      <c r="H329" t="s">
        <v>68</v>
      </c>
      <c r="I329" t="s">
        <v>69</v>
      </c>
      <c r="J329" t="s">
        <v>50</v>
      </c>
      <c r="K329" t="s">
        <v>10</v>
      </c>
      <c r="L329" t="s">
        <v>51</v>
      </c>
      <c r="M329" t="s">
        <v>1499</v>
      </c>
      <c r="N329" t="s">
        <v>1500</v>
      </c>
      <c r="O329" t="s">
        <v>700</v>
      </c>
      <c r="P329" t="s">
        <v>1292</v>
      </c>
      <c r="Q329" t="s">
        <v>46</v>
      </c>
      <c r="R329" t="s">
        <v>47</v>
      </c>
      <c r="S329" t="s">
        <v>46</v>
      </c>
      <c r="T329" t="s">
        <v>46</v>
      </c>
      <c r="U329" s="4">
        <v>982.56</v>
      </c>
      <c r="V329" t="str">
        <f t="shared" si="5"/>
        <v>CO10</v>
      </c>
      <c r="W329" t="str">
        <f>VLOOKUP(K329,[1]Info!A$1:B$21,2,0)</f>
        <v>Comboio e Oficina</v>
      </c>
      <c r="X329" t="str">
        <f>IF(M329="109595132","Material de Limpeza-Não Avaliar",IF(AND(K329="F20",M329&lt;&gt;109595132),IF(RIGHT(F329,2)="70","Infraestrutura de Planta","Prédios e Instalações"),IF(K329="FPC",VLOOKUP(F329,[1]Info!$E$2:$F$11,2,0),IF(K329="FGP",VLOOKUP(F329,[1]Info!$E$9:$F$10,2,0),IF(K329="F10",VLOOKUP(F329,[1]Info!$E$2:$F$3,2,0),VLOOKUP(K329,[1]Info!$A$1:$B$21,2,0))))))</f>
        <v>Comboio e Oficina</v>
      </c>
    </row>
    <row r="330" spans="1:24" x14ac:dyDescent="0.35">
      <c r="A330" t="s">
        <v>41</v>
      </c>
      <c r="B330" t="s">
        <v>65</v>
      </c>
      <c r="C330" t="s">
        <v>66</v>
      </c>
      <c r="D330" t="s">
        <v>94</v>
      </c>
      <c r="E330" t="s">
        <v>52</v>
      </c>
      <c r="F330">
        <v>7097051</v>
      </c>
      <c r="G330" t="s">
        <v>67</v>
      </c>
      <c r="H330" t="s">
        <v>68</v>
      </c>
      <c r="I330" t="s">
        <v>69</v>
      </c>
      <c r="J330" t="s">
        <v>50</v>
      </c>
      <c r="K330" t="s">
        <v>10</v>
      </c>
      <c r="L330" t="s">
        <v>51</v>
      </c>
      <c r="M330" t="s">
        <v>1501</v>
      </c>
      <c r="N330" t="s">
        <v>1502</v>
      </c>
      <c r="O330" t="s">
        <v>1503</v>
      </c>
      <c r="P330" t="s">
        <v>1292</v>
      </c>
      <c r="Q330" t="s">
        <v>46</v>
      </c>
      <c r="R330" t="s">
        <v>47</v>
      </c>
      <c r="S330" t="s">
        <v>46</v>
      </c>
      <c r="T330" t="s">
        <v>46</v>
      </c>
      <c r="U330" s="4">
        <v>2992.96</v>
      </c>
      <c r="V330" t="str">
        <f t="shared" si="5"/>
        <v>SI03</v>
      </c>
      <c r="W330" t="str">
        <f>VLOOKUP(K330,[1]Info!A$1:B$21,2,0)</f>
        <v>Comboio e Oficina</v>
      </c>
      <c r="X330" t="str">
        <f>IF(M330="109595132","Material de Limpeza-Não Avaliar",IF(AND(K330="F20",M330&lt;&gt;109595132),IF(RIGHT(F330,2)="70","Infraestrutura de Planta","Prédios e Instalações"),IF(K330="FPC",VLOOKUP(F330,[1]Info!$E$2:$F$11,2,0),IF(K330="FGP",VLOOKUP(F330,[1]Info!$E$9:$F$10,2,0),IF(K330="F10",VLOOKUP(F330,[1]Info!$E$2:$F$3,2,0),VLOOKUP(K330,[1]Info!$A$1:$B$21,2,0))))))</f>
        <v>Comboio e Oficina</v>
      </c>
    </row>
    <row r="331" spans="1:24" x14ac:dyDescent="0.35">
      <c r="A331" t="s">
        <v>41</v>
      </c>
      <c r="B331" t="s">
        <v>65</v>
      </c>
      <c r="C331" t="s">
        <v>66</v>
      </c>
      <c r="D331" t="s">
        <v>94</v>
      </c>
      <c r="E331" t="s">
        <v>52</v>
      </c>
      <c r="F331">
        <v>7097051</v>
      </c>
      <c r="G331" t="s">
        <v>67</v>
      </c>
      <c r="H331" t="s">
        <v>68</v>
      </c>
      <c r="I331" t="s">
        <v>69</v>
      </c>
      <c r="J331" t="s">
        <v>50</v>
      </c>
      <c r="K331" t="s">
        <v>10</v>
      </c>
      <c r="L331" t="s">
        <v>51</v>
      </c>
      <c r="M331" t="s">
        <v>1504</v>
      </c>
      <c r="N331" t="s">
        <v>1505</v>
      </c>
      <c r="O331" t="s">
        <v>1506</v>
      </c>
      <c r="P331" t="s">
        <v>1292</v>
      </c>
      <c r="Q331" t="s">
        <v>46</v>
      </c>
      <c r="R331" t="s">
        <v>47</v>
      </c>
      <c r="S331" t="s">
        <v>46</v>
      </c>
      <c r="T331" t="s">
        <v>46</v>
      </c>
      <c r="U331" s="4">
        <v>1606.91</v>
      </c>
      <c r="V331" t="str">
        <f t="shared" si="5"/>
        <v>0010</v>
      </c>
      <c r="W331" t="str">
        <f>VLOOKUP(K331,[1]Info!A$1:B$21,2,0)</f>
        <v>Comboio e Oficina</v>
      </c>
      <c r="X331" t="str">
        <f>IF(M331="109595132","Material de Limpeza-Não Avaliar",IF(AND(K331="F20",M331&lt;&gt;109595132),IF(RIGHT(F331,2)="70","Infraestrutura de Planta","Prédios e Instalações"),IF(K331="FPC",VLOOKUP(F331,[1]Info!$E$2:$F$11,2,0),IF(K331="FGP",VLOOKUP(F331,[1]Info!$E$9:$F$10,2,0),IF(K331="F10",VLOOKUP(F331,[1]Info!$E$2:$F$3,2,0),VLOOKUP(K331,[1]Info!$A$1:$B$21,2,0))))))</f>
        <v>Comboio e Oficina</v>
      </c>
    </row>
    <row r="332" spans="1:24" x14ac:dyDescent="0.35">
      <c r="A332" t="s">
        <v>41</v>
      </c>
      <c r="B332" t="s">
        <v>65</v>
      </c>
      <c r="C332" t="s">
        <v>66</v>
      </c>
      <c r="D332" t="s">
        <v>94</v>
      </c>
      <c r="E332" t="s">
        <v>52</v>
      </c>
      <c r="F332">
        <v>7097051</v>
      </c>
      <c r="G332" t="s">
        <v>67</v>
      </c>
      <c r="H332" t="s">
        <v>68</v>
      </c>
      <c r="I332" t="s">
        <v>69</v>
      </c>
      <c r="J332" t="s">
        <v>50</v>
      </c>
      <c r="K332" t="s">
        <v>10</v>
      </c>
      <c r="L332" t="s">
        <v>51</v>
      </c>
      <c r="M332" t="s">
        <v>1507</v>
      </c>
      <c r="N332" t="s">
        <v>1508</v>
      </c>
      <c r="O332" t="s">
        <v>1509</v>
      </c>
      <c r="P332" t="s">
        <v>1292</v>
      </c>
      <c r="Q332" t="s">
        <v>46</v>
      </c>
      <c r="R332" t="s">
        <v>47</v>
      </c>
      <c r="S332" t="s">
        <v>46</v>
      </c>
      <c r="T332" t="s">
        <v>46</v>
      </c>
      <c r="U332" s="4">
        <v>4750</v>
      </c>
      <c r="V332" t="str">
        <f t="shared" si="5"/>
        <v>0040</v>
      </c>
      <c r="W332" t="str">
        <f>VLOOKUP(K332,[1]Info!A$1:B$21,2,0)</f>
        <v>Comboio e Oficina</v>
      </c>
      <c r="X332" t="str">
        <f>IF(M332="109595132","Material de Limpeza-Não Avaliar",IF(AND(K332="F20",M332&lt;&gt;109595132),IF(RIGHT(F332,2)="70","Infraestrutura de Planta","Prédios e Instalações"),IF(K332="FPC",VLOOKUP(F332,[1]Info!$E$2:$F$11,2,0),IF(K332="FGP",VLOOKUP(F332,[1]Info!$E$9:$F$10,2,0),IF(K332="F10",VLOOKUP(F332,[1]Info!$E$2:$F$3,2,0),VLOOKUP(K332,[1]Info!$A$1:$B$21,2,0))))))</f>
        <v>Comboio e Oficina</v>
      </c>
    </row>
    <row r="333" spans="1:24" x14ac:dyDescent="0.35">
      <c r="A333" t="s">
        <v>41</v>
      </c>
      <c r="B333" t="s">
        <v>65</v>
      </c>
      <c r="C333" t="s">
        <v>66</v>
      </c>
      <c r="D333" t="s">
        <v>94</v>
      </c>
      <c r="E333" t="s">
        <v>52</v>
      </c>
      <c r="F333">
        <v>7097051</v>
      </c>
      <c r="G333" t="s">
        <v>67</v>
      </c>
      <c r="H333" t="s">
        <v>68</v>
      </c>
      <c r="I333" t="s">
        <v>69</v>
      </c>
      <c r="J333" t="s">
        <v>50</v>
      </c>
      <c r="K333" t="s">
        <v>10</v>
      </c>
      <c r="L333" t="s">
        <v>51</v>
      </c>
      <c r="M333" t="s">
        <v>1510</v>
      </c>
      <c r="N333" t="s">
        <v>1511</v>
      </c>
      <c r="O333" t="s">
        <v>127</v>
      </c>
      <c r="P333" t="s">
        <v>1292</v>
      </c>
      <c r="Q333" t="s">
        <v>46</v>
      </c>
      <c r="R333" t="s">
        <v>47</v>
      </c>
      <c r="S333" t="s">
        <v>46</v>
      </c>
      <c r="T333" t="s">
        <v>46</v>
      </c>
      <c r="U333" s="4">
        <v>163.86</v>
      </c>
      <c r="V333" t="str">
        <f t="shared" si="5"/>
        <v>CO11</v>
      </c>
      <c r="W333" t="str">
        <f>VLOOKUP(K333,[1]Info!A$1:B$21,2,0)</f>
        <v>Comboio e Oficina</v>
      </c>
      <c r="X333" t="str">
        <f>IF(M333="109595132","Material de Limpeza-Não Avaliar",IF(AND(K333="F20",M333&lt;&gt;109595132),IF(RIGHT(F333,2)="70","Infraestrutura de Planta","Prédios e Instalações"),IF(K333="FPC",VLOOKUP(F333,[1]Info!$E$2:$F$11,2,0),IF(K333="FGP",VLOOKUP(F333,[1]Info!$E$9:$F$10,2,0),IF(K333="F10",VLOOKUP(F333,[1]Info!$E$2:$F$3,2,0),VLOOKUP(K333,[1]Info!$A$1:$B$21,2,0))))))</f>
        <v>Comboio e Oficina</v>
      </c>
    </row>
    <row r="334" spans="1:24" x14ac:dyDescent="0.35">
      <c r="A334" t="s">
        <v>41</v>
      </c>
      <c r="B334" t="s">
        <v>65</v>
      </c>
      <c r="C334" t="s">
        <v>66</v>
      </c>
      <c r="D334" t="s">
        <v>94</v>
      </c>
      <c r="E334" t="s">
        <v>52</v>
      </c>
      <c r="F334">
        <v>7097051</v>
      </c>
      <c r="G334" t="s">
        <v>67</v>
      </c>
      <c r="H334" t="s">
        <v>68</v>
      </c>
      <c r="I334" t="s">
        <v>69</v>
      </c>
      <c r="J334" t="s">
        <v>50</v>
      </c>
      <c r="K334" t="s">
        <v>10</v>
      </c>
      <c r="L334" t="s">
        <v>51</v>
      </c>
      <c r="M334" t="s">
        <v>1512</v>
      </c>
      <c r="N334" t="s">
        <v>1513</v>
      </c>
      <c r="O334" t="s">
        <v>700</v>
      </c>
      <c r="P334" t="s">
        <v>1292</v>
      </c>
      <c r="Q334" t="s">
        <v>46</v>
      </c>
      <c r="R334" t="s">
        <v>47</v>
      </c>
      <c r="S334" t="s">
        <v>46</v>
      </c>
      <c r="T334" t="s">
        <v>46</v>
      </c>
      <c r="U334" s="4">
        <v>345</v>
      </c>
      <c r="V334" t="str">
        <f t="shared" si="5"/>
        <v>CO10</v>
      </c>
      <c r="W334" t="str">
        <f>VLOOKUP(K334,[1]Info!A$1:B$21,2,0)</f>
        <v>Comboio e Oficina</v>
      </c>
      <c r="X334" t="str">
        <f>IF(M334="109595132","Material de Limpeza-Não Avaliar",IF(AND(K334="F20",M334&lt;&gt;109595132),IF(RIGHT(F334,2)="70","Infraestrutura de Planta","Prédios e Instalações"),IF(K334="FPC",VLOOKUP(F334,[1]Info!$E$2:$F$11,2,0),IF(K334="FGP",VLOOKUP(F334,[1]Info!$E$9:$F$10,2,0),IF(K334="F10",VLOOKUP(F334,[1]Info!$E$2:$F$3,2,0),VLOOKUP(K334,[1]Info!$A$1:$B$21,2,0))))))</f>
        <v>Comboio e Oficina</v>
      </c>
    </row>
    <row r="335" spans="1:24" x14ac:dyDescent="0.35">
      <c r="A335" t="s">
        <v>41</v>
      </c>
      <c r="B335" t="s">
        <v>65</v>
      </c>
      <c r="C335" t="s">
        <v>66</v>
      </c>
      <c r="D335" t="s">
        <v>94</v>
      </c>
      <c r="E335" t="s">
        <v>52</v>
      </c>
      <c r="F335">
        <v>7097051</v>
      </c>
      <c r="G335" t="s">
        <v>67</v>
      </c>
      <c r="H335" t="s">
        <v>68</v>
      </c>
      <c r="I335" t="s">
        <v>69</v>
      </c>
      <c r="J335" t="s">
        <v>50</v>
      </c>
      <c r="K335" t="s">
        <v>10</v>
      </c>
      <c r="L335" t="s">
        <v>51</v>
      </c>
      <c r="M335" t="s">
        <v>1514</v>
      </c>
      <c r="N335" t="s">
        <v>1515</v>
      </c>
      <c r="O335" t="s">
        <v>1506</v>
      </c>
      <c r="P335" t="s">
        <v>1292</v>
      </c>
      <c r="Q335" t="s">
        <v>46</v>
      </c>
      <c r="R335" t="s">
        <v>47</v>
      </c>
      <c r="S335" t="s">
        <v>46</v>
      </c>
      <c r="T335" t="s">
        <v>46</v>
      </c>
      <c r="U335" s="4">
        <v>2240</v>
      </c>
      <c r="V335" t="str">
        <f t="shared" si="5"/>
        <v>0010</v>
      </c>
      <c r="W335" t="str">
        <f>VLOOKUP(K335,[1]Info!A$1:B$21,2,0)</f>
        <v>Comboio e Oficina</v>
      </c>
      <c r="X335" t="str">
        <f>IF(M335="109595132","Material de Limpeza-Não Avaliar",IF(AND(K335="F20",M335&lt;&gt;109595132),IF(RIGHT(F335,2)="70","Infraestrutura de Planta","Prédios e Instalações"),IF(K335="FPC",VLOOKUP(F335,[1]Info!$E$2:$F$11,2,0),IF(K335="FGP",VLOOKUP(F335,[1]Info!$E$9:$F$10,2,0),IF(K335="F10",VLOOKUP(F335,[1]Info!$E$2:$F$3,2,0),VLOOKUP(K335,[1]Info!$A$1:$B$21,2,0))))))</f>
        <v>Comboio e Oficina</v>
      </c>
    </row>
    <row r="336" spans="1:24" x14ac:dyDescent="0.35">
      <c r="A336" t="s">
        <v>41</v>
      </c>
      <c r="B336" t="s">
        <v>65</v>
      </c>
      <c r="C336" t="s">
        <v>66</v>
      </c>
      <c r="D336" t="s">
        <v>94</v>
      </c>
      <c r="E336" t="s">
        <v>52</v>
      </c>
      <c r="F336">
        <v>7097051</v>
      </c>
      <c r="G336" t="s">
        <v>67</v>
      </c>
      <c r="H336" t="s">
        <v>68</v>
      </c>
      <c r="I336" t="s">
        <v>69</v>
      </c>
      <c r="J336" t="s">
        <v>50</v>
      </c>
      <c r="K336" t="s">
        <v>10</v>
      </c>
      <c r="L336" t="s">
        <v>51</v>
      </c>
      <c r="M336" t="s">
        <v>1516</v>
      </c>
      <c r="N336" t="s">
        <v>1517</v>
      </c>
      <c r="O336" t="s">
        <v>1503</v>
      </c>
      <c r="P336" t="s">
        <v>1292</v>
      </c>
      <c r="Q336" t="s">
        <v>46</v>
      </c>
      <c r="R336" t="s">
        <v>47</v>
      </c>
      <c r="S336" t="s">
        <v>46</v>
      </c>
      <c r="T336" t="s">
        <v>46</v>
      </c>
      <c r="U336" s="4">
        <v>639.71</v>
      </c>
      <c r="V336" t="str">
        <f t="shared" si="5"/>
        <v>SI03</v>
      </c>
      <c r="W336" t="str">
        <f>VLOOKUP(K336,[1]Info!A$1:B$21,2,0)</f>
        <v>Comboio e Oficina</v>
      </c>
      <c r="X336" t="str">
        <f>IF(M336="109595132","Material de Limpeza-Não Avaliar",IF(AND(K336="F20",M336&lt;&gt;109595132),IF(RIGHT(F336,2)="70","Infraestrutura de Planta","Prédios e Instalações"),IF(K336="FPC",VLOOKUP(F336,[1]Info!$E$2:$F$11,2,0),IF(K336="FGP",VLOOKUP(F336,[1]Info!$E$9:$F$10,2,0),IF(K336="F10",VLOOKUP(F336,[1]Info!$E$2:$F$3,2,0),VLOOKUP(K336,[1]Info!$A$1:$B$21,2,0))))))</f>
        <v>Comboio e Oficina</v>
      </c>
    </row>
    <row r="337" spans="1:24" x14ac:dyDescent="0.35">
      <c r="A337" t="s">
        <v>41</v>
      </c>
      <c r="B337" t="s">
        <v>65</v>
      </c>
      <c r="C337" t="s">
        <v>66</v>
      </c>
      <c r="D337" t="s">
        <v>94</v>
      </c>
      <c r="E337" t="s">
        <v>52</v>
      </c>
      <c r="F337">
        <v>7097051</v>
      </c>
      <c r="G337" t="s">
        <v>67</v>
      </c>
      <c r="H337" t="s">
        <v>68</v>
      </c>
      <c r="I337" t="s">
        <v>69</v>
      </c>
      <c r="J337" t="s">
        <v>50</v>
      </c>
      <c r="K337" t="s">
        <v>1518</v>
      </c>
      <c r="L337" t="s">
        <v>51</v>
      </c>
      <c r="M337" t="s">
        <v>202</v>
      </c>
      <c r="N337" t="s">
        <v>203</v>
      </c>
      <c r="O337" t="s">
        <v>118</v>
      </c>
      <c r="P337" t="s">
        <v>1292</v>
      </c>
      <c r="Q337" t="s">
        <v>46</v>
      </c>
      <c r="R337" t="s">
        <v>47</v>
      </c>
      <c r="S337" t="s">
        <v>46</v>
      </c>
      <c r="T337" t="s">
        <v>46</v>
      </c>
      <c r="U337" s="4">
        <v>5291.95</v>
      </c>
      <c r="V337" t="str">
        <f t="shared" si="5"/>
        <v>CC09</v>
      </c>
      <c r="W337" t="str">
        <f>VLOOKUP(K337,[1]Info!A$1:B$21,2,0)</f>
        <v>Garra Traçadora</v>
      </c>
      <c r="X337" t="str">
        <f>IF(M337="109595132","Material de Limpeza-Não Avaliar",IF(AND(K337="F20",M337&lt;&gt;109595132),IF(RIGHT(F337,2)="70","Infraestrutura de Planta","Prédios e Instalações"),IF(K337="FPC",VLOOKUP(F337,[1]Info!$E$2:$F$11,2,0),IF(K337="FGP",VLOOKUP(F337,[1]Info!$E$9:$F$10,2,0),IF(K337="F10",VLOOKUP(F337,[1]Info!$E$2:$F$3,2,0),VLOOKUP(K337,[1]Info!$A$1:$B$21,2,0))))))</f>
        <v>Garra Traçadora</v>
      </c>
    </row>
    <row r="338" spans="1:24" x14ac:dyDescent="0.35">
      <c r="A338" t="s">
        <v>41</v>
      </c>
      <c r="B338" t="s">
        <v>65</v>
      </c>
      <c r="C338" t="s">
        <v>66</v>
      </c>
      <c r="D338" t="s">
        <v>100</v>
      </c>
      <c r="E338" t="s">
        <v>65</v>
      </c>
      <c r="F338">
        <v>7097080</v>
      </c>
      <c r="G338" t="s">
        <v>1519</v>
      </c>
      <c r="H338" t="s">
        <v>68</v>
      </c>
      <c r="I338" t="s">
        <v>69</v>
      </c>
      <c r="J338" t="s">
        <v>50</v>
      </c>
      <c r="K338" t="s">
        <v>2</v>
      </c>
      <c r="L338" t="s">
        <v>62</v>
      </c>
      <c r="M338" t="s">
        <v>46</v>
      </c>
      <c r="N338" t="s">
        <v>47</v>
      </c>
      <c r="O338" t="s">
        <v>1520</v>
      </c>
      <c r="P338" t="s">
        <v>1292</v>
      </c>
      <c r="Q338" t="s">
        <v>46</v>
      </c>
      <c r="R338" t="s">
        <v>47</v>
      </c>
      <c r="S338" t="s">
        <v>46</v>
      </c>
      <c r="T338" t="s">
        <v>46</v>
      </c>
      <c r="U338" s="4">
        <v>-1603.65</v>
      </c>
      <c r="V338" t="str">
        <f t="shared" si="5"/>
        <v>-S30</v>
      </c>
      <c r="W338" t="str">
        <f>VLOOKUP(K338,[1]Info!A$1:B$21,2,0)</f>
        <v>Infra - prédios</v>
      </c>
      <c r="X338" t="str">
        <f>IF(M338="109595132","Material de Limpeza-Não Avaliar",IF(AND(K338="F20",M338&lt;&gt;109595132),IF(RIGHT(F338,2)="70","Infraestrutura de Planta","Prédios e Instalações"),IF(K338="FPC",VLOOKUP(F338,[1]Info!$E$2:$F$11,2,0),IF(K338="FGP",VLOOKUP(F338,[1]Info!$E$9:$F$10,2,0),IF(K338="F10",VLOOKUP(F338,[1]Info!$E$2:$F$3,2,0),VLOOKUP(K338,[1]Info!$A$1:$B$21,2,0))))))</f>
        <v>Prédios e Instalações</v>
      </c>
    </row>
    <row r="339" spans="1:24" x14ac:dyDescent="0.35">
      <c r="A339" t="s">
        <v>41</v>
      </c>
      <c r="B339" t="s">
        <v>65</v>
      </c>
      <c r="C339" t="s">
        <v>66</v>
      </c>
      <c r="D339" t="s">
        <v>100</v>
      </c>
      <c r="E339" t="s">
        <v>65</v>
      </c>
      <c r="F339">
        <v>7097075</v>
      </c>
      <c r="G339" t="s">
        <v>104</v>
      </c>
      <c r="H339" t="s">
        <v>68</v>
      </c>
      <c r="I339" t="s">
        <v>69</v>
      </c>
      <c r="J339" t="s">
        <v>78</v>
      </c>
      <c r="K339" t="s">
        <v>0</v>
      </c>
      <c r="L339" t="s">
        <v>59</v>
      </c>
      <c r="M339" t="s">
        <v>46</v>
      </c>
      <c r="N339" t="s">
        <v>47</v>
      </c>
      <c r="O339" t="s">
        <v>1521</v>
      </c>
      <c r="P339" t="s">
        <v>1292</v>
      </c>
      <c r="Q339" t="s">
        <v>46</v>
      </c>
      <c r="R339" t="s">
        <v>47</v>
      </c>
      <c r="S339" t="s">
        <v>46</v>
      </c>
      <c r="T339" t="s">
        <v>46</v>
      </c>
      <c r="U339" s="4">
        <v>-1944.53</v>
      </c>
      <c r="V339" t="str">
        <f t="shared" si="5"/>
        <v>-065</v>
      </c>
      <c r="W339" t="str">
        <f>VLOOKUP(K339,[1]Info!A$1:B$21,2,0)</f>
        <v>Carboval</v>
      </c>
      <c r="X339" t="e">
        <f>IF(M339="109595132","Material de Limpeza-Não Avaliar",IF(AND(K339="F20",M339&lt;&gt;109595132),IF(RIGHT(F339,2)="70","Infraestrutura de Planta","Prédios e Instalações"),IF(K339="FPC",VLOOKUP(F339,[1]Info!$E$2:$F$11,2,0),IF(K339="FGP",VLOOKUP(F339,[1]Info!$E$9:$F$10,2,0),IF(K339="F10",VLOOKUP(F339,[1]Info!$E$2:$F$3,2,0),VLOOKUP(K339,[1]Info!$A$1:$B$21,2,0))))))</f>
        <v>#N/A</v>
      </c>
    </row>
    <row r="340" spans="1:24" x14ac:dyDescent="0.35">
      <c r="A340" t="s">
        <v>41</v>
      </c>
      <c r="B340" t="s">
        <v>65</v>
      </c>
      <c r="C340" t="s">
        <v>66</v>
      </c>
      <c r="D340" t="s">
        <v>100</v>
      </c>
      <c r="E340" t="s">
        <v>65</v>
      </c>
      <c r="F340">
        <v>7097075</v>
      </c>
      <c r="G340" t="s">
        <v>104</v>
      </c>
      <c r="H340" t="s">
        <v>68</v>
      </c>
      <c r="I340" t="s">
        <v>69</v>
      </c>
      <c r="J340" t="s">
        <v>78</v>
      </c>
      <c r="K340" t="s">
        <v>0</v>
      </c>
      <c r="L340" t="s">
        <v>59</v>
      </c>
      <c r="M340" t="s">
        <v>46</v>
      </c>
      <c r="N340" t="s">
        <v>47</v>
      </c>
      <c r="O340" t="s">
        <v>1199</v>
      </c>
      <c r="P340" t="s">
        <v>1292</v>
      </c>
      <c r="Q340" t="s">
        <v>46</v>
      </c>
      <c r="R340" t="s">
        <v>47</v>
      </c>
      <c r="S340" t="s">
        <v>46</v>
      </c>
      <c r="T340" t="s">
        <v>46</v>
      </c>
      <c r="U340" s="4">
        <v>-2695.87</v>
      </c>
      <c r="V340" t="str">
        <f t="shared" si="5"/>
        <v>-095</v>
      </c>
      <c r="W340" t="str">
        <f>VLOOKUP(K340,[1]Info!A$1:B$21,2,0)</f>
        <v>Carboval</v>
      </c>
      <c r="X340" t="e">
        <f>IF(M340="109595132","Material de Limpeza-Não Avaliar",IF(AND(K340="F20",M340&lt;&gt;109595132),IF(RIGHT(F340,2)="70","Infraestrutura de Planta","Prédios e Instalações"),IF(K340="FPC",VLOOKUP(F340,[1]Info!$E$2:$F$11,2,0),IF(K340="FGP",VLOOKUP(F340,[1]Info!$E$9:$F$10,2,0),IF(K340="F10",VLOOKUP(F340,[1]Info!$E$2:$F$3,2,0),VLOOKUP(K340,[1]Info!$A$1:$B$21,2,0))))))</f>
        <v>#N/A</v>
      </c>
    </row>
    <row r="341" spans="1:24" x14ac:dyDescent="0.35">
      <c r="A341" t="s">
        <v>41</v>
      </c>
      <c r="B341" t="s">
        <v>65</v>
      </c>
      <c r="C341" t="s">
        <v>66</v>
      </c>
      <c r="D341" t="s">
        <v>100</v>
      </c>
      <c r="E341" t="s">
        <v>65</v>
      </c>
      <c r="F341">
        <v>7097075</v>
      </c>
      <c r="G341" t="s">
        <v>104</v>
      </c>
      <c r="H341" t="s">
        <v>68</v>
      </c>
      <c r="I341" t="s">
        <v>69</v>
      </c>
      <c r="J341" t="s">
        <v>78</v>
      </c>
      <c r="K341" t="s">
        <v>0</v>
      </c>
      <c r="L341" t="s">
        <v>59</v>
      </c>
      <c r="M341" t="s">
        <v>46</v>
      </c>
      <c r="N341" t="s">
        <v>47</v>
      </c>
      <c r="O341" t="s">
        <v>1522</v>
      </c>
      <c r="P341" t="s">
        <v>1292</v>
      </c>
      <c r="Q341" t="s">
        <v>46</v>
      </c>
      <c r="R341" t="s">
        <v>47</v>
      </c>
      <c r="S341" t="s">
        <v>46</v>
      </c>
      <c r="T341" t="s">
        <v>46</v>
      </c>
      <c r="U341" s="4">
        <v>-2563.2600000000002</v>
      </c>
      <c r="V341" t="str">
        <f t="shared" si="5"/>
        <v>-120</v>
      </c>
      <c r="W341" t="str">
        <f>VLOOKUP(K341,[1]Info!A$1:B$21,2,0)</f>
        <v>Carboval</v>
      </c>
      <c r="X341" t="e">
        <f>IF(M341="109595132","Material de Limpeza-Não Avaliar",IF(AND(K341="F20",M341&lt;&gt;109595132),IF(RIGHT(F341,2)="70","Infraestrutura de Planta","Prédios e Instalações"),IF(K341="FPC",VLOOKUP(F341,[1]Info!$E$2:$F$11,2,0),IF(K341="FGP",VLOOKUP(F341,[1]Info!$E$9:$F$10,2,0),IF(K341="F10",VLOOKUP(F341,[1]Info!$E$2:$F$3,2,0),VLOOKUP(K341,[1]Info!$A$1:$B$21,2,0))))))</f>
        <v>#N/A</v>
      </c>
    </row>
    <row r="342" spans="1:24" x14ac:dyDescent="0.35">
      <c r="A342" t="s">
        <v>41</v>
      </c>
      <c r="B342" t="s">
        <v>65</v>
      </c>
      <c r="C342" t="s">
        <v>66</v>
      </c>
      <c r="D342" t="s">
        <v>100</v>
      </c>
      <c r="E342" t="s">
        <v>65</v>
      </c>
      <c r="F342">
        <v>7097075</v>
      </c>
      <c r="G342" t="s">
        <v>104</v>
      </c>
      <c r="H342" t="s">
        <v>68</v>
      </c>
      <c r="I342" t="s">
        <v>69</v>
      </c>
      <c r="J342" t="s">
        <v>78</v>
      </c>
      <c r="K342" t="s">
        <v>0</v>
      </c>
      <c r="L342" t="s">
        <v>59</v>
      </c>
      <c r="M342" t="s">
        <v>46</v>
      </c>
      <c r="N342" t="s">
        <v>47</v>
      </c>
      <c r="O342" t="s">
        <v>1523</v>
      </c>
      <c r="P342" t="s">
        <v>1292</v>
      </c>
      <c r="Q342" t="s">
        <v>46</v>
      </c>
      <c r="R342" t="s">
        <v>47</v>
      </c>
      <c r="S342" t="s">
        <v>46</v>
      </c>
      <c r="T342" t="s">
        <v>46</v>
      </c>
      <c r="U342" s="4">
        <v>-66.290000000000006</v>
      </c>
      <c r="V342" t="str">
        <f t="shared" si="5"/>
        <v>-010</v>
      </c>
      <c r="W342" t="str">
        <f>VLOOKUP(K342,[1]Info!A$1:B$21,2,0)</f>
        <v>Carboval</v>
      </c>
      <c r="X342" t="e">
        <f>IF(M342="109595132","Material de Limpeza-Não Avaliar",IF(AND(K342="F20",M342&lt;&gt;109595132),IF(RIGHT(F342,2)="70","Infraestrutura de Planta","Prédios e Instalações"),IF(K342="FPC",VLOOKUP(F342,[1]Info!$E$2:$F$11,2,0),IF(K342="FGP",VLOOKUP(F342,[1]Info!$E$9:$F$10,2,0),IF(K342="F10",VLOOKUP(F342,[1]Info!$E$2:$F$3,2,0),VLOOKUP(K342,[1]Info!$A$1:$B$21,2,0))))))</f>
        <v>#N/A</v>
      </c>
    </row>
    <row r="343" spans="1:24" x14ac:dyDescent="0.35">
      <c r="A343" t="s">
        <v>41</v>
      </c>
      <c r="B343" t="s">
        <v>65</v>
      </c>
      <c r="C343" t="s">
        <v>66</v>
      </c>
      <c r="D343" t="s">
        <v>100</v>
      </c>
      <c r="E343" t="s">
        <v>65</v>
      </c>
      <c r="F343">
        <v>7097075</v>
      </c>
      <c r="G343" t="s">
        <v>104</v>
      </c>
      <c r="H343" t="s">
        <v>68</v>
      </c>
      <c r="I343" t="s">
        <v>69</v>
      </c>
      <c r="J343" t="s">
        <v>78</v>
      </c>
      <c r="K343" t="s">
        <v>0</v>
      </c>
      <c r="L343" t="s">
        <v>59</v>
      </c>
      <c r="M343" t="s">
        <v>46</v>
      </c>
      <c r="N343" t="s">
        <v>47</v>
      </c>
      <c r="O343" t="s">
        <v>1208</v>
      </c>
      <c r="P343" t="s">
        <v>1292</v>
      </c>
      <c r="Q343" t="s">
        <v>46</v>
      </c>
      <c r="R343" t="s">
        <v>47</v>
      </c>
      <c r="S343" t="s">
        <v>46</v>
      </c>
      <c r="T343" t="s">
        <v>46</v>
      </c>
      <c r="U343" s="4">
        <v>-10960.24</v>
      </c>
      <c r="V343" t="str">
        <f t="shared" si="5"/>
        <v>-095</v>
      </c>
      <c r="W343" t="str">
        <f>VLOOKUP(K343,[1]Info!A$1:B$21,2,0)</f>
        <v>Carboval</v>
      </c>
      <c r="X343" t="e">
        <f>IF(M343="109595132","Material de Limpeza-Não Avaliar",IF(AND(K343="F20",M343&lt;&gt;109595132),IF(RIGHT(F343,2)="70","Infraestrutura de Planta","Prédios e Instalações"),IF(K343="FPC",VLOOKUP(F343,[1]Info!$E$2:$F$11,2,0),IF(K343="FGP",VLOOKUP(F343,[1]Info!$E$9:$F$10,2,0),IF(K343="F10",VLOOKUP(F343,[1]Info!$E$2:$F$3,2,0),VLOOKUP(K343,[1]Info!$A$1:$B$21,2,0))))))</f>
        <v>#N/A</v>
      </c>
    </row>
    <row r="344" spans="1:24" x14ac:dyDescent="0.35">
      <c r="A344" t="s">
        <v>41</v>
      </c>
      <c r="B344" t="s">
        <v>65</v>
      </c>
      <c r="C344" t="s">
        <v>66</v>
      </c>
      <c r="D344" t="s">
        <v>100</v>
      </c>
      <c r="E344" t="s">
        <v>65</v>
      </c>
      <c r="F344">
        <v>7097075</v>
      </c>
      <c r="G344" t="s">
        <v>104</v>
      </c>
      <c r="H344" t="s">
        <v>68</v>
      </c>
      <c r="I344" t="s">
        <v>69</v>
      </c>
      <c r="J344" t="s">
        <v>78</v>
      </c>
      <c r="K344" t="s">
        <v>0</v>
      </c>
      <c r="L344" t="s">
        <v>59</v>
      </c>
      <c r="M344" t="s">
        <v>46</v>
      </c>
      <c r="N344" t="s">
        <v>47</v>
      </c>
      <c r="O344" t="s">
        <v>1524</v>
      </c>
      <c r="P344" t="s">
        <v>1292</v>
      </c>
      <c r="Q344" t="s">
        <v>46</v>
      </c>
      <c r="R344" t="s">
        <v>47</v>
      </c>
      <c r="S344" t="s">
        <v>46</v>
      </c>
      <c r="T344" t="s">
        <v>46</v>
      </c>
      <c r="U344" s="4">
        <v>-22.1</v>
      </c>
      <c r="V344" t="str">
        <f t="shared" si="5"/>
        <v>-110</v>
      </c>
      <c r="W344" t="str">
        <f>VLOOKUP(K344,[1]Info!A$1:B$21,2,0)</f>
        <v>Carboval</v>
      </c>
      <c r="X344" t="e">
        <f>IF(M344="109595132","Material de Limpeza-Não Avaliar",IF(AND(K344="F20",M344&lt;&gt;109595132),IF(RIGHT(F344,2)="70","Infraestrutura de Planta","Prédios e Instalações"),IF(K344="FPC",VLOOKUP(F344,[1]Info!$E$2:$F$11,2,0),IF(K344="FGP",VLOOKUP(F344,[1]Info!$E$9:$F$10,2,0),IF(K344="F10",VLOOKUP(F344,[1]Info!$E$2:$F$3,2,0),VLOOKUP(K344,[1]Info!$A$1:$B$21,2,0))))))</f>
        <v>#N/A</v>
      </c>
    </row>
    <row r="345" spans="1:24" x14ac:dyDescent="0.35">
      <c r="A345" t="s">
        <v>41</v>
      </c>
      <c r="B345" t="s">
        <v>65</v>
      </c>
      <c r="C345" t="s">
        <v>66</v>
      </c>
      <c r="D345" t="s">
        <v>100</v>
      </c>
      <c r="E345" t="s">
        <v>65</v>
      </c>
      <c r="F345">
        <v>7097075</v>
      </c>
      <c r="G345" t="s">
        <v>104</v>
      </c>
      <c r="H345" t="s">
        <v>68</v>
      </c>
      <c r="I345" t="s">
        <v>69</v>
      </c>
      <c r="J345" t="s">
        <v>78</v>
      </c>
      <c r="K345" t="s">
        <v>0</v>
      </c>
      <c r="L345" t="s">
        <v>59</v>
      </c>
      <c r="M345" t="s">
        <v>46</v>
      </c>
      <c r="N345" t="s">
        <v>47</v>
      </c>
      <c r="O345" t="s">
        <v>1525</v>
      </c>
      <c r="P345" t="s">
        <v>1292</v>
      </c>
      <c r="Q345" t="s">
        <v>46</v>
      </c>
      <c r="R345" t="s">
        <v>47</v>
      </c>
      <c r="S345" t="s">
        <v>46</v>
      </c>
      <c r="T345" t="s">
        <v>46</v>
      </c>
      <c r="U345" s="4">
        <v>-3977.52</v>
      </c>
      <c r="V345" t="str">
        <f t="shared" si="5"/>
        <v>-120</v>
      </c>
      <c r="W345" t="str">
        <f>VLOOKUP(K345,[1]Info!A$1:B$21,2,0)</f>
        <v>Carboval</v>
      </c>
      <c r="X345" t="e">
        <f>IF(M345="109595132","Material de Limpeza-Não Avaliar",IF(AND(K345="F20",M345&lt;&gt;109595132),IF(RIGHT(F345,2)="70","Infraestrutura de Planta","Prédios e Instalações"),IF(K345="FPC",VLOOKUP(F345,[1]Info!$E$2:$F$11,2,0),IF(K345="FGP",VLOOKUP(F345,[1]Info!$E$9:$F$10,2,0),IF(K345="F10",VLOOKUP(F345,[1]Info!$E$2:$F$3,2,0),VLOOKUP(K345,[1]Info!$A$1:$B$21,2,0))))))</f>
        <v>#N/A</v>
      </c>
    </row>
    <row r="346" spans="1:24" x14ac:dyDescent="0.35">
      <c r="A346" t="s">
        <v>41</v>
      </c>
      <c r="B346" t="s">
        <v>65</v>
      </c>
      <c r="C346" t="s">
        <v>66</v>
      </c>
      <c r="D346" t="s">
        <v>100</v>
      </c>
      <c r="E346" t="s">
        <v>65</v>
      </c>
      <c r="F346">
        <v>7097075</v>
      </c>
      <c r="G346" t="s">
        <v>104</v>
      </c>
      <c r="H346" t="s">
        <v>68</v>
      </c>
      <c r="I346" t="s">
        <v>69</v>
      </c>
      <c r="J346" t="s">
        <v>78</v>
      </c>
      <c r="K346" t="s">
        <v>0</v>
      </c>
      <c r="L346" t="s">
        <v>59</v>
      </c>
      <c r="M346" t="s">
        <v>46</v>
      </c>
      <c r="N346" t="s">
        <v>47</v>
      </c>
      <c r="O346" t="s">
        <v>1526</v>
      </c>
      <c r="P346" t="s">
        <v>1292</v>
      </c>
      <c r="Q346" t="s">
        <v>46</v>
      </c>
      <c r="R346" t="s">
        <v>47</v>
      </c>
      <c r="S346" t="s">
        <v>46</v>
      </c>
      <c r="T346" t="s">
        <v>46</v>
      </c>
      <c r="U346" s="4">
        <v>-353.56</v>
      </c>
      <c r="V346" t="str">
        <f t="shared" si="5"/>
        <v>-025</v>
      </c>
      <c r="W346" t="str">
        <f>VLOOKUP(K346,[1]Info!A$1:B$21,2,0)</f>
        <v>Carboval</v>
      </c>
      <c r="X346" t="e">
        <f>IF(M346="109595132","Material de Limpeza-Não Avaliar",IF(AND(K346="F20",M346&lt;&gt;109595132),IF(RIGHT(F346,2)="70","Infraestrutura de Planta","Prédios e Instalações"),IF(K346="FPC",VLOOKUP(F346,[1]Info!$E$2:$F$11,2,0),IF(K346="FGP",VLOOKUP(F346,[1]Info!$E$9:$F$10,2,0),IF(K346="F10",VLOOKUP(F346,[1]Info!$E$2:$F$3,2,0),VLOOKUP(K346,[1]Info!$A$1:$B$21,2,0))))))</f>
        <v>#N/A</v>
      </c>
    </row>
    <row r="347" spans="1:24" x14ac:dyDescent="0.35">
      <c r="A347" t="s">
        <v>41</v>
      </c>
      <c r="B347" t="s">
        <v>65</v>
      </c>
      <c r="C347" t="s">
        <v>66</v>
      </c>
      <c r="D347" t="s">
        <v>100</v>
      </c>
      <c r="E347" t="s">
        <v>65</v>
      </c>
      <c r="F347">
        <v>7097075</v>
      </c>
      <c r="G347" t="s">
        <v>104</v>
      </c>
      <c r="H347" t="s">
        <v>68</v>
      </c>
      <c r="I347" t="s">
        <v>69</v>
      </c>
      <c r="J347" t="s">
        <v>78</v>
      </c>
      <c r="K347" t="s">
        <v>0</v>
      </c>
      <c r="L347" t="s">
        <v>59</v>
      </c>
      <c r="M347" t="s">
        <v>46</v>
      </c>
      <c r="N347" t="s">
        <v>47</v>
      </c>
      <c r="O347" t="s">
        <v>1527</v>
      </c>
      <c r="P347" t="s">
        <v>1292</v>
      </c>
      <c r="Q347" t="s">
        <v>46</v>
      </c>
      <c r="R347" t="s">
        <v>47</v>
      </c>
      <c r="S347" t="s">
        <v>46</v>
      </c>
      <c r="T347" t="s">
        <v>46</v>
      </c>
      <c r="U347" s="4">
        <v>-132.58000000000001</v>
      </c>
      <c r="V347" t="str">
        <f t="shared" si="5"/>
        <v>-040</v>
      </c>
      <c r="W347" t="str">
        <f>VLOOKUP(K347,[1]Info!A$1:B$21,2,0)</f>
        <v>Carboval</v>
      </c>
      <c r="X347" t="e">
        <f>IF(M347="109595132","Material de Limpeza-Não Avaliar",IF(AND(K347="F20",M347&lt;&gt;109595132),IF(RIGHT(F347,2)="70","Infraestrutura de Planta","Prédios e Instalações"),IF(K347="FPC",VLOOKUP(F347,[1]Info!$E$2:$F$11,2,0),IF(K347="FGP",VLOOKUP(F347,[1]Info!$E$9:$F$10,2,0),IF(K347="F10",VLOOKUP(F347,[1]Info!$E$2:$F$3,2,0),VLOOKUP(K347,[1]Info!$A$1:$B$21,2,0))))))</f>
        <v>#N/A</v>
      </c>
    </row>
    <row r="348" spans="1:24" x14ac:dyDescent="0.35">
      <c r="A348" t="s">
        <v>41</v>
      </c>
      <c r="B348" t="s">
        <v>65</v>
      </c>
      <c r="C348" t="s">
        <v>66</v>
      </c>
      <c r="D348" t="s">
        <v>100</v>
      </c>
      <c r="E348" t="s">
        <v>65</v>
      </c>
      <c r="F348">
        <v>7097075</v>
      </c>
      <c r="G348" t="s">
        <v>104</v>
      </c>
      <c r="H348" t="s">
        <v>68</v>
      </c>
      <c r="I348" t="s">
        <v>69</v>
      </c>
      <c r="J348" t="s">
        <v>78</v>
      </c>
      <c r="K348" t="s">
        <v>0</v>
      </c>
      <c r="L348" t="s">
        <v>59</v>
      </c>
      <c r="M348" t="s">
        <v>46</v>
      </c>
      <c r="N348" t="s">
        <v>47</v>
      </c>
      <c r="O348" t="s">
        <v>1211</v>
      </c>
      <c r="P348" t="s">
        <v>1292</v>
      </c>
      <c r="Q348" t="s">
        <v>46</v>
      </c>
      <c r="R348" t="s">
        <v>47</v>
      </c>
      <c r="S348" t="s">
        <v>46</v>
      </c>
      <c r="T348" t="s">
        <v>46</v>
      </c>
      <c r="U348" s="4">
        <v>-3314.59</v>
      </c>
      <c r="V348" t="str">
        <f t="shared" si="5"/>
        <v>-095</v>
      </c>
      <c r="W348" t="str">
        <f>VLOOKUP(K348,[1]Info!A$1:B$21,2,0)</f>
        <v>Carboval</v>
      </c>
      <c r="X348" t="e">
        <f>IF(M348="109595132","Material de Limpeza-Não Avaliar",IF(AND(K348="F20",M348&lt;&gt;109595132),IF(RIGHT(F348,2)="70","Infraestrutura de Planta","Prédios e Instalações"),IF(K348="FPC",VLOOKUP(F348,[1]Info!$E$2:$F$11,2,0),IF(K348="FGP",VLOOKUP(F348,[1]Info!$E$9:$F$10,2,0),IF(K348="F10",VLOOKUP(F348,[1]Info!$E$2:$F$3,2,0),VLOOKUP(K348,[1]Info!$A$1:$B$21,2,0))))))</f>
        <v>#N/A</v>
      </c>
    </row>
    <row r="349" spans="1:24" x14ac:dyDescent="0.35">
      <c r="A349" t="s">
        <v>41</v>
      </c>
      <c r="B349" t="s">
        <v>65</v>
      </c>
      <c r="C349" t="s">
        <v>66</v>
      </c>
      <c r="D349" t="s">
        <v>100</v>
      </c>
      <c r="E349" t="s">
        <v>65</v>
      </c>
      <c r="F349">
        <v>7097075</v>
      </c>
      <c r="G349" t="s">
        <v>104</v>
      </c>
      <c r="H349" t="s">
        <v>68</v>
      </c>
      <c r="I349" t="s">
        <v>69</v>
      </c>
      <c r="J349" t="s">
        <v>78</v>
      </c>
      <c r="K349" t="s">
        <v>0</v>
      </c>
      <c r="L349" t="s">
        <v>59</v>
      </c>
      <c r="M349" t="s">
        <v>46</v>
      </c>
      <c r="N349" t="s">
        <v>47</v>
      </c>
      <c r="O349" t="s">
        <v>1528</v>
      </c>
      <c r="P349" t="s">
        <v>1292</v>
      </c>
      <c r="Q349" t="s">
        <v>46</v>
      </c>
      <c r="R349" t="s">
        <v>47</v>
      </c>
      <c r="S349" t="s">
        <v>46</v>
      </c>
      <c r="T349" t="s">
        <v>46</v>
      </c>
      <c r="U349" s="4">
        <v>-203.28</v>
      </c>
      <c r="V349" t="str">
        <f t="shared" si="5"/>
        <v>-005</v>
      </c>
      <c r="W349" t="str">
        <f>VLOOKUP(K349,[1]Info!A$1:B$21,2,0)</f>
        <v>Carboval</v>
      </c>
      <c r="X349" t="e">
        <f>IF(M349="109595132","Material de Limpeza-Não Avaliar",IF(AND(K349="F20",M349&lt;&gt;109595132),IF(RIGHT(F349,2)="70","Infraestrutura de Planta","Prédios e Instalações"),IF(K349="FPC",VLOOKUP(F349,[1]Info!$E$2:$F$11,2,0),IF(K349="FGP",VLOOKUP(F349,[1]Info!$E$9:$F$10,2,0),IF(K349="F10",VLOOKUP(F349,[1]Info!$E$2:$F$3,2,0),VLOOKUP(K349,[1]Info!$A$1:$B$21,2,0))))))</f>
        <v>#N/A</v>
      </c>
    </row>
    <row r="350" spans="1:24" x14ac:dyDescent="0.35">
      <c r="A350" t="s">
        <v>41</v>
      </c>
      <c r="B350" t="s">
        <v>65</v>
      </c>
      <c r="C350" t="s">
        <v>66</v>
      </c>
      <c r="D350" t="s">
        <v>100</v>
      </c>
      <c r="E350" t="s">
        <v>65</v>
      </c>
      <c r="F350">
        <v>7097075</v>
      </c>
      <c r="G350" t="s">
        <v>104</v>
      </c>
      <c r="H350" t="s">
        <v>68</v>
      </c>
      <c r="I350" t="s">
        <v>69</v>
      </c>
      <c r="J350" t="s">
        <v>78</v>
      </c>
      <c r="K350" t="s">
        <v>0</v>
      </c>
      <c r="L350" t="s">
        <v>59</v>
      </c>
      <c r="M350" t="s">
        <v>46</v>
      </c>
      <c r="N350" t="s">
        <v>47</v>
      </c>
      <c r="O350" t="s">
        <v>256</v>
      </c>
      <c r="P350" t="s">
        <v>1292</v>
      </c>
      <c r="Q350" t="s">
        <v>46</v>
      </c>
      <c r="R350" t="s">
        <v>47</v>
      </c>
      <c r="S350" t="s">
        <v>46</v>
      </c>
      <c r="T350" t="s">
        <v>46</v>
      </c>
      <c r="U350" s="4">
        <v>-464.04</v>
      </c>
      <c r="V350" t="str">
        <f t="shared" si="5"/>
        <v>-010</v>
      </c>
      <c r="W350" t="str">
        <f>VLOOKUP(K350,[1]Info!A$1:B$21,2,0)</f>
        <v>Carboval</v>
      </c>
      <c r="X350" t="e">
        <f>IF(M350="109595132","Material de Limpeza-Não Avaliar",IF(AND(K350="F20",M350&lt;&gt;109595132),IF(RIGHT(F350,2)="70","Infraestrutura de Planta","Prédios e Instalações"),IF(K350="FPC",VLOOKUP(F350,[1]Info!$E$2:$F$11,2,0),IF(K350="FGP",VLOOKUP(F350,[1]Info!$E$9:$F$10,2,0),IF(K350="F10",VLOOKUP(F350,[1]Info!$E$2:$F$3,2,0),VLOOKUP(K350,[1]Info!$A$1:$B$21,2,0))))))</f>
        <v>#N/A</v>
      </c>
    </row>
    <row r="351" spans="1:24" x14ac:dyDescent="0.35">
      <c r="A351" t="s">
        <v>41</v>
      </c>
      <c r="B351" t="s">
        <v>65</v>
      </c>
      <c r="C351" t="s">
        <v>66</v>
      </c>
      <c r="D351" t="s">
        <v>100</v>
      </c>
      <c r="E351" t="s">
        <v>65</v>
      </c>
      <c r="F351">
        <v>7097075</v>
      </c>
      <c r="G351" t="s">
        <v>104</v>
      </c>
      <c r="H351" t="s">
        <v>68</v>
      </c>
      <c r="I351" t="s">
        <v>69</v>
      </c>
      <c r="J351" t="s">
        <v>78</v>
      </c>
      <c r="K351" t="s">
        <v>0</v>
      </c>
      <c r="L351" t="s">
        <v>59</v>
      </c>
      <c r="M351" t="s">
        <v>46</v>
      </c>
      <c r="N351" t="s">
        <v>47</v>
      </c>
      <c r="O351" t="s">
        <v>1529</v>
      </c>
      <c r="P351" t="s">
        <v>1292</v>
      </c>
      <c r="Q351" t="s">
        <v>46</v>
      </c>
      <c r="R351" t="s">
        <v>47</v>
      </c>
      <c r="S351" t="s">
        <v>46</v>
      </c>
      <c r="T351" t="s">
        <v>46</v>
      </c>
      <c r="U351" s="4">
        <v>-1458.43</v>
      </c>
      <c r="V351" t="str">
        <f t="shared" si="5"/>
        <v>0050</v>
      </c>
      <c r="W351" t="str">
        <f>VLOOKUP(K351,[1]Info!A$1:B$21,2,0)</f>
        <v>Carboval</v>
      </c>
      <c r="X351" t="e">
        <f>IF(M351="109595132","Material de Limpeza-Não Avaliar",IF(AND(K351="F20",M351&lt;&gt;109595132),IF(RIGHT(F351,2)="70","Infraestrutura de Planta","Prédios e Instalações"),IF(K351="FPC",VLOOKUP(F351,[1]Info!$E$2:$F$11,2,0),IF(K351="FGP",VLOOKUP(F351,[1]Info!$E$9:$F$10,2,0),IF(K351="F10",VLOOKUP(F351,[1]Info!$E$2:$F$3,2,0),VLOOKUP(K351,[1]Info!$A$1:$B$21,2,0))))))</f>
        <v>#N/A</v>
      </c>
    </row>
    <row r="352" spans="1:24" x14ac:dyDescent="0.35">
      <c r="A352" t="s">
        <v>41</v>
      </c>
      <c r="B352" t="s">
        <v>65</v>
      </c>
      <c r="C352" t="s">
        <v>66</v>
      </c>
      <c r="D352" t="s">
        <v>100</v>
      </c>
      <c r="E352" t="s">
        <v>65</v>
      </c>
      <c r="F352">
        <v>7097075</v>
      </c>
      <c r="G352" t="s">
        <v>104</v>
      </c>
      <c r="H352" t="s">
        <v>68</v>
      </c>
      <c r="I352" t="s">
        <v>69</v>
      </c>
      <c r="J352" t="s">
        <v>78</v>
      </c>
      <c r="K352" t="s">
        <v>0</v>
      </c>
      <c r="L352" t="s">
        <v>59</v>
      </c>
      <c r="M352" t="s">
        <v>46</v>
      </c>
      <c r="N352" t="s">
        <v>47</v>
      </c>
      <c r="O352" t="s">
        <v>1530</v>
      </c>
      <c r="P352" t="s">
        <v>1292</v>
      </c>
      <c r="Q352" t="s">
        <v>46</v>
      </c>
      <c r="R352" t="s">
        <v>47</v>
      </c>
      <c r="S352" t="s">
        <v>46</v>
      </c>
      <c r="T352" t="s">
        <v>46</v>
      </c>
      <c r="U352" s="4">
        <v>-311.57</v>
      </c>
      <c r="V352" t="str">
        <f t="shared" si="5"/>
        <v>0060</v>
      </c>
      <c r="W352" t="str">
        <f>VLOOKUP(K352,[1]Info!A$1:B$21,2,0)</f>
        <v>Carboval</v>
      </c>
      <c r="X352" t="e">
        <f>IF(M352="109595132","Material de Limpeza-Não Avaliar",IF(AND(K352="F20",M352&lt;&gt;109595132),IF(RIGHT(F352,2)="70","Infraestrutura de Planta","Prédios e Instalações"),IF(K352="FPC",VLOOKUP(F352,[1]Info!$E$2:$F$11,2,0),IF(K352="FGP",VLOOKUP(F352,[1]Info!$E$9:$F$10,2,0),IF(K352="F10",VLOOKUP(F352,[1]Info!$E$2:$F$3,2,0),VLOOKUP(K352,[1]Info!$A$1:$B$21,2,0))))))</f>
        <v>#N/A</v>
      </c>
    </row>
    <row r="353" spans="1:24" x14ac:dyDescent="0.35">
      <c r="A353" t="s">
        <v>41</v>
      </c>
      <c r="B353" t="s">
        <v>65</v>
      </c>
      <c r="C353" t="s">
        <v>66</v>
      </c>
      <c r="D353" t="s">
        <v>100</v>
      </c>
      <c r="E353" t="s">
        <v>65</v>
      </c>
      <c r="F353">
        <v>7097075</v>
      </c>
      <c r="G353" t="s">
        <v>104</v>
      </c>
      <c r="H353" t="s">
        <v>68</v>
      </c>
      <c r="I353" t="s">
        <v>69</v>
      </c>
      <c r="J353" t="s">
        <v>78</v>
      </c>
      <c r="K353" t="s">
        <v>0</v>
      </c>
      <c r="L353" t="s">
        <v>59</v>
      </c>
      <c r="M353" t="s">
        <v>46</v>
      </c>
      <c r="N353" t="s">
        <v>47</v>
      </c>
      <c r="O353" t="s">
        <v>1216</v>
      </c>
      <c r="P353" t="s">
        <v>1292</v>
      </c>
      <c r="Q353" t="s">
        <v>46</v>
      </c>
      <c r="R353" t="s">
        <v>47</v>
      </c>
      <c r="S353" t="s">
        <v>46</v>
      </c>
      <c r="T353" t="s">
        <v>46</v>
      </c>
      <c r="U353" s="4">
        <v>-101.64</v>
      </c>
      <c r="V353" t="str">
        <f t="shared" si="5"/>
        <v>0080</v>
      </c>
      <c r="W353" t="str">
        <f>VLOOKUP(K353,[1]Info!A$1:B$21,2,0)</f>
        <v>Carboval</v>
      </c>
      <c r="X353" t="e">
        <f>IF(M353="109595132","Material de Limpeza-Não Avaliar",IF(AND(K353="F20",M353&lt;&gt;109595132),IF(RIGHT(F353,2)="70","Infraestrutura de Planta","Prédios e Instalações"),IF(K353="FPC",VLOOKUP(F353,[1]Info!$E$2:$F$11,2,0),IF(K353="FGP",VLOOKUP(F353,[1]Info!$E$9:$F$10,2,0),IF(K353="F10",VLOOKUP(F353,[1]Info!$E$2:$F$3,2,0),VLOOKUP(K353,[1]Info!$A$1:$B$21,2,0))))))</f>
        <v>#N/A</v>
      </c>
    </row>
    <row r="354" spans="1:24" x14ac:dyDescent="0.35">
      <c r="A354" t="s">
        <v>41</v>
      </c>
      <c r="B354" t="s">
        <v>65</v>
      </c>
      <c r="C354" t="s">
        <v>66</v>
      </c>
      <c r="D354" t="s">
        <v>100</v>
      </c>
      <c r="E354" t="s">
        <v>65</v>
      </c>
      <c r="F354">
        <v>7097075</v>
      </c>
      <c r="G354" t="s">
        <v>104</v>
      </c>
      <c r="H354" t="s">
        <v>68</v>
      </c>
      <c r="I354" t="s">
        <v>69</v>
      </c>
      <c r="J354" t="s">
        <v>78</v>
      </c>
      <c r="K354" t="s">
        <v>0</v>
      </c>
      <c r="L354" t="s">
        <v>51</v>
      </c>
      <c r="M354" t="s">
        <v>46</v>
      </c>
      <c r="N354" t="s">
        <v>47</v>
      </c>
      <c r="O354" t="s">
        <v>1223</v>
      </c>
      <c r="P354" t="s">
        <v>1292</v>
      </c>
      <c r="Q354" t="s">
        <v>46</v>
      </c>
      <c r="R354" t="s">
        <v>47</v>
      </c>
      <c r="S354" t="s">
        <v>46</v>
      </c>
      <c r="T354" t="s">
        <v>46</v>
      </c>
      <c r="U354" s="4">
        <v>-309.36</v>
      </c>
      <c r="V354" t="str">
        <f t="shared" si="5"/>
        <v>0050</v>
      </c>
      <c r="W354" t="str">
        <f>VLOOKUP(K354,[1]Info!A$1:B$21,2,0)</f>
        <v>Carboval</v>
      </c>
      <c r="X354" t="e">
        <f>IF(M354="109595132","Material de Limpeza-Não Avaliar",IF(AND(K354="F20",M354&lt;&gt;109595132),IF(RIGHT(F354,2)="70","Infraestrutura de Planta","Prédios e Instalações"),IF(K354="FPC",VLOOKUP(F354,[1]Info!$E$2:$F$11,2,0),IF(K354="FGP",VLOOKUP(F354,[1]Info!$E$9:$F$10,2,0),IF(K354="F10",VLOOKUP(F354,[1]Info!$E$2:$F$3,2,0),VLOOKUP(K354,[1]Info!$A$1:$B$21,2,0))))))</f>
        <v>#N/A</v>
      </c>
    </row>
    <row r="355" spans="1:24" x14ac:dyDescent="0.35">
      <c r="A355" t="s">
        <v>41</v>
      </c>
      <c r="B355" t="s">
        <v>65</v>
      </c>
      <c r="C355" t="s">
        <v>66</v>
      </c>
      <c r="D355" t="s">
        <v>100</v>
      </c>
      <c r="E355" t="s">
        <v>65</v>
      </c>
      <c r="F355">
        <v>7097075</v>
      </c>
      <c r="G355" t="s">
        <v>104</v>
      </c>
      <c r="H355" t="s">
        <v>68</v>
      </c>
      <c r="I355" t="s">
        <v>69</v>
      </c>
      <c r="J355" t="s">
        <v>78</v>
      </c>
      <c r="K355" t="s">
        <v>0</v>
      </c>
      <c r="L355" t="s">
        <v>51</v>
      </c>
      <c r="M355" t="s">
        <v>46</v>
      </c>
      <c r="N355" t="s">
        <v>47</v>
      </c>
      <c r="O355" t="s">
        <v>1531</v>
      </c>
      <c r="P355" t="s">
        <v>1292</v>
      </c>
      <c r="Q355" t="s">
        <v>46</v>
      </c>
      <c r="R355" t="s">
        <v>47</v>
      </c>
      <c r="S355" t="s">
        <v>46</v>
      </c>
      <c r="T355" t="s">
        <v>46</v>
      </c>
      <c r="U355" s="4">
        <v>-353.55</v>
      </c>
      <c r="V355" t="str">
        <f t="shared" si="5"/>
        <v>0080</v>
      </c>
      <c r="W355" t="str">
        <f>VLOOKUP(K355,[1]Info!A$1:B$21,2,0)</f>
        <v>Carboval</v>
      </c>
      <c r="X355" t="e">
        <f>IF(M355="109595132","Material de Limpeza-Não Avaliar",IF(AND(K355="F20",M355&lt;&gt;109595132),IF(RIGHT(F355,2)="70","Infraestrutura de Planta","Prédios e Instalações"),IF(K355="FPC",VLOOKUP(F355,[1]Info!$E$2:$F$11,2,0),IF(K355="FGP",VLOOKUP(F355,[1]Info!$E$9:$F$10,2,0),IF(K355="F10",VLOOKUP(F355,[1]Info!$E$2:$F$3,2,0),VLOOKUP(K355,[1]Info!$A$1:$B$21,2,0))))))</f>
        <v>#N/A</v>
      </c>
    </row>
    <row r="356" spans="1:24" x14ac:dyDescent="0.35">
      <c r="A356" t="s">
        <v>41</v>
      </c>
      <c r="B356" t="s">
        <v>65</v>
      </c>
      <c r="C356" t="s">
        <v>66</v>
      </c>
      <c r="D356" t="s">
        <v>100</v>
      </c>
      <c r="E356" t="s">
        <v>65</v>
      </c>
      <c r="F356">
        <v>7097075</v>
      </c>
      <c r="G356" t="s">
        <v>104</v>
      </c>
      <c r="H356" t="s">
        <v>68</v>
      </c>
      <c r="I356" t="s">
        <v>69</v>
      </c>
      <c r="J356" t="s">
        <v>78</v>
      </c>
      <c r="K356" t="s">
        <v>0</v>
      </c>
      <c r="L356" t="s">
        <v>51</v>
      </c>
      <c r="M356" t="s">
        <v>46</v>
      </c>
      <c r="N356" t="s">
        <v>47</v>
      </c>
      <c r="O356" t="s">
        <v>1532</v>
      </c>
      <c r="P356" t="s">
        <v>1292</v>
      </c>
      <c r="Q356" t="s">
        <v>46</v>
      </c>
      <c r="R356" t="s">
        <v>47</v>
      </c>
      <c r="S356" t="s">
        <v>46</v>
      </c>
      <c r="T356" t="s">
        <v>46</v>
      </c>
      <c r="U356" s="4">
        <v>-309.36</v>
      </c>
      <c r="V356" t="str">
        <f t="shared" si="5"/>
        <v>-045</v>
      </c>
      <c r="W356" t="str">
        <f>VLOOKUP(K356,[1]Info!A$1:B$21,2,0)</f>
        <v>Carboval</v>
      </c>
      <c r="X356" t="e">
        <f>IF(M356="109595132","Material de Limpeza-Não Avaliar",IF(AND(K356="F20",M356&lt;&gt;109595132),IF(RIGHT(F356,2)="70","Infraestrutura de Planta","Prédios e Instalações"),IF(K356="FPC",VLOOKUP(F356,[1]Info!$E$2:$F$11,2,0),IF(K356="FGP",VLOOKUP(F356,[1]Info!$E$9:$F$10,2,0),IF(K356="F10",VLOOKUP(F356,[1]Info!$E$2:$F$3,2,0),VLOOKUP(K356,[1]Info!$A$1:$B$21,2,0))))))</f>
        <v>#N/A</v>
      </c>
    </row>
    <row r="357" spans="1:24" x14ac:dyDescent="0.35">
      <c r="A357" t="s">
        <v>41</v>
      </c>
      <c r="B357" t="s">
        <v>65</v>
      </c>
      <c r="C357" t="s">
        <v>66</v>
      </c>
      <c r="D357" t="s">
        <v>100</v>
      </c>
      <c r="E357" t="s">
        <v>65</v>
      </c>
      <c r="F357">
        <v>7097075</v>
      </c>
      <c r="G357" t="s">
        <v>104</v>
      </c>
      <c r="H357" t="s">
        <v>68</v>
      </c>
      <c r="I357" t="s">
        <v>69</v>
      </c>
      <c r="J357" t="s">
        <v>78</v>
      </c>
      <c r="K357" t="s">
        <v>0</v>
      </c>
      <c r="L357" t="s">
        <v>51</v>
      </c>
      <c r="M357" t="s">
        <v>46</v>
      </c>
      <c r="N357" t="s">
        <v>47</v>
      </c>
      <c r="O357" t="s">
        <v>1533</v>
      </c>
      <c r="P357" t="s">
        <v>1292</v>
      </c>
      <c r="Q357" t="s">
        <v>46</v>
      </c>
      <c r="R357" t="s">
        <v>47</v>
      </c>
      <c r="S357" t="s">
        <v>46</v>
      </c>
      <c r="T357" t="s">
        <v>46</v>
      </c>
      <c r="U357" s="4">
        <v>-2077.14</v>
      </c>
      <c r="V357" t="str">
        <f t="shared" si="5"/>
        <v>-055</v>
      </c>
      <c r="W357" t="str">
        <f>VLOOKUP(K357,[1]Info!A$1:B$21,2,0)</f>
        <v>Carboval</v>
      </c>
      <c r="X357" t="e">
        <f>IF(M357="109595132","Material de Limpeza-Não Avaliar",IF(AND(K357="F20",M357&lt;&gt;109595132),IF(RIGHT(F357,2)="70","Infraestrutura de Planta","Prédios e Instalações"),IF(K357="FPC",VLOOKUP(F357,[1]Info!$E$2:$F$11,2,0),IF(K357="FGP",VLOOKUP(F357,[1]Info!$E$9:$F$10,2,0),IF(K357="F10",VLOOKUP(F357,[1]Info!$E$2:$F$3,2,0),VLOOKUP(K357,[1]Info!$A$1:$B$21,2,0))))))</f>
        <v>#N/A</v>
      </c>
    </row>
    <row r="358" spans="1:24" x14ac:dyDescent="0.35">
      <c r="A358" t="s">
        <v>41</v>
      </c>
      <c r="B358" t="s">
        <v>65</v>
      </c>
      <c r="C358" t="s">
        <v>66</v>
      </c>
      <c r="D358" t="s">
        <v>100</v>
      </c>
      <c r="E358" t="s">
        <v>65</v>
      </c>
      <c r="F358">
        <v>7097075</v>
      </c>
      <c r="G358" t="s">
        <v>104</v>
      </c>
      <c r="H358" t="s">
        <v>68</v>
      </c>
      <c r="I358" t="s">
        <v>69</v>
      </c>
      <c r="J358" t="s">
        <v>78</v>
      </c>
      <c r="K358" t="s">
        <v>0</v>
      </c>
      <c r="L358" t="s">
        <v>51</v>
      </c>
      <c r="M358" t="s">
        <v>46</v>
      </c>
      <c r="N358" t="s">
        <v>47</v>
      </c>
      <c r="O358" t="s">
        <v>1534</v>
      </c>
      <c r="P358" t="s">
        <v>1292</v>
      </c>
      <c r="Q358" t="s">
        <v>46</v>
      </c>
      <c r="R358" t="s">
        <v>47</v>
      </c>
      <c r="S358" t="s">
        <v>46</v>
      </c>
      <c r="T358" t="s">
        <v>46</v>
      </c>
      <c r="U358" s="4">
        <v>-1193.25</v>
      </c>
      <c r="V358" t="str">
        <f t="shared" si="5"/>
        <v>-060</v>
      </c>
      <c r="W358" t="str">
        <f>VLOOKUP(K358,[1]Info!A$1:B$21,2,0)</f>
        <v>Carboval</v>
      </c>
      <c r="X358" t="e">
        <f>IF(M358="109595132","Material de Limpeza-Não Avaliar",IF(AND(K358="F20",M358&lt;&gt;109595132),IF(RIGHT(F358,2)="70","Infraestrutura de Planta","Prédios e Instalações"),IF(K358="FPC",VLOOKUP(F358,[1]Info!$E$2:$F$11,2,0),IF(K358="FGP",VLOOKUP(F358,[1]Info!$E$9:$F$10,2,0),IF(K358="F10",VLOOKUP(F358,[1]Info!$E$2:$F$3,2,0),VLOOKUP(K358,[1]Info!$A$1:$B$21,2,0))))))</f>
        <v>#N/A</v>
      </c>
    </row>
    <row r="359" spans="1:24" x14ac:dyDescent="0.35">
      <c r="A359" t="s">
        <v>41</v>
      </c>
      <c r="B359" t="s">
        <v>65</v>
      </c>
      <c r="C359" t="s">
        <v>66</v>
      </c>
      <c r="D359" t="s">
        <v>100</v>
      </c>
      <c r="E359" t="s">
        <v>65</v>
      </c>
      <c r="F359">
        <v>7097075</v>
      </c>
      <c r="G359" t="s">
        <v>104</v>
      </c>
      <c r="H359" t="s">
        <v>68</v>
      </c>
      <c r="I359" t="s">
        <v>69</v>
      </c>
      <c r="J359" t="s">
        <v>78</v>
      </c>
      <c r="K359" t="s">
        <v>0</v>
      </c>
      <c r="L359" t="s">
        <v>51</v>
      </c>
      <c r="M359" t="s">
        <v>46</v>
      </c>
      <c r="N359" t="s">
        <v>47</v>
      </c>
      <c r="O359" t="s">
        <v>1535</v>
      </c>
      <c r="P359" t="s">
        <v>1292</v>
      </c>
      <c r="Q359" t="s">
        <v>46</v>
      </c>
      <c r="R359" t="s">
        <v>47</v>
      </c>
      <c r="S359" t="s">
        <v>46</v>
      </c>
      <c r="T359" t="s">
        <v>46</v>
      </c>
      <c r="U359" s="4">
        <v>-220.95</v>
      </c>
      <c r="V359" t="str">
        <f t="shared" si="5"/>
        <v>-100</v>
      </c>
      <c r="W359" t="str">
        <f>VLOOKUP(K359,[1]Info!A$1:B$21,2,0)</f>
        <v>Carboval</v>
      </c>
      <c r="X359" t="e">
        <f>IF(M359="109595132","Material de Limpeza-Não Avaliar",IF(AND(K359="F20",M359&lt;&gt;109595132),IF(RIGHT(F359,2)="70","Infraestrutura de Planta","Prédios e Instalações"),IF(K359="FPC",VLOOKUP(F359,[1]Info!$E$2:$F$11,2,0),IF(K359="FGP",VLOOKUP(F359,[1]Info!$E$9:$F$10,2,0),IF(K359="F10",VLOOKUP(F359,[1]Info!$E$2:$F$3,2,0),VLOOKUP(K359,[1]Info!$A$1:$B$21,2,0))))))</f>
        <v>#N/A</v>
      </c>
    </row>
    <row r="360" spans="1:24" x14ac:dyDescent="0.35">
      <c r="A360" t="s">
        <v>41</v>
      </c>
      <c r="B360" t="s">
        <v>65</v>
      </c>
      <c r="C360" t="s">
        <v>66</v>
      </c>
      <c r="D360" t="s">
        <v>100</v>
      </c>
      <c r="E360" t="s">
        <v>65</v>
      </c>
      <c r="F360">
        <v>7097075</v>
      </c>
      <c r="G360" t="s">
        <v>104</v>
      </c>
      <c r="H360" t="s">
        <v>68</v>
      </c>
      <c r="I360" t="s">
        <v>69</v>
      </c>
      <c r="J360" t="s">
        <v>78</v>
      </c>
      <c r="K360" t="s">
        <v>0</v>
      </c>
      <c r="L360" t="s">
        <v>51</v>
      </c>
      <c r="M360" t="s">
        <v>46</v>
      </c>
      <c r="N360" t="s">
        <v>47</v>
      </c>
      <c r="O360" t="s">
        <v>1536</v>
      </c>
      <c r="P360" t="s">
        <v>1292</v>
      </c>
      <c r="Q360" t="s">
        <v>46</v>
      </c>
      <c r="R360" t="s">
        <v>47</v>
      </c>
      <c r="S360" t="s">
        <v>46</v>
      </c>
      <c r="T360" t="s">
        <v>46</v>
      </c>
      <c r="U360" s="4">
        <v>-397.75</v>
      </c>
      <c r="V360" t="str">
        <f t="shared" si="5"/>
        <v>-090</v>
      </c>
      <c r="W360" t="str">
        <f>VLOOKUP(K360,[1]Info!A$1:B$21,2,0)</f>
        <v>Carboval</v>
      </c>
      <c r="X360" t="e">
        <f>IF(M360="109595132","Material de Limpeza-Não Avaliar",IF(AND(K360="F20",M360&lt;&gt;109595132),IF(RIGHT(F360,2)="70","Infraestrutura de Planta","Prédios e Instalações"),IF(K360="FPC",VLOOKUP(F360,[1]Info!$E$2:$F$11,2,0),IF(K360="FGP",VLOOKUP(F360,[1]Info!$E$9:$F$10,2,0),IF(K360="F10",VLOOKUP(F360,[1]Info!$E$2:$F$3,2,0),VLOOKUP(K360,[1]Info!$A$1:$B$21,2,0))))))</f>
        <v>#N/A</v>
      </c>
    </row>
    <row r="361" spans="1:24" x14ac:dyDescent="0.35">
      <c r="A361" t="s">
        <v>41</v>
      </c>
      <c r="B361" t="s">
        <v>65</v>
      </c>
      <c r="C361" t="s">
        <v>66</v>
      </c>
      <c r="D361" t="s">
        <v>100</v>
      </c>
      <c r="E361" t="s">
        <v>65</v>
      </c>
      <c r="F361">
        <v>7097075</v>
      </c>
      <c r="G361" t="s">
        <v>104</v>
      </c>
      <c r="H361" t="s">
        <v>68</v>
      </c>
      <c r="I361" t="s">
        <v>69</v>
      </c>
      <c r="J361" t="s">
        <v>78</v>
      </c>
      <c r="K361" t="s">
        <v>0</v>
      </c>
      <c r="L361" t="s">
        <v>51</v>
      </c>
      <c r="M361" t="s">
        <v>46</v>
      </c>
      <c r="N361" t="s">
        <v>47</v>
      </c>
      <c r="O361" t="s">
        <v>1537</v>
      </c>
      <c r="P361" t="s">
        <v>1292</v>
      </c>
      <c r="Q361" t="s">
        <v>46</v>
      </c>
      <c r="R361" t="s">
        <v>47</v>
      </c>
      <c r="S361" t="s">
        <v>46</v>
      </c>
      <c r="T361" t="s">
        <v>46</v>
      </c>
      <c r="U361" s="4">
        <v>-265.17</v>
      </c>
      <c r="V361" t="str">
        <f t="shared" si="5"/>
        <v>-100</v>
      </c>
      <c r="W361" t="str">
        <f>VLOOKUP(K361,[1]Info!A$1:B$21,2,0)</f>
        <v>Carboval</v>
      </c>
      <c r="X361" t="e">
        <f>IF(M361="109595132","Material de Limpeza-Não Avaliar",IF(AND(K361="F20",M361&lt;&gt;109595132),IF(RIGHT(F361,2)="70","Infraestrutura de Planta","Prédios e Instalações"),IF(K361="FPC",VLOOKUP(F361,[1]Info!$E$2:$F$11,2,0),IF(K361="FGP",VLOOKUP(F361,[1]Info!$E$9:$F$10,2,0),IF(K361="F10",VLOOKUP(F361,[1]Info!$E$2:$F$3,2,0),VLOOKUP(K361,[1]Info!$A$1:$B$21,2,0))))))</f>
        <v>#N/A</v>
      </c>
    </row>
    <row r="362" spans="1:24" x14ac:dyDescent="0.35">
      <c r="A362" t="s">
        <v>41</v>
      </c>
      <c r="B362" t="s">
        <v>65</v>
      </c>
      <c r="C362" t="s">
        <v>66</v>
      </c>
      <c r="D362" t="s">
        <v>100</v>
      </c>
      <c r="E362" t="s">
        <v>65</v>
      </c>
      <c r="F362">
        <v>7097075</v>
      </c>
      <c r="G362" t="s">
        <v>104</v>
      </c>
      <c r="H362" t="s">
        <v>68</v>
      </c>
      <c r="I362" t="s">
        <v>69</v>
      </c>
      <c r="J362" t="s">
        <v>78</v>
      </c>
      <c r="K362" t="s">
        <v>0</v>
      </c>
      <c r="L362" t="s">
        <v>51</v>
      </c>
      <c r="M362" t="s">
        <v>46</v>
      </c>
      <c r="N362" t="s">
        <v>47</v>
      </c>
      <c r="O362" t="s">
        <v>1211</v>
      </c>
      <c r="P362" t="s">
        <v>1292</v>
      </c>
      <c r="Q362" t="s">
        <v>46</v>
      </c>
      <c r="R362" t="s">
        <v>47</v>
      </c>
      <c r="S362" t="s">
        <v>46</v>
      </c>
      <c r="T362" t="s">
        <v>46</v>
      </c>
      <c r="U362" s="4">
        <v>-3579.76</v>
      </c>
      <c r="V362" t="str">
        <f t="shared" si="5"/>
        <v>-095</v>
      </c>
      <c r="W362" t="str">
        <f>VLOOKUP(K362,[1]Info!A$1:B$21,2,0)</f>
        <v>Carboval</v>
      </c>
      <c r="X362" t="e">
        <f>IF(M362="109595132","Material de Limpeza-Não Avaliar",IF(AND(K362="F20",M362&lt;&gt;109595132),IF(RIGHT(F362,2)="70","Infraestrutura de Planta","Prédios e Instalações"),IF(K362="FPC",VLOOKUP(F362,[1]Info!$E$2:$F$11,2,0),IF(K362="FGP",VLOOKUP(F362,[1]Info!$E$9:$F$10,2,0),IF(K362="F10",VLOOKUP(F362,[1]Info!$E$2:$F$3,2,0),VLOOKUP(K362,[1]Info!$A$1:$B$21,2,0))))))</f>
        <v>#N/A</v>
      </c>
    </row>
    <row r="363" spans="1:24" x14ac:dyDescent="0.35">
      <c r="A363" t="s">
        <v>41</v>
      </c>
      <c r="B363" t="s">
        <v>65</v>
      </c>
      <c r="C363" t="s">
        <v>66</v>
      </c>
      <c r="D363" t="s">
        <v>100</v>
      </c>
      <c r="E363" t="s">
        <v>65</v>
      </c>
      <c r="F363">
        <v>7097075</v>
      </c>
      <c r="G363" t="s">
        <v>104</v>
      </c>
      <c r="H363" t="s">
        <v>68</v>
      </c>
      <c r="I363" t="s">
        <v>69</v>
      </c>
      <c r="J363" t="s">
        <v>78</v>
      </c>
      <c r="K363" t="s">
        <v>0</v>
      </c>
      <c r="L363" t="s">
        <v>51</v>
      </c>
      <c r="M363" t="s">
        <v>46</v>
      </c>
      <c r="N363" t="s">
        <v>47</v>
      </c>
      <c r="O363" t="s">
        <v>1538</v>
      </c>
      <c r="P363" t="s">
        <v>1292</v>
      </c>
      <c r="Q363" t="s">
        <v>46</v>
      </c>
      <c r="R363" t="s">
        <v>47</v>
      </c>
      <c r="S363" t="s">
        <v>46</v>
      </c>
      <c r="T363" t="s">
        <v>46</v>
      </c>
      <c r="U363" s="4">
        <v>-220.97</v>
      </c>
      <c r="V363" t="str">
        <f t="shared" si="5"/>
        <v>-100</v>
      </c>
      <c r="W363" t="str">
        <f>VLOOKUP(K363,[1]Info!A$1:B$21,2,0)</f>
        <v>Carboval</v>
      </c>
      <c r="X363" t="e">
        <f>IF(M363="109595132","Material de Limpeza-Não Avaliar",IF(AND(K363="F20",M363&lt;&gt;109595132),IF(RIGHT(F363,2)="70","Infraestrutura de Planta","Prédios e Instalações"),IF(K363="FPC",VLOOKUP(F363,[1]Info!$E$2:$F$11,2,0),IF(K363="FGP",VLOOKUP(F363,[1]Info!$E$9:$F$10,2,0),IF(K363="F10",VLOOKUP(F363,[1]Info!$E$2:$F$3,2,0),VLOOKUP(K363,[1]Info!$A$1:$B$21,2,0))))))</f>
        <v>#N/A</v>
      </c>
    </row>
    <row r="364" spans="1:24" x14ac:dyDescent="0.35">
      <c r="A364" t="s">
        <v>41</v>
      </c>
      <c r="B364" t="s">
        <v>65</v>
      </c>
      <c r="C364" t="s">
        <v>66</v>
      </c>
      <c r="D364" t="s">
        <v>100</v>
      </c>
      <c r="E364" t="s">
        <v>65</v>
      </c>
      <c r="F364">
        <v>7097075</v>
      </c>
      <c r="G364" t="s">
        <v>104</v>
      </c>
      <c r="H364" t="s">
        <v>68</v>
      </c>
      <c r="I364" t="s">
        <v>69</v>
      </c>
      <c r="J364" t="s">
        <v>78</v>
      </c>
      <c r="K364" t="s">
        <v>0</v>
      </c>
      <c r="L364" t="s">
        <v>51</v>
      </c>
      <c r="M364" t="s">
        <v>46</v>
      </c>
      <c r="N364" t="s">
        <v>47</v>
      </c>
      <c r="O364" t="s">
        <v>1539</v>
      </c>
      <c r="P364" t="s">
        <v>1292</v>
      </c>
      <c r="Q364" t="s">
        <v>46</v>
      </c>
      <c r="R364" t="s">
        <v>47</v>
      </c>
      <c r="S364" t="s">
        <v>46</v>
      </c>
      <c r="T364" t="s">
        <v>46</v>
      </c>
      <c r="U364" s="4">
        <v>-57.45</v>
      </c>
      <c r="V364" t="str">
        <f t="shared" si="5"/>
        <v>0040</v>
      </c>
      <c r="W364" t="str">
        <f>VLOOKUP(K364,[1]Info!A$1:B$21,2,0)</f>
        <v>Carboval</v>
      </c>
      <c r="X364" t="e">
        <f>IF(M364="109595132","Material de Limpeza-Não Avaliar",IF(AND(K364="F20",M364&lt;&gt;109595132),IF(RIGHT(F364,2)="70","Infraestrutura de Planta","Prédios e Instalações"),IF(K364="FPC",VLOOKUP(F364,[1]Info!$E$2:$F$11,2,0),IF(K364="FGP",VLOOKUP(F364,[1]Info!$E$9:$F$10,2,0),IF(K364="F10",VLOOKUP(F364,[1]Info!$E$2:$F$3,2,0),VLOOKUP(K364,[1]Info!$A$1:$B$21,2,0))))))</f>
        <v>#N/A</v>
      </c>
    </row>
    <row r="365" spans="1:24" x14ac:dyDescent="0.35">
      <c r="A365" t="s">
        <v>41</v>
      </c>
      <c r="B365" t="s">
        <v>65</v>
      </c>
      <c r="C365" t="s">
        <v>66</v>
      </c>
      <c r="D365" t="s">
        <v>100</v>
      </c>
      <c r="E365" t="s">
        <v>65</v>
      </c>
      <c r="F365">
        <v>7097075</v>
      </c>
      <c r="G365" t="s">
        <v>104</v>
      </c>
      <c r="H365" t="s">
        <v>68</v>
      </c>
      <c r="I365" t="s">
        <v>69</v>
      </c>
      <c r="J365" t="s">
        <v>78</v>
      </c>
      <c r="K365" t="s">
        <v>0</v>
      </c>
      <c r="L365" t="s">
        <v>51</v>
      </c>
      <c r="M365" t="s">
        <v>46</v>
      </c>
      <c r="N365" t="s">
        <v>47</v>
      </c>
      <c r="O365" t="s">
        <v>358</v>
      </c>
      <c r="P365" t="s">
        <v>1292</v>
      </c>
      <c r="Q365" t="s">
        <v>46</v>
      </c>
      <c r="R365" t="s">
        <v>47</v>
      </c>
      <c r="S365" t="s">
        <v>46</v>
      </c>
      <c r="T365" t="s">
        <v>46</v>
      </c>
      <c r="U365" s="4">
        <v>-309.36</v>
      </c>
      <c r="V365" t="str">
        <f t="shared" si="5"/>
        <v>0050</v>
      </c>
      <c r="W365" t="str">
        <f>VLOOKUP(K365,[1]Info!A$1:B$21,2,0)</f>
        <v>Carboval</v>
      </c>
      <c r="X365" t="e">
        <f>IF(M365="109595132","Material de Limpeza-Não Avaliar",IF(AND(K365="F20",M365&lt;&gt;109595132),IF(RIGHT(F365,2)="70","Infraestrutura de Planta","Prédios e Instalações"),IF(K365="FPC",VLOOKUP(F365,[1]Info!$E$2:$F$11,2,0),IF(K365="FGP",VLOOKUP(F365,[1]Info!$E$9:$F$10,2,0),IF(K365="F10",VLOOKUP(F365,[1]Info!$E$2:$F$3,2,0),VLOOKUP(K365,[1]Info!$A$1:$B$21,2,0))))))</f>
        <v>#N/A</v>
      </c>
    </row>
    <row r="366" spans="1:24" x14ac:dyDescent="0.35">
      <c r="A366" t="s">
        <v>41</v>
      </c>
      <c r="B366" t="s">
        <v>65</v>
      </c>
      <c r="C366" t="s">
        <v>66</v>
      </c>
      <c r="D366" t="s">
        <v>100</v>
      </c>
      <c r="E366" t="s">
        <v>65</v>
      </c>
      <c r="F366">
        <v>7097075</v>
      </c>
      <c r="G366" t="s">
        <v>104</v>
      </c>
      <c r="H366" t="s">
        <v>68</v>
      </c>
      <c r="I366" t="s">
        <v>69</v>
      </c>
      <c r="J366" t="s">
        <v>78</v>
      </c>
      <c r="K366" t="s">
        <v>0</v>
      </c>
      <c r="L366" t="s">
        <v>51</v>
      </c>
      <c r="M366" t="s">
        <v>46</v>
      </c>
      <c r="N366" t="s">
        <v>47</v>
      </c>
      <c r="O366" t="s">
        <v>1540</v>
      </c>
      <c r="P366" t="s">
        <v>1292</v>
      </c>
      <c r="Q366" t="s">
        <v>46</v>
      </c>
      <c r="R366" t="s">
        <v>47</v>
      </c>
      <c r="S366" t="s">
        <v>46</v>
      </c>
      <c r="T366" t="s">
        <v>46</v>
      </c>
      <c r="U366" s="4">
        <v>-574.52</v>
      </c>
      <c r="V366" t="str">
        <f t="shared" si="5"/>
        <v>0060</v>
      </c>
      <c r="W366" t="str">
        <f>VLOOKUP(K366,[1]Info!A$1:B$21,2,0)</f>
        <v>Carboval</v>
      </c>
      <c r="X366" t="e">
        <f>IF(M366="109595132","Material de Limpeza-Não Avaliar",IF(AND(K366="F20",M366&lt;&gt;109595132),IF(RIGHT(F366,2)="70","Infraestrutura de Planta","Prédios e Instalações"),IF(K366="FPC",VLOOKUP(F366,[1]Info!$E$2:$F$11,2,0),IF(K366="FGP",VLOOKUP(F366,[1]Info!$E$9:$F$10,2,0),IF(K366="F10",VLOOKUP(F366,[1]Info!$E$2:$F$3,2,0),VLOOKUP(K366,[1]Info!$A$1:$B$21,2,0))))))</f>
        <v>#N/A</v>
      </c>
    </row>
    <row r="367" spans="1:24" x14ac:dyDescent="0.35">
      <c r="A367" t="s">
        <v>41</v>
      </c>
      <c r="B367" t="s">
        <v>65</v>
      </c>
      <c r="C367" t="s">
        <v>66</v>
      </c>
      <c r="D367" t="s">
        <v>100</v>
      </c>
      <c r="E367" t="s">
        <v>65</v>
      </c>
      <c r="F367">
        <v>7097075</v>
      </c>
      <c r="G367" t="s">
        <v>104</v>
      </c>
      <c r="H367" t="s">
        <v>68</v>
      </c>
      <c r="I367" t="s">
        <v>69</v>
      </c>
      <c r="J367" t="s">
        <v>78</v>
      </c>
      <c r="K367" t="s">
        <v>0</v>
      </c>
      <c r="L367" t="s">
        <v>51</v>
      </c>
      <c r="M367" t="s">
        <v>46</v>
      </c>
      <c r="N367" t="s">
        <v>47</v>
      </c>
      <c r="O367" t="s">
        <v>1541</v>
      </c>
      <c r="P367" t="s">
        <v>1292</v>
      </c>
      <c r="Q367" t="s">
        <v>46</v>
      </c>
      <c r="R367" t="s">
        <v>47</v>
      </c>
      <c r="S367" t="s">
        <v>46</v>
      </c>
      <c r="T367" t="s">
        <v>46</v>
      </c>
      <c r="U367" s="4">
        <v>-441.93</v>
      </c>
      <c r="V367" t="str">
        <f t="shared" si="5"/>
        <v>0125</v>
      </c>
      <c r="W367" t="str">
        <f>VLOOKUP(K367,[1]Info!A$1:B$21,2,0)</f>
        <v>Carboval</v>
      </c>
      <c r="X367" t="e">
        <f>IF(M367="109595132","Material de Limpeza-Não Avaliar",IF(AND(K367="F20",M367&lt;&gt;109595132),IF(RIGHT(F367,2)="70","Infraestrutura de Planta","Prédios e Instalações"),IF(K367="FPC",VLOOKUP(F367,[1]Info!$E$2:$F$11,2,0),IF(K367="FGP",VLOOKUP(F367,[1]Info!$E$9:$F$10,2,0),IF(K367="F10",VLOOKUP(F367,[1]Info!$E$2:$F$3,2,0),VLOOKUP(K367,[1]Info!$A$1:$B$21,2,0))))))</f>
        <v>#N/A</v>
      </c>
    </row>
    <row r="368" spans="1:24" x14ac:dyDescent="0.35">
      <c r="A368" t="s">
        <v>41</v>
      </c>
      <c r="B368" t="s">
        <v>65</v>
      </c>
      <c r="C368" t="s">
        <v>66</v>
      </c>
      <c r="D368" t="s">
        <v>100</v>
      </c>
      <c r="E368" t="s">
        <v>65</v>
      </c>
      <c r="F368">
        <v>7097075</v>
      </c>
      <c r="G368" t="s">
        <v>104</v>
      </c>
      <c r="H368" t="s">
        <v>68</v>
      </c>
      <c r="I368" t="s">
        <v>69</v>
      </c>
      <c r="J368" t="s">
        <v>78</v>
      </c>
      <c r="K368" t="s">
        <v>0</v>
      </c>
      <c r="L368" t="s">
        <v>51</v>
      </c>
      <c r="M368" t="s">
        <v>46</v>
      </c>
      <c r="N368" t="s">
        <v>47</v>
      </c>
      <c r="O368" t="s">
        <v>1542</v>
      </c>
      <c r="P368" t="s">
        <v>1292</v>
      </c>
      <c r="Q368" t="s">
        <v>46</v>
      </c>
      <c r="R368" t="s">
        <v>47</v>
      </c>
      <c r="S368" t="s">
        <v>46</v>
      </c>
      <c r="T368" t="s">
        <v>46</v>
      </c>
      <c r="U368" s="4">
        <v>-1723.59</v>
      </c>
      <c r="V368" t="str">
        <f t="shared" si="5"/>
        <v>-005</v>
      </c>
      <c r="W368" t="str">
        <f>VLOOKUP(K368,[1]Info!A$1:B$21,2,0)</f>
        <v>Carboval</v>
      </c>
      <c r="X368" t="e">
        <f>IF(M368="109595132","Material de Limpeza-Não Avaliar",IF(AND(K368="F20",M368&lt;&gt;109595132),IF(RIGHT(F368,2)="70","Infraestrutura de Planta","Prédios e Instalações"),IF(K368="FPC",VLOOKUP(F368,[1]Info!$E$2:$F$11,2,0),IF(K368="FGP",VLOOKUP(F368,[1]Info!$E$9:$F$10,2,0),IF(K368="F10",VLOOKUP(F368,[1]Info!$E$2:$F$3,2,0),VLOOKUP(K368,[1]Info!$A$1:$B$21,2,0))))))</f>
        <v>#N/A</v>
      </c>
    </row>
    <row r="369" spans="1:24" x14ac:dyDescent="0.35">
      <c r="A369" t="s">
        <v>41</v>
      </c>
      <c r="B369" t="s">
        <v>65</v>
      </c>
      <c r="C369" t="s">
        <v>66</v>
      </c>
      <c r="D369" t="s">
        <v>100</v>
      </c>
      <c r="E369" t="s">
        <v>65</v>
      </c>
      <c r="F369">
        <v>7097075</v>
      </c>
      <c r="G369" t="s">
        <v>104</v>
      </c>
      <c r="H369" t="s">
        <v>68</v>
      </c>
      <c r="I369" t="s">
        <v>69</v>
      </c>
      <c r="J369" t="s">
        <v>78</v>
      </c>
      <c r="K369" t="s">
        <v>0</v>
      </c>
      <c r="L369" t="s">
        <v>51</v>
      </c>
      <c r="M369" t="s">
        <v>46</v>
      </c>
      <c r="N369" t="s">
        <v>47</v>
      </c>
      <c r="O369" t="s">
        <v>338</v>
      </c>
      <c r="P369" t="s">
        <v>1292</v>
      </c>
      <c r="Q369" t="s">
        <v>46</v>
      </c>
      <c r="R369" t="s">
        <v>47</v>
      </c>
      <c r="S369" t="s">
        <v>46</v>
      </c>
      <c r="T369" t="s">
        <v>46</v>
      </c>
      <c r="U369" s="4">
        <v>-220.97</v>
      </c>
      <c r="V369" t="str">
        <f t="shared" si="5"/>
        <v>0035</v>
      </c>
      <c r="W369" t="str">
        <f>VLOOKUP(K369,[1]Info!A$1:B$21,2,0)</f>
        <v>Carboval</v>
      </c>
      <c r="X369" t="e">
        <f>IF(M369="109595132","Material de Limpeza-Não Avaliar",IF(AND(K369="F20",M369&lt;&gt;109595132),IF(RIGHT(F369,2)="70","Infraestrutura de Planta","Prédios e Instalações"),IF(K369="FPC",VLOOKUP(F369,[1]Info!$E$2:$F$11,2,0),IF(K369="FGP",VLOOKUP(F369,[1]Info!$E$9:$F$10,2,0),IF(K369="F10",VLOOKUP(F369,[1]Info!$E$2:$F$3,2,0),VLOOKUP(K369,[1]Info!$A$1:$B$21,2,0))))))</f>
        <v>#N/A</v>
      </c>
    </row>
    <row r="370" spans="1:24" x14ac:dyDescent="0.35">
      <c r="A370" t="s">
        <v>41</v>
      </c>
      <c r="B370" t="s">
        <v>65</v>
      </c>
      <c r="C370" t="s">
        <v>66</v>
      </c>
      <c r="D370" t="s">
        <v>100</v>
      </c>
      <c r="E370" t="s">
        <v>65</v>
      </c>
      <c r="F370">
        <v>7097075</v>
      </c>
      <c r="G370" t="s">
        <v>104</v>
      </c>
      <c r="H370" t="s">
        <v>68</v>
      </c>
      <c r="I370" t="s">
        <v>69</v>
      </c>
      <c r="J370" t="s">
        <v>78</v>
      </c>
      <c r="K370" t="s">
        <v>0</v>
      </c>
      <c r="L370" t="s">
        <v>51</v>
      </c>
      <c r="M370" t="s">
        <v>46</v>
      </c>
      <c r="N370" t="s">
        <v>47</v>
      </c>
      <c r="O370" t="s">
        <v>1543</v>
      </c>
      <c r="P370" t="s">
        <v>1292</v>
      </c>
      <c r="Q370" t="s">
        <v>46</v>
      </c>
      <c r="R370" t="s">
        <v>47</v>
      </c>
      <c r="S370" t="s">
        <v>46</v>
      </c>
      <c r="T370" t="s">
        <v>46</v>
      </c>
      <c r="U370" s="4">
        <v>-44.19</v>
      </c>
      <c r="V370" t="str">
        <f t="shared" si="5"/>
        <v>0020</v>
      </c>
      <c r="W370" t="str">
        <f>VLOOKUP(K370,[1]Info!A$1:B$21,2,0)</f>
        <v>Carboval</v>
      </c>
      <c r="X370" t="e">
        <f>IF(M370="109595132","Material de Limpeza-Não Avaliar",IF(AND(K370="F20",M370&lt;&gt;109595132),IF(RIGHT(F370,2)="70","Infraestrutura de Planta","Prédios e Instalações"),IF(K370="FPC",VLOOKUP(F370,[1]Info!$E$2:$F$11,2,0),IF(K370="FGP",VLOOKUP(F370,[1]Info!$E$9:$F$10,2,0),IF(K370="F10",VLOOKUP(F370,[1]Info!$E$2:$F$3,2,0),VLOOKUP(K370,[1]Info!$A$1:$B$21,2,0))))))</f>
        <v>#N/A</v>
      </c>
    </row>
    <row r="371" spans="1:24" x14ac:dyDescent="0.35">
      <c r="A371" t="s">
        <v>41</v>
      </c>
      <c r="B371" t="s">
        <v>65</v>
      </c>
      <c r="C371" t="s">
        <v>66</v>
      </c>
      <c r="D371" t="s">
        <v>100</v>
      </c>
      <c r="E371" t="s">
        <v>65</v>
      </c>
      <c r="F371">
        <v>7097070</v>
      </c>
      <c r="G371" t="s">
        <v>1544</v>
      </c>
      <c r="H371" t="s">
        <v>68</v>
      </c>
      <c r="I371" t="s">
        <v>69</v>
      </c>
      <c r="J371" t="s">
        <v>72</v>
      </c>
      <c r="K371" t="s">
        <v>0</v>
      </c>
      <c r="L371" t="s">
        <v>1545</v>
      </c>
      <c r="M371" t="s">
        <v>46</v>
      </c>
      <c r="N371" t="s">
        <v>47</v>
      </c>
      <c r="O371" t="s">
        <v>211</v>
      </c>
      <c r="P371" t="s">
        <v>1292</v>
      </c>
      <c r="Q371" t="s">
        <v>46</v>
      </c>
      <c r="R371" t="s">
        <v>47</v>
      </c>
      <c r="S371" t="s">
        <v>46</v>
      </c>
      <c r="T371" t="s">
        <v>46</v>
      </c>
      <c r="U371" s="4">
        <v>-5677.59</v>
      </c>
      <c r="V371" t="str">
        <f t="shared" si="5"/>
        <v>0300</v>
      </c>
      <c r="W371" t="str">
        <f>VLOOKUP(K371,[1]Info!A$1:B$21,2,0)</f>
        <v>Carboval</v>
      </c>
      <c r="X371" t="e">
        <f>IF(M371="109595132","Material de Limpeza-Não Avaliar",IF(AND(K371="F20",M371&lt;&gt;109595132),IF(RIGHT(F371,2)="70","Infraestrutura de Planta","Prédios e Instalações"),IF(K371="FPC",VLOOKUP(F371,[1]Info!$E$2:$F$11,2,0),IF(K371="FGP",VLOOKUP(F371,[1]Info!$E$9:$F$10,2,0),IF(K371="F10",VLOOKUP(F371,[1]Info!$E$2:$F$3,2,0),VLOOKUP(K371,[1]Info!$A$1:$B$21,2,0))))))</f>
        <v>#N/A</v>
      </c>
    </row>
    <row r="372" spans="1:24" x14ac:dyDescent="0.35">
      <c r="A372" t="s">
        <v>41</v>
      </c>
      <c r="B372" t="s">
        <v>65</v>
      </c>
      <c r="C372" t="s">
        <v>66</v>
      </c>
      <c r="D372" t="s">
        <v>100</v>
      </c>
      <c r="E372" t="s">
        <v>65</v>
      </c>
      <c r="F372">
        <v>7097070</v>
      </c>
      <c r="G372" t="s">
        <v>1544</v>
      </c>
      <c r="H372" t="s">
        <v>68</v>
      </c>
      <c r="I372" t="s">
        <v>69</v>
      </c>
      <c r="J372" t="s">
        <v>72</v>
      </c>
      <c r="K372" t="s">
        <v>0</v>
      </c>
      <c r="L372" t="s">
        <v>1545</v>
      </c>
      <c r="M372" t="s">
        <v>46</v>
      </c>
      <c r="N372" t="s">
        <v>47</v>
      </c>
      <c r="O372" t="s">
        <v>1546</v>
      </c>
      <c r="P372" t="s">
        <v>1292</v>
      </c>
      <c r="Q372" t="s">
        <v>46</v>
      </c>
      <c r="R372" t="s">
        <v>47</v>
      </c>
      <c r="S372" t="s">
        <v>46</v>
      </c>
      <c r="T372" t="s">
        <v>46</v>
      </c>
      <c r="U372" s="4">
        <v>-929.04</v>
      </c>
      <c r="V372" t="str">
        <f t="shared" si="5"/>
        <v>-110</v>
      </c>
      <c r="W372" t="str">
        <f>VLOOKUP(K372,[1]Info!A$1:B$21,2,0)</f>
        <v>Carboval</v>
      </c>
      <c r="X372" t="e">
        <f>IF(M372="109595132","Material de Limpeza-Não Avaliar",IF(AND(K372="F20",M372&lt;&gt;109595132),IF(RIGHT(F372,2)="70","Infraestrutura de Planta","Prédios e Instalações"),IF(K372="FPC",VLOOKUP(F372,[1]Info!$E$2:$F$11,2,0),IF(K372="FGP",VLOOKUP(F372,[1]Info!$E$9:$F$10,2,0),IF(K372="F10",VLOOKUP(F372,[1]Info!$E$2:$F$3,2,0),VLOOKUP(K372,[1]Info!$A$1:$B$21,2,0))))))</f>
        <v>#N/A</v>
      </c>
    </row>
    <row r="373" spans="1:24" x14ac:dyDescent="0.35">
      <c r="A373" t="s">
        <v>41</v>
      </c>
      <c r="B373" t="s">
        <v>65</v>
      </c>
      <c r="C373" t="s">
        <v>66</v>
      </c>
      <c r="D373" t="s">
        <v>100</v>
      </c>
      <c r="E373" t="s">
        <v>65</v>
      </c>
      <c r="F373">
        <v>7097070</v>
      </c>
      <c r="G373" t="s">
        <v>1544</v>
      </c>
      <c r="H373" t="s">
        <v>68</v>
      </c>
      <c r="I373" t="s">
        <v>69</v>
      </c>
      <c r="J373" t="s">
        <v>72</v>
      </c>
      <c r="K373" t="s">
        <v>0</v>
      </c>
      <c r="L373" t="s">
        <v>1545</v>
      </c>
      <c r="M373" t="s">
        <v>46</v>
      </c>
      <c r="N373" t="s">
        <v>47</v>
      </c>
      <c r="O373" t="s">
        <v>1547</v>
      </c>
      <c r="P373" t="s">
        <v>1292</v>
      </c>
      <c r="Q373" t="s">
        <v>46</v>
      </c>
      <c r="R373" t="s">
        <v>47</v>
      </c>
      <c r="S373" t="s">
        <v>46</v>
      </c>
      <c r="T373" t="s">
        <v>46</v>
      </c>
      <c r="U373" s="4">
        <v>-825.8</v>
      </c>
      <c r="V373" t="str">
        <f t="shared" si="5"/>
        <v>1000</v>
      </c>
      <c r="W373" t="str">
        <f>VLOOKUP(K373,[1]Info!A$1:B$21,2,0)</f>
        <v>Carboval</v>
      </c>
      <c r="X373" t="e">
        <f>IF(M373="109595132","Material de Limpeza-Não Avaliar",IF(AND(K373="F20",M373&lt;&gt;109595132),IF(RIGHT(F373,2)="70","Infraestrutura de Planta","Prédios e Instalações"),IF(K373="FPC",VLOOKUP(F373,[1]Info!$E$2:$F$11,2,0),IF(K373="FGP",VLOOKUP(F373,[1]Info!$E$9:$F$10,2,0),IF(K373="F10",VLOOKUP(F373,[1]Info!$E$2:$F$3,2,0),VLOOKUP(K373,[1]Info!$A$1:$B$21,2,0))))))</f>
        <v>#N/A</v>
      </c>
    </row>
    <row r="374" spans="1:24" x14ac:dyDescent="0.35">
      <c r="A374" t="s">
        <v>41</v>
      </c>
      <c r="B374" t="s">
        <v>65</v>
      </c>
      <c r="C374" t="s">
        <v>66</v>
      </c>
      <c r="D374" t="s">
        <v>100</v>
      </c>
      <c r="E374" t="s">
        <v>65</v>
      </c>
      <c r="F374">
        <v>7097070</v>
      </c>
      <c r="G374" t="s">
        <v>1544</v>
      </c>
      <c r="H374" t="s">
        <v>68</v>
      </c>
      <c r="I374" t="s">
        <v>69</v>
      </c>
      <c r="J374" t="s">
        <v>72</v>
      </c>
      <c r="K374" t="s">
        <v>0</v>
      </c>
      <c r="L374" t="s">
        <v>1545</v>
      </c>
      <c r="M374" t="s">
        <v>46</v>
      </c>
      <c r="N374" t="s">
        <v>47</v>
      </c>
      <c r="O374" t="s">
        <v>1548</v>
      </c>
      <c r="P374" t="s">
        <v>1292</v>
      </c>
      <c r="Q374" t="s">
        <v>46</v>
      </c>
      <c r="R374" t="s">
        <v>47</v>
      </c>
      <c r="S374" t="s">
        <v>46</v>
      </c>
      <c r="T374" t="s">
        <v>46</v>
      </c>
      <c r="U374" s="4">
        <v>-516.13</v>
      </c>
      <c r="V374" t="str">
        <f t="shared" si="5"/>
        <v>SI08</v>
      </c>
      <c r="W374" t="str">
        <f>VLOOKUP(K374,[1]Info!A$1:B$21,2,0)</f>
        <v>Carboval</v>
      </c>
      <c r="X374" t="e">
        <f>IF(M374="109595132","Material de Limpeza-Não Avaliar",IF(AND(K374="F20",M374&lt;&gt;109595132),IF(RIGHT(F374,2)="70","Infraestrutura de Planta","Prédios e Instalações"),IF(K374="FPC",VLOOKUP(F374,[1]Info!$E$2:$F$11,2,0),IF(K374="FGP",VLOOKUP(F374,[1]Info!$E$9:$F$10,2,0),IF(K374="F10",VLOOKUP(F374,[1]Info!$E$2:$F$3,2,0),VLOOKUP(K374,[1]Info!$A$1:$B$21,2,0))))))</f>
        <v>#N/A</v>
      </c>
    </row>
    <row r="375" spans="1:24" x14ac:dyDescent="0.35">
      <c r="A375" t="s">
        <v>41</v>
      </c>
      <c r="B375" t="s">
        <v>65</v>
      </c>
      <c r="C375" t="s">
        <v>66</v>
      </c>
      <c r="D375" t="s">
        <v>100</v>
      </c>
      <c r="E375" t="s">
        <v>65</v>
      </c>
      <c r="F375">
        <v>7097070</v>
      </c>
      <c r="G375" t="s">
        <v>1544</v>
      </c>
      <c r="H375" t="s">
        <v>68</v>
      </c>
      <c r="I375" t="s">
        <v>69</v>
      </c>
      <c r="J375" t="s">
        <v>72</v>
      </c>
      <c r="K375" t="s">
        <v>0</v>
      </c>
      <c r="L375" t="s">
        <v>51</v>
      </c>
      <c r="M375" t="s">
        <v>46</v>
      </c>
      <c r="N375" t="s">
        <v>47</v>
      </c>
      <c r="O375" t="s">
        <v>1549</v>
      </c>
      <c r="P375" t="s">
        <v>1292</v>
      </c>
      <c r="Q375" t="s">
        <v>46</v>
      </c>
      <c r="R375" t="s">
        <v>47</v>
      </c>
      <c r="S375" t="s">
        <v>46</v>
      </c>
      <c r="T375" t="s">
        <v>46</v>
      </c>
      <c r="U375" s="4">
        <v>-3972.19</v>
      </c>
      <c r="V375" t="str">
        <f t="shared" si="5"/>
        <v>0015</v>
      </c>
      <c r="W375" t="str">
        <f>VLOOKUP(K375,[1]Info!A$1:B$21,2,0)</f>
        <v>Carboval</v>
      </c>
      <c r="X375" t="e">
        <f>IF(M375="109595132","Material de Limpeza-Não Avaliar",IF(AND(K375="F20",M375&lt;&gt;109595132),IF(RIGHT(F375,2)="70","Infraestrutura de Planta","Prédios e Instalações"),IF(K375="FPC",VLOOKUP(F375,[1]Info!$E$2:$F$11,2,0),IF(K375="FGP",VLOOKUP(F375,[1]Info!$E$9:$F$10,2,0),IF(K375="F10",VLOOKUP(F375,[1]Info!$E$2:$F$3,2,0),VLOOKUP(K375,[1]Info!$A$1:$B$21,2,0))))))</f>
        <v>#N/A</v>
      </c>
    </row>
    <row r="376" spans="1:24" x14ac:dyDescent="0.35">
      <c r="A376" t="s">
        <v>41</v>
      </c>
      <c r="B376" t="s">
        <v>65</v>
      </c>
      <c r="C376" t="s">
        <v>66</v>
      </c>
      <c r="D376" t="s">
        <v>100</v>
      </c>
      <c r="E376" t="s">
        <v>65</v>
      </c>
      <c r="F376">
        <v>7097070</v>
      </c>
      <c r="G376" t="s">
        <v>1544</v>
      </c>
      <c r="H376" t="s">
        <v>68</v>
      </c>
      <c r="I376" t="s">
        <v>69</v>
      </c>
      <c r="J376" t="s">
        <v>72</v>
      </c>
      <c r="K376" t="s">
        <v>0</v>
      </c>
      <c r="L376" t="s">
        <v>51</v>
      </c>
      <c r="M376" t="s">
        <v>46</v>
      </c>
      <c r="N376" t="s">
        <v>47</v>
      </c>
      <c r="O376" t="s">
        <v>750</v>
      </c>
      <c r="P376" t="s">
        <v>1292</v>
      </c>
      <c r="Q376" t="s">
        <v>46</v>
      </c>
      <c r="R376" t="s">
        <v>47</v>
      </c>
      <c r="S376" t="s">
        <v>46</v>
      </c>
      <c r="T376" t="s">
        <v>46</v>
      </c>
      <c r="U376" s="4">
        <v>-11802.77</v>
      </c>
      <c r="V376" t="str">
        <f t="shared" si="5"/>
        <v>5000</v>
      </c>
      <c r="W376" t="str">
        <f>VLOOKUP(K376,[1]Info!A$1:B$21,2,0)</f>
        <v>Carboval</v>
      </c>
      <c r="X376" t="e">
        <f>IF(M376="109595132","Material de Limpeza-Não Avaliar",IF(AND(K376="F20",M376&lt;&gt;109595132),IF(RIGHT(F376,2)="70","Infraestrutura de Planta","Prédios e Instalações"),IF(K376="FPC",VLOOKUP(F376,[1]Info!$E$2:$F$11,2,0),IF(K376="FGP",VLOOKUP(F376,[1]Info!$E$9:$F$10,2,0),IF(K376="F10",VLOOKUP(F376,[1]Info!$E$2:$F$3,2,0),VLOOKUP(K376,[1]Info!$A$1:$B$21,2,0))))))</f>
        <v>#N/A</v>
      </c>
    </row>
    <row r="377" spans="1:24" x14ac:dyDescent="0.35">
      <c r="A377" t="s">
        <v>41</v>
      </c>
      <c r="B377" t="s">
        <v>65</v>
      </c>
      <c r="C377" t="s">
        <v>66</v>
      </c>
      <c r="D377" t="s">
        <v>100</v>
      </c>
      <c r="E377" t="s">
        <v>65</v>
      </c>
      <c r="F377">
        <v>7097070</v>
      </c>
      <c r="G377" t="s">
        <v>1544</v>
      </c>
      <c r="H377" t="s">
        <v>68</v>
      </c>
      <c r="I377" t="s">
        <v>69</v>
      </c>
      <c r="J377" t="s">
        <v>72</v>
      </c>
      <c r="K377" t="s">
        <v>0</v>
      </c>
      <c r="L377" t="s">
        <v>51</v>
      </c>
      <c r="M377" t="s">
        <v>46</v>
      </c>
      <c r="N377" t="s">
        <v>47</v>
      </c>
      <c r="O377" t="s">
        <v>105</v>
      </c>
      <c r="P377" t="s">
        <v>1292</v>
      </c>
      <c r="Q377" t="s">
        <v>46</v>
      </c>
      <c r="R377" t="s">
        <v>47</v>
      </c>
      <c r="S377" t="s">
        <v>46</v>
      </c>
      <c r="T377" t="s">
        <v>46</v>
      </c>
      <c r="U377" s="4">
        <v>-7267.05</v>
      </c>
      <c r="V377" t="str">
        <f t="shared" si="5"/>
        <v>0100</v>
      </c>
      <c r="W377" t="str">
        <f>VLOOKUP(K377,[1]Info!A$1:B$21,2,0)</f>
        <v>Carboval</v>
      </c>
      <c r="X377" t="e">
        <f>IF(M377="109595132","Material de Limpeza-Não Avaliar",IF(AND(K377="F20",M377&lt;&gt;109595132),IF(RIGHT(F377,2)="70","Infraestrutura de Planta","Prédios e Instalações"),IF(K377="FPC",VLOOKUP(F377,[1]Info!$E$2:$F$11,2,0),IF(K377="FGP",VLOOKUP(F377,[1]Info!$E$9:$F$10,2,0),IF(K377="F10",VLOOKUP(F377,[1]Info!$E$2:$F$3,2,0),VLOOKUP(K377,[1]Info!$A$1:$B$21,2,0))))))</f>
        <v>#N/A</v>
      </c>
    </row>
    <row r="378" spans="1:24" x14ac:dyDescent="0.35">
      <c r="A378" t="s">
        <v>41</v>
      </c>
      <c r="B378" t="s">
        <v>65</v>
      </c>
      <c r="C378" t="s">
        <v>66</v>
      </c>
      <c r="D378" t="s">
        <v>100</v>
      </c>
      <c r="E378" t="s">
        <v>65</v>
      </c>
      <c r="F378">
        <v>7097070</v>
      </c>
      <c r="G378" t="s">
        <v>1544</v>
      </c>
      <c r="H378" t="s">
        <v>68</v>
      </c>
      <c r="I378" t="s">
        <v>69</v>
      </c>
      <c r="J378" t="s">
        <v>72</v>
      </c>
      <c r="K378" t="s">
        <v>0</v>
      </c>
      <c r="L378" t="s">
        <v>51</v>
      </c>
      <c r="M378" t="s">
        <v>46</v>
      </c>
      <c r="N378" t="s">
        <v>47</v>
      </c>
      <c r="O378" t="s">
        <v>211</v>
      </c>
      <c r="P378" t="s">
        <v>1292</v>
      </c>
      <c r="Q378" t="s">
        <v>46</v>
      </c>
      <c r="R378" t="s">
        <v>47</v>
      </c>
      <c r="S378" t="s">
        <v>46</v>
      </c>
      <c r="T378" t="s">
        <v>46</v>
      </c>
      <c r="U378" s="4">
        <v>-184899.93</v>
      </c>
      <c r="V378" t="str">
        <f t="shared" si="5"/>
        <v>0300</v>
      </c>
      <c r="W378" t="str">
        <f>VLOOKUP(K378,[1]Info!A$1:B$21,2,0)</f>
        <v>Carboval</v>
      </c>
      <c r="X378" t="e">
        <f>IF(M378="109595132","Material de Limpeza-Não Avaliar",IF(AND(K378="F20",M378&lt;&gt;109595132),IF(RIGHT(F378,2)="70","Infraestrutura de Planta","Prédios e Instalações"),IF(K378="FPC",VLOOKUP(F378,[1]Info!$E$2:$F$11,2,0),IF(K378="FGP",VLOOKUP(F378,[1]Info!$E$9:$F$10,2,0),IF(K378="F10",VLOOKUP(F378,[1]Info!$E$2:$F$3,2,0),VLOOKUP(K378,[1]Info!$A$1:$B$21,2,0))))))</f>
        <v>#N/A</v>
      </c>
    </row>
    <row r="379" spans="1:24" x14ac:dyDescent="0.35">
      <c r="A379" t="s">
        <v>41</v>
      </c>
      <c r="B379" t="s">
        <v>65</v>
      </c>
      <c r="C379" t="s">
        <v>66</v>
      </c>
      <c r="D379" t="s">
        <v>100</v>
      </c>
      <c r="E379" t="s">
        <v>65</v>
      </c>
      <c r="F379">
        <v>7097070</v>
      </c>
      <c r="G379" t="s">
        <v>1544</v>
      </c>
      <c r="H379" t="s">
        <v>68</v>
      </c>
      <c r="I379" t="s">
        <v>69</v>
      </c>
      <c r="J379" t="s">
        <v>72</v>
      </c>
      <c r="K379" t="s">
        <v>0</v>
      </c>
      <c r="L379" t="s">
        <v>51</v>
      </c>
      <c r="M379" t="s">
        <v>46</v>
      </c>
      <c r="N379" t="s">
        <v>47</v>
      </c>
      <c r="O379" t="s">
        <v>740</v>
      </c>
      <c r="P379" t="s">
        <v>1292</v>
      </c>
      <c r="Q379" t="s">
        <v>46</v>
      </c>
      <c r="R379" t="s">
        <v>47</v>
      </c>
      <c r="S379" t="s">
        <v>46</v>
      </c>
      <c r="T379" t="s">
        <v>46</v>
      </c>
      <c r="U379" s="4">
        <v>-148549.71</v>
      </c>
      <c r="V379" t="str">
        <f t="shared" si="5"/>
        <v>-100</v>
      </c>
      <c r="W379" t="str">
        <f>VLOOKUP(K379,[1]Info!A$1:B$21,2,0)</f>
        <v>Carboval</v>
      </c>
      <c r="X379" t="e">
        <f>IF(M379="109595132","Material de Limpeza-Não Avaliar",IF(AND(K379="F20",M379&lt;&gt;109595132),IF(RIGHT(F379,2)="70","Infraestrutura de Planta","Prédios e Instalações"),IF(K379="FPC",VLOOKUP(F379,[1]Info!$E$2:$F$11,2,0),IF(K379="FGP",VLOOKUP(F379,[1]Info!$E$9:$F$10,2,0),IF(K379="F10",VLOOKUP(F379,[1]Info!$E$2:$F$3,2,0),VLOOKUP(K379,[1]Info!$A$1:$B$21,2,0))))))</f>
        <v>#N/A</v>
      </c>
    </row>
    <row r="380" spans="1:24" x14ac:dyDescent="0.35">
      <c r="A380" t="s">
        <v>41</v>
      </c>
      <c r="B380" t="s">
        <v>65</v>
      </c>
      <c r="C380" t="s">
        <v>66</v>
      </c>
      <c r="D380" t="s">
        <v>100</v>
      </c>
      <c r="E380" t="s">
        <v>65</v>
      </c>
      <c r="F380">
        <v>7097070</v>
      </c>
      <c r="G380" t="s">
        <v>1544</v>
      </c>
      <c r="H380" t="s">
        <v>68</v>
      </c>
      <c r="I380" t="s">
        <v>69</v>
      </c>
      <c r="J380" t="s">
        <v>72</v>
      </c>
      <c r="K380" t="s">
        <v>0</v>
      </c>
      <c r="L380" t="s">
        <v>51</v>
      </c>
      <c r="M380" t="s">
        <v>46</v>
      </c>
      <c r="N380" t="s">
        <v>47</v>
      </c>
      <c r="O380" t="s">
        <v>212</v>
      </c>
      <c r="P380" t="s">
        <v>1292</v>
      </c>
      <c r="Q380" t="s">
        <v>46</v>
      </c>
      <c r="R380" t="s">
        <v>47</v>
      </c>
      <c r="S380" t="s">
        <v>46</v>
      </c>
      <c r="T380" t="s">
        <v>46</v>
      </c>
      <c r="U380" s="4">
        <v>-6416.47</v>
      </c>
      <c r="V380" t="str">
        <f t="shared" si="5"/>
        <v>-100</v>
      </c>
      <c r="W380" t="str">
        <f>VLOOKUP(K380,[1]Info!A$1:B$21,2,0)</f>
        <v>Carboval</v>
      </c>
      <c r="X380" t="e">
        <f>IF(M380="109595132","Material de Limpeza-Não Avaliar",IF(AND(K380="F20",M380&lt;&gt;109595132),IF(RIGHT(F380,2)="70","Infraestrutura de Planta","Prédios e Instalações"),IF(K380="FPC",VLOOKUP(F380,[1]Info!$E$2:$F$11,2,0),IF(K380="FGP",VLOOKUP(F380,[1]Info!$E$9:$F$10,2,0),IF(K380="F10",VLOOKUP(F380,[1]Info!$E$2:$F$3,2,0),VLOOKUP(K380,[1]Info!$A$1:$B$21,2,0))))))</f>
        <v>#N/A</v>
      </c>
    </row>
    <row r="381" spans="1:24" x14ac:dyDescent="0.35">
      <c r="A381" t="s">
        <v>41</v>
      </c>
      <c r="B381" t="s">
        <v>65</v>
      </c>
      <c r="C381" t="s">
        <v>66</v>
      </c>
      <c r="D381" t="s">
        <v>100</v>
      </c>
      <c r="E381" t="s">
        <v>65</v>
      </c>
      <c r="F381">
        <v>7097070</v>
      </c>
      <c r="G381" t="s">
        <v>1544</v>
      </c>
      <c r="H381" t="s">
        <v>68</v>
      </c>
      <c r="I381" t="s">
        <v>69</v>
      </c>
      <c r="J381" t="s">
        <v>72</v>
      </c>
      <c r="K381" t="s">
        <v>0</v>
      </c>
      <c r="L381" t="s">
        <v>51</v>
      </c>
      <c r="M381" t="s">
        <v>46</v>
      </c>
      <c r="N381" t="s">
        <v>47</v>
      </c>
      <c r="O381" t="s">
        <v>1550</v>
      </c>
      <c r="P381" t="s">
        <v>1292</v>
      </c>
      <c r="Q381" t="s">
        <v>46</v>
      </c>
      <c r="R381" t="s">
        <v>47</v>
      </c>
      <c r="S381" t="s">
        <v>46</v>
      </c>
      <c r="T381" t="s">
        <v>46</v>
      </c>
      <c r="U381" s="4">
        <v>-4680.2299999999996</v>
      </c>
      <c r="V381" t="str">
        <f t="shared" si="5"/>
        <v>-100</v>
      </c>
      <c r="W381" t="str">
        <f>VLOOKUP(K381,[1]Info!A$1:B$21,2,0)</f>
        <v>Carboval</v>
      </c>
      <c r="X381" t="e">
        <f>IF(M381="109595132","Material de Limpeza-Não Avaliar",IF(AND(K381="F20",M381&lt;&gt;109595132),IF(RIGHT(F381,2)="70","Infraestrutura de Planta","Prédios e Instalações"),IF(K381="FPC",VLOOKUP(F381,[1]Info!$E$2:$F$11,2,0),IF(K381="FGP",VLOOKUP(F381,[1]Info!$E$9:$F$10,2,0),IF(K381="F10",VLOOKUP(F381,[1]Info!$E$2:$F$3,2,0),VLOOKUP(K381,[1]Info!$A$1:$B$21,2,0))))))</f>
        <v>#N/A</v>
      </c>
    </row>
    <row r="382" spans="1:24" x14ac:dyDescent="0.35">
      <c r="A382" t="s">
        <v>41</v>
      </c>
      <c r="B382" t="s">
        <v>65</v>
      </c>
      <c r="C382" t="s">
        <v>66</v>
      </c>
      <c r="D382" t="s">
        <v>100</v>
      </c>
      <c r="E382" t="s">
        <v>65</v>
      </c>
      <c r="F382">
        <v>7097070</v>
      </c>
      <c r="G382" t="s">
        <v>1544</v>
      </c>
      <c r="H382" t="s">
        <v>68</v>
      </c>
      <c r="I382" t="s">
        <v>69</v>
      </c>
      <c r="J382" t="s">
        <v>72</v>
      </c>
      <c r="K382" t="s">
        <v>0</v>
      </c>
      <c r="L382" t="s">
        <v>51</v>
      </c>
      <c r="M382" t="s">
        <v>46</v>
      </c>
      <c r="N382" t="s">
        <v>47</v>
      </c>
      <c r="O382" t="s">
        <v>788</v>
      </c>
      <c r="P382" t="s">
        <v>1292</v>
      </c>
      <c r="Q382" t="s">
        <v>46</v>
      </c>
      <c r="R382" t="s">
        <v>47</v>
      </c>
      <c r="S382" t="s">
        <v>46</v>
      </c>
      <c r="T382" t="s">
        <v>46</v>
      </c>
      <c r="U382" s="4">
        <v>-3736.75</v>
      </c>
      <c r="V382" t="str">
        <f t="shared" si="5"/>
        <v>-115</v>
      </c>
      <c r="W382" t="str">
        <f>VLOOKUP(K382,[1]Info!A$1:B$21,2,0)</f>
        <v>Carboval</v>
      </c>
      <c r="X382" t="e">
        <f>IF(M382="109595132","Material de Limpeza-Não Avaliar",IF(AND(K382="F20",M382&lt;&gt;109595132),IF(RIGHT(F382,2)="70","Infraestrutura de Planta","Prédios e Instalações"),IF(K382="FPC",VLOOKUP(F382,[1]Info!$E$2:$F$11,2,0),IF(K382="FGP",VLOOKUP(F382,[1]Info!$E$9:$F$10,2,0),IF(K382="F10",VLOOKUP(F382,[1]Info!$E$2:$F$3,2,0),VLOOKUP(K382,[1]Info!$A$1:$B$21,2,0))))))</f>
        <v>#N/A</v>
      </c>
    </row>
    <row r="383" spans="1:24" x14ac:dyDescent="0.35">
      <c r="A383" t="s">
        <v>41</v>
      </c>
      <c r="B383" t="s">
        <v>65</v>
      </c>
      <c r="C383" t="s">
        <v>66</v>
      </c>
      <c r="D383" t="s">
        <v>100</v>
      </c>
      <c r="E383" t="s">
        <v>65</v>
      </c>
      <c r="F383">
        <v>7097070</v>
      </c>
      <c r="G383" t="s">
        <v>1544</v>
      </c>
      <c r="H383" t="s">
        <v>68</v>
      </c>
      <c r="I383" t="s">
        <v>69</v>
      </c>
      <c r="J383" t="s">
        <v>72</v>
      </c>
      <c r="K383" t="s">
        <v>0</v>
      </c>
      <c r="L383" t="s">
        <v>51</v>
      </c>
      <c r="M383" t="s">
        <v>46</v>
      </c>
      <c r="N383" t="s">
        <v>47</v>
      </c>
      <c r="O383" t="s">
        <v>213</v>
      </c>
      <c r="P383" t="s">
        <v>1292</v>
      </c>
      <c r="Q383" t="s">
        <v>46</v>
      </c>
      <c r="R383" t="s">
        <v>47</v>
      </c>
      <c r="S383" t="s">
        <v>46</v>
      </c>
      <c r="T383" t="s">
        <v>46</v>
      </c>
      <c r="U383" s="4">
        <v>-30827.58</v>
      </c>
      <c r="V383" t="str">
        <f t="shared" si="5"/>
        <v>0400</v>
      </c>
      <c r="W383" t="str">
        <f>VLOOKUP(K383,[1]Info!A$1:B$21,2,0)</f>
        <v>Carboval</v>
      </c>
      <c r="X383" t="e">
        <f>IF(M383="109595132","Material de Limpeza-Não Avaliar",IF(AND(K383="F20",M383&lt;&gt;109595132),IF(RIGHT(F383,2)="70","Infraestrutura de Planta","Prédios e Instalações"),IF(K383="FPC",VLOOKUP(F383,[1]Info!$E$2:$F$11,2,0),IF(K383="FGP",VLOOKUP(F383,[1]Info!$E$9:$F$10,2,0),IF(K383="F10",VLOOKUP(F383,[1]Info!$E$2:$F$3,2,0),VLOOKUP(K383,[1]Info!$A$1:$B$21,2,0))))))</f>
        <v>#N/A</v>
      </c>
    </row>
    <row r="384" spans="1:24" x14ac:dyDescent="0.35">
      <c r="A384" t="s">
        <v>41</v>
      </c>
      <c r="B384" t="s">
        <v>65</v>
      </c>
      <c r="C384" t="s">
        <v>66</v>
      </c>
      <c r="D384" t="s">
        <v>100</v>
      </c>
      <c r="E384" t="s">
        <v>65</v>
      </c>
      <c r="F384">
        <v>7097070</v>
      </c>
      <c r="G384" t="s">
        <v>1544</v>
      </c>
      <c r="H384" t="s">
        <v>68</v>
      </c>
      <c r="I384" t="s">
        <v>69</v>
      </c>
      <c r="J384" t="s">
        <v>72</v>
      </c>
      <c r="K384" t="s">
        <v>0</v>
      </c>
      <c r="L384" t="s">
        <v>51</v>
      </c>
      <c r="M384" t="s">
        <v>46</v>
      </c>
      <c r="N384" t="s">
        <v>47</v>
      </c>
      <c r="O384" t="s">
        <v>715</v>
      </c>
      <c r="P384" t="s">
        <v>1292</v>
      </c>
      <c r="Q384" t="s">
        <v>46</v>
      </c>
      <c r="R384" t="s">
        <v>47</v>
      </c>
      <c r="S384" t="s">
        <v>46</v>
      </c>
      <c r="T384" t="s">
        <v>46</v>
      </c>
      <c r="U384" s="4">
        <v>-16951.63</v>
      </c>
      <c r="V384" t="str">
        <f t="shared" si="5"/>
        <v>0800</v>
      </c>
      <c r="W384" t="str">
        <f>VLOOKUP(K384,[1]Info!A$1:B$21,2,0)</f>
        <v>Carboval</v>
      </c>
      <c r="X384" t="e">
        <f>IF(M384="109595132","Material de Limpeza-Não Avaliar",IF(AND(K384="F20",M384&lt;&gt;109595132),IF(RIGHT(F384,2)="70","Infraestrutura de Planta","Prédios e Instalações"),IF(K384="FPC",VLOOKUP(F384,[1]Info!$E$2:$F$11,2,0),IF(K384="FGP",VLOOKUP(F384,[1]Info!$E$9:$F$10,2,0),IF(K384="F10",VLOOKUP(F384,[1]Info!$E$2:$F$3,2,0),VLOOKUP(K384,[1]Info!$A$1:$B$21,2,0))))))</f>
        <v>#N/A</v>
      </c>
    </row>
    <row r="385" spans="1:24" x14ac:dyDescent="0.35">
      <c r="A385" t="s">
        <v>41</v>
      </c>
      <c r="B385" t="s">
        <v>65</v>
      </c>
      <c r="C385" t="s">
        <v>66</v>
      </c>
      <c r="D385" t="s">
        <v>100</v>
      </c>
      <c r="E385" t="s">
        <v>65</v>
      </c>
      <c r="F385">
        <v>7097070</v>
      </c>
      <c r="G385" t="s">
        <v>1544</v>
      </c>
      <c r="H385" t="s">
        <v>68</v>
      </c>
      <c r="I385" t="s">
        <v>69</v>
      </c>
      <c r="J385" t="s">
        <v>72</v>
      </c>
      <c r="K385" t="s">
        <v>0</v>
      </c>
      <c r="L385" t="s">
        <v>51</v>
      </c>
      <c r="M385" t="s">
        <v>46</v>
      </c>
      <c r="N385" t="s">
        <v>47</v>
      </c>
      <c r="O385" t="s">
        <v>333</v>
      </c>
      <c r="P385" t="s">
        <v>1292</v>
      </c>
      <c r="Q385" t="s">
        <v>46</v>
      </c>
      <c r="R385" t="s">
        <v>47</v>
      </c>
      <c r="S385" t="s">
        <v>46</v>
      </c>
      <c r="T385" t="s">
        <v>46</v>
      </c>
      <c r="U385" s="4">
        <v>-1238.71</v>
      </c>
      <c r="V385" t="str">
        <f t="shared" si="5"/>
        <v>-200</v>
      </c>
      <c r="W385" t="str">
        <f>VLOOKUP(K385,[1]Info!A$1:B$21,2,0)</f>
        <v>Carboval</v>
      </c>
      <c r="X385" t="e">
        <f>IF(M385="109595132","Material de Limpeza-Não Avaliar",IF(AND(K385="F20",M385&lt;&gt;109595132),IF(RIGHT(F385,2)="70","Infraestrutura de Planta","Prédios e Instalações"),IF(K385="FPC",VLOOKUP(F385,[1]Info!$E$2:$F$11,2,0),IF(K385="FGP",VLOOKUP(F385,[1]Info!$E$9:$F$10,2,0),IF(K385="F10",VLOOKUP(F385,[1]Info!$E$2:$F$3,2,0),VLOOKUP(K385,[1]Info!$A$1:$B$21,2,0))))))</f>
        <v>#N/A</v>
      </c>
    </row>
    <row r="386" spans="1:24" x14ac:dyDescent="0.35">
      <c r="A386" t="s">
        <v>41</v>
      </c>
      <c r="B386" t="s">
        <v>65</v>
      </c>
      <c r="C386" t="s">
        <v>66</v>
      </c>
      <c r="D386" t="s">
        <v>100</v>
      </c>
      <c r="E386" t="s">
        <v>65</v>
      </c>
      <c r="F386">
        <v>7097070</v>
      </c>
      <c r="G386" t="s">
        <v>1544</v>
      </c>
      <c r="H386" t="s">
        <v>68</v>
      </c>
      <c r="I386" t="s">
        <v>69</v>
      </c>
      <c r="J386" t="s">
        <v>72</v>
      </c>
      <c r="K386" t="s">
        <v>0</v>
      </c>
      <c r="L386" t="s">
        <v>51</v>
      </c>
      <c r="M386" t="s">
        <v>46</v>
      </c>
      <c r="N386" t="s">
        <v>47</v>
      </c>
      <c r="O386" t="s">
        <v>1551</v>
      </c>
      <c r="P386" t="s">
        <v>1292</v>
      </c>
      <c r="Q386" t="s">
        <v>46</v>
      </c>
      <c r="R386" t="s">
        <v>47</v>
      </c>
      <c r="S386" t="s">
        <v>46</v>
      </c>
      <c r="T386" t="s">
        <v>46</v>
      </c>
      <c r="U386" s="4">
        <v>-3716.11</v>
      </c>
      <c r="V386" t="str">
        <f t="shared" si="5"/>
        <v>-300</v>
      </c>
      <c r="W386" t="str">
        <f>VLOOKUP(K386,[1]Info!A$1:B$21,2,0)</f>
        <v>Carboval</v>
      </c>
      <c r="X386" t="e">
        <f>IF(M386="109595132","Material de Limpeza-Não Avaliar",IF(AND(K386="F20",M386&lt;&gt;109595132),IF(RIGHT(F386,2)="70","Infraestrutura de Planta","Prédios e Instalações"),IF(K386="FPC",VLOOKUP(F386,[1]Info!$E$2:$F$11,2,0),IF(K386="FGP",VLOOKUP(F386,[1]Info!$E$9:$F$10,2,0),IF(K386="F10",VLOOKUP(F386,[1]Info!$E$2:$F$3,2,0),VLOOKUP(K386,[1]Info!$A$1:$B$21,2,0))))))</f>
        <v>#N/A</v>
      </c>
    </row>
    <row r="387" spans="1:24" x14ac:dyDescent="0.35">
      <c r="A387" t="s">
        <v>41</v>
      </c>
      <c r="B387" t="s">
        <v>65</v>
      </c>
      <c r="C387" t="s">
        <v>66</v>
      </c>
      <c r="D387" t="s">
        <v>100</v>
      </c>
      <c r="E387" t="s">
        <v>65</v>
      </c>
      <c r="F387">
        <v>7097070</v>
      </c>
      <c r="G387" t="s">
        <v>1544</v>
      </c>
      <c r="H387" t="s">
        <v>68</v>
      </c>
      <c r="I387" t="s">
        <v>69</v>
      </c>
      <c r="J387" t="s">
        <v>72</v>
      </c>
      <c r="K387" t="s">
        <v>0</v>
      </c>
      <c r="L387" t="s">
        <v>51</v>
      </c>
      <c r="M387" t="s">
        <v>46</v>
      </c>
      <c r="N387" t="s">
        <v>47</v>
      </c>
      <c r="O387" t="s">
        <v>783</v>
      </c>
      <c r="P387" t="s">
        <v>1292</v>
      </c>
      <c r="Q387" t="s">
        <v>46</v>
      </c>
      <c r="R387" t="s">
        <v>47</v>
      </c>
      <c r="S387" t="s">
        <v>46</v>
      </c>
      <c r="T387" t="s">
        <v>46</v>
      </c>
      <c r="U387" s="4">
        <v>-53568.1</v>
      </c>
      <c r="V387" t="str">
        <f t="shared" si="5"/>
        <v>1100</v>
      </c>
      <c r="W387" t="str">
        <f>VLOOKUP(K387,[1]Info!A$1:B$21,2,0)</f>
        <v>Carboval</v>
      </c>
      <c r="X387" t="e">
        <f>IF(M387="109595132","Material de Limpeza-Não Avaliar",IF(AND(K387="F20",M387&lt;&gt;109595132),IF(RIGHT(F387,2)="70","Infraestrutura de Planta","Prédios e Instalações"),IF(K387="FPC",VLOOKUP(F387,[1]Info!$E$2:$F$11,2,0),IF(K387="FGP",VLOOKUP(F387,[1]Info!$E$9:$F$10,2,0),IF(K387="F10",VLOOKUP(F387,[1]Info!$E$2:$F$3,2,0),VLOOKUP(K387,[1]Info!$A$1:$B$21,2,0))))))</f>
        <v>#N/A</v>
      </c>
    </row>
    <row r="388" spans="1:24" x14ac:dyDescent="0.35">
      <c r="A388" t="s">
        <v>41</v>
      </c>
      <c r="B388" t="s">
        <v>65</v>
      </c>
      <c r="C388" t="s">
        <v>66</v>
      </c>
      <c r="D388" t="s">
        <v>100</v>
      </c>
      <c r="E388" t="s">
        <v>65</v>
      </c>
      <c r="F388">
        <v>7097070</v>
      </c>
      <c r="G388" t="s">
        <v>1544</v>
      </c>
      <c r="H388" t="s">
        <v>68</v>
      </c>
      <c r="I388" t="s">
        <v>69</v>
      </c>
      <c r="J388" t="s">
        <v>72</v>
      </c>
      <c r="K388" t="s">
        <v>0</v>
      </c>
      <c r="L388" t="s">
        <v>51</v>
      </c>
      <c r="M388" t="s">
        <v>46</v>
      </c>
      <c r="N388" t="s">
        <v>47</v>
      </c>
      <c r="O388" t="s">
        <v>807</v>
      </c>
      <c r="P388" t="s">
        <v>1292</v>
      </c>
      <c r="Q388" t="s">
        <v>46</v>
      </c>
      <c r="R388" t="s">
        <v>47</v>
      </c>
      <c r="S388" t="s">
        <v>46</v>
      </c>
      <c r="T388" t="s">
        <v>46</v>
      </c>
      <c r="U388" s="4">
        <v>-16425.18</v>
      </c>
      <c r="V388" t="str">
        <f t="shared" ref="V388:V451" si="6">RIGHT(O388,4)</f>
        <v>1300</v>
      </c>
      <c r="W388" t="str">
        <f>VLOOKUP(K388,[1]Info!A$1:B$21,2,0)</f>
        <v>Carboval</v>
      </c>
      <c r="X388" t="e">
        <f>IF(M388="109595132","Material de Limpeza-Não Avaliar",IF(AND(K388="F20",M388&lt;&gt;109595132),IF(RIGHT(F388,2)="70","Infraestrutura de Planta","Prédios e Instalações"),IF(K388="FPC",VLOOKUP(F388,[1]Info!$E$2:$F$11,2,0),IF(K388="FGP",VLOOKUP(F388,[1]Info!$E$9:$F$10,2,0),IF(K388="F10",VLOOKUP(F388,[1]Info!$E$2:$F$3,2,0),VLOOKUP(K388,[1]Info!$A$1:$B$21,2,0))))))</f>
        <v>#N/A</v>
      </c>
    </row>
    <row r="389" spans="1:24" x14ac:dyDescent="0.35">
      <c r="A389" t="s">
        <v>41</v>
      </c>
      <c r="B389" t="s">
        <v>65</v>
      </c>
      <c r="C389" t="s">
        <v>66</v>
      </c>
      <c r="D389" t="s">
        <v>100</v>
      </c>
      <c r="E389" t="s">
        <v>65</v>
      </c>
      <c r="F389">
        <v>7097070</v>
      </c>
      <c r="G389" t="s">
        <v>1544</v>
      </c>
      <c r="H389" t="s">
        <v>68</v>
      </c>
      <c r="I389" t="s">
        <v>69</v>
      </c>
      <c r="J389" t="s">
        <v>72</v>
      </c>
      <c r="K389" t="s">
        <v>0</v>
      </c>
      <c r="L389" t="s">
        <v>51</v>
      </c>
      <c r="M389" t="s">
        <v>46</v>
      </c>
      <c r="N389" t="s">
        <v>47</v>
      </c>
      <c r="O389" t="s">
        <v>1552</v>
      </c>
      <c r="P389" t="s">
        <v>1292</v>
      </c>
      <c r="Q389" t="s">
        <v>46</v>
      </c>
      <c r="R389" t="s">
        <v>47</v>
      </c>
      <c r="S389" t="s">
        <v>46</v>
      </c>
      <c r="T389" t="s">
        <v>46</v>
      </c>
      <c r="U389" s="4">
        <v>-38380.33</v>
      </c>
      <c r="V389" t="str">
        <f t="shared" si="6"/>
        <v>0100</v>
      </c>
      <c r="W389" t="str">
        <f>VLOOKUP(K389,[1]Info!A$1:B$21,2,0)</f>
        <v>Carboval</v>
      </c>
      <c r="X389" t="e">
        <f>IF(M389="109595132","Material de Limpeza-Não Avaliar",IF(AND(K389="F20",M389&lt;&gt;109595132),IF(RIGHT(F389,2)="70","Infraestrutura de Planta","Prédios e Instalações"),IF(K389="FPC",VLOOKUP(F389,[1]Info!$E$2:$F$11,2,0),IF(K389="FGP",VLOOKUP(F389,[1]Info!$E$9:$F$10,2,0),IF(K389="F10",VLOOKUP(F389,[1]Info!$E$2:$F$3,2,0),VLOOKUP(K389,[1]Info!$A$1:$B$21,2,0))))))</f>
        <v>#N/A</v>
      </c>
    </row>
    <row r="390" spans="1:24" x14ac:dyDescent="0.35">
      <c r="A390" t="s">
        <v>41</v>
      </c>
      <c r="B390" t="s">
        <v>65</v>
      </c>
      <c r="C390" t="s">
        <v>66</v>
      </c>
      <c r="D390" t="s">
        <v>100</v>
      </c>
      <c r="E390" t="s">
        <v>65</v>
      </c>
      <c r="F390">
        <v>7097070</v>
      </c>
      <c r="G390" t="s">
        <v>1544</v>
      </c>
      <c r="H390" t="s">
        <v>68</v>
      </c>
      <c r="I390" t="s">
        <v>69</v>
      </c>
      <c r="J390" t="s">
        <v>72</v>
      </c>
      <c r="K390" t="s">
        <v>0</v>
      </c>
      <c r="L390" t="s">
        <v>51</v>
      </c>
      <c r="M390" t="s">
        <v>46</v>
      </c>
      <c r="N390" t="s">
        <v>47</v>
      </c>
      <c r="O390" t="s">
        <v>1553</v>
      </c>
      <c r="P390" t="s">
        <v>1292</v>
      </c>
      <c r="Q390" t="s">
        <v>46</v>
      </c>
      <c r="R390" t="s">
        <v>47</v>
      </c>
      <c r="S390" t="s">
        <v>46</v>
      </c>
      <c r="T390" t="s">
        <v>46</v>
      </c>
      <c r="U390" s="4">
        <v>-9187.1</v>
      </c>
      <c r="V390" t="str">
        <f t="shared" si="6"/>
        <v>SI01</v>
      </c>
      <c r="W390" t="str">
        <f>VLOOKUP(K390,[1]Info!A$1:B$21,2,0)</f>
        <v>Carboval</v>
      </c>
      <c r="X390" t="e">
        <f>IF(M390="109595132","Material de Limpeza-Não Avaliar",IF(AND(K390="F20",M390&lt;&gt;109595132),IF(RIGHT(F390,2)="70","Infraestrutura de Planta","Prédios e Instalações"),IF(K390="FPC",VLOOKUP(F390,[1]Info!$E$2:$F$11,2,0),IF(K390="FGP",VLOOKUP(F390,[1]Info!$E$9:$F$10,2,0),IF(K390="F10",VLOOKUP(F390,[1]Info!$E$2:$F$3,2,0),VLOOKUP(K390,[1]Info!$A$1:$B$21,2,0))))))</f>
        <v>#N/A</v>
      </c>
    </row>
    <row r="391" spans="1:24" x14ac:dyDescent="0.35">
      <c r="A391" t="s">
        <v>41</v>
      </c>
      <c r="B391" t="s">
        <v>65</v>
      </c>
      <c r="C391" t="s">
        <v>66</v>
      </c>
      <c r="D391" t="s">
        <v>100</v>
      </c>
      <c r="E391" t="s">
        <v>65</v>
      </c>
      <c r="F391">
        <v>7097070</v>
      </c>
      <c r="G391" t="s">
        <v>1544</v>
      </c>
      <c r="H391" t="s">
        <v>68</v>
      </c>
      <c r="I391" t="s">
        <v>69</v>
      </c>
      <c r="J391" t="s">
        <v>72</v>
      </c>
      <c r="K391" t="s">
        <v>0</v>
      </c>
      <c r="L391" t="s">
        <v>51</v>
      </c>
      <c r="M391" t="s">
        <v>46</v>
      </c>
      <c r="N391" t="s">
        <v>47</v>
      </c>
      <c r="O391" t="s">
        <v>1554</v>
      </c>
      <c r="P391" t="s">
        <v>1292</v>
      </c>
      <c r="Q391" t="s">
        <v>46</v>
      </c>
      <c r="R391" t="s">
        <v>47</v>
      </c>
      <c r="S391" t="s">
        <v>46</v>
      </c>
      <c r="T391" t="s">
        <v>46</v>
      </c>
      <c r="U391" s="4">
        <v>-8051.56</v>
      </c>
      <c r="V391" t="str">
        <f t="shared" si="6"/>
        <v>-C01</v>
      </c>
      <c r="W391" t="str">
        <f>VLOOKUP(K391,[1]Info!A$1:B$21,2,0)</f>
        <v>Carboval</v>
      </c>
      <c r="X391" t="e">
        <f>IF(M391="109595132","Material de Limpeza-Não Avaliar",IF(AND(K391="F20",M391&lt;&gt;109595132),IF(RIGHT(F391,2)="70","Infraestrutura de Planta","Prédios e Instalações"),IF(K391="FPC",VLOOKUP(F391,[1]Info!$E$2:$F$11,2,0),IF(K391="FGP",VLOOKUP(F391,[1]Info!$E$9:$F$10,2,0),IF(K391="F10",VLOOKUP(F391,[1]Info!$E$2:$F$3,2,0),VLOOKUP(K391,[1]Info!$A$1:$B$21,2,0))))))</f>
        <v>#N/A</v>
      </c>
    </row>
    <row r="392" spans="1:24" x14ac:dyDescent="0.35">
      <c r="A392" t="s">
        <v>41</v>
      </c>
      <c r="B392" t="s">
        <v>65</v>
      </c>
      <c r="C392" t="s">
        <v>66</v>
      </c>
      <c r="D392" t="s">
        <v>100</v>
      </c>
      <c r="E392" t="s">
        <v>65</v>
      </c>
      <c r="F392">
        <v>7097070</v>
      </c>
      <c r="G392" t="s">
        <v>1544</v>
      </c>
      <c r="H392" t="s">
        <v>68</v>
      </c>
      <c r="I392" t="s">
        <v>69</v>
      </c>
      <c r="J392" t="s">
        <v>72</v>
      </c>
      <c r="K392" t="s">
        <v>0</v>
      </c>
      <c r="L392" t="s">
        <v>51</v>
      </c>
      <c r="M392" t="s">
        <v>46</v>
      </c>
      <c r="N392" t="s">
        <v>47</v>
      </c>
      <c r="O392" t="s">
        <v>745</v>
      </c>
      <c r="P392" t="s">
        <v>1292</v>
      </c>
      <c r="Q392" t="s">
        <v>46</v>
      </c>
      <c r="R392" t="s">
        <v>47</v>
      </c>
      <c r="S392" t="s">
        <v>46</v>
      </c>
      <c r="T392" t="s">
        <v>46</v>
      </c>
      <c r="U392" s="4">
        <v>-34064.46</v>
      </c>
      <c r="V392" t="str">
        <f t="shared" si="6"/>
        <v>0100</v>
      </c>
      <c r="W392" t="str">
        <f>VLOOKUP(K392,[1]Info!A$1:B$21,2,0)</f>
        <v>Carboval</v>
      </c>
      <c r="X392" t="e">
        <f>IF(M392="109595132","Material de Limpeza-Não Avaliar",IF(AND(K392="F20",M392&lt;&gt;109595132),IF(RIGHT(F392,2)="70","Infraestrutura de Planta","Prédios e Instalações"),IF(K392="FPC",VLOOKUP(F392,[1]Info!$E$2:$F$11,2,0),IF(K392="FGP",VLOOKUP(F392,[1]Info!$E$9:$F$10,2,0),IF(K392="F10",VLOOKUP(F392,[1]Info!$E$2:$F$3,2,0),VLOOKUP(K392,[1]Info!$A$1:$B$21,2,0))))))</f>
        <v>#N/A</v>
      </c>
    </row>
    <row r="393" spans="1:24" x14ac:dyDescent="0.35">
      <c r="A393" t="s">
        <v>41</v>
      </c>
      <c r="B393" t="s">
        <v>65</v>
      </c>
      <c r="C393" t="s">
        <v>66</v>
      </c>
      <c r="D393" t="s">
        <v>100</v>
      </c>
      <c r="E393" t="s">
        <v>65</v>
      </c>
      <c r="F393">
        <v>7097070</v>
      </c>
      <c r="G393" t="s">
        <v>1544</v>
      </c>
      <c r="H393" t="s">
        <v>68</v>
      </c>
      <c r="I393" t="s">
        <v>69</v>
      </c>
      <c r="J393" t="s">
        <v>72</v>
      </c>
      <c r="K393" t="s">
        <v>0</v>
      </c>
      <c r="L393" t="s">
        <v>51</v>
      </c>
      <c r="M393" t="s">
        <v>46</v>
      </c>
      <c r="N393" t="s">
        <v>47</v>
      </c>
      <c r="O393" t="s">
        <v>1555</v>
      </c>
      <c r="P393" t="s">
        <v>1292</v>
      </c>
      <c r="Q393" t="s">
        <v>46</v>
      </c>
      <c r="R393" t="s">
        <v>47</v>
      </c>
      <c r="S393" t="s">
        <v>46</v>
      </c>
      <c r="T393" t="s">
        <v>46</v>
      </c>
      <c r="U393" s="4">
        <v>-131387.26</v>
      </c>
      <c r="V393" t="str">
        <f t="shared" si="6"/>
        <v>8000</v>
      </c>
      <c r="W393" t="str">
        <f>VLOOKUP(K393,[1]Info!A$1:B$21,2,0)</f>
        <v>Carboval</v>
      </c>
      <c r="X393" t="e">
        <f>IF(M393="109595132","Material de Limpeza-Não Avaliar",IF(AND(K393="F20",M393&lt;&gt;109595132),IF(RIGHT(F393,2)="70","Infraestrutura de Planta","Prédios e Instalações"),IF(K393="FPC",VLOOKUP(F393,[1]Info!$E$2:$F$11,2,0),IF(K393="FGP",VLOOKUP(F393,[1]Info!$E$9:$F$10,2,0),IF(K393="F10",VLOOKUP(F393,[1]Info!$E$2:$F$3,2,0),VLOOKUP(K393,[1]Info!$A$1:$B$21,2,0))))))</f>
        <v>#N/A</v>
      </c>
    </row>
    <row r="394" spans="1:24" x14ac:dyDescent="0.35">
      <c r="A394" t="s">
        <v>41</v>
      </c>
      <c r="B394" t="s">
        <v>65</v>
      </c>
      <c r="C394" t="s">
        <v>66</v>
      </c>
      <c r="D394" t="s">
        <v>100</v>
      </c>
      <c r="E394" t="s">
        <v>65</v>
      </c>
      <c r="F394">
        <v>7097070</v>
      </c>
      <c r="G394" t="s">
        <v>1544</v>
      </c>
      <c r="H394" t="s">
        <v>68</v>
      </c>
      <c r="I394" t="s">
        <v>69</v>
      </c>
      <c r="J394" t="s">
        <v>72</v>
      </c>
      <c r="K394" t="s">
        <v>0</v>
      </c>
      <c r="L394" t="s">
        <v>51</v>
      </c>
      <c r="M394" t="s">
        <v>46</v>
      </c>
      <c r="N394" t="s">
        <v>47</v>
      </c>
      <c r="O394" t="s">
        <v>214</v>
      </c>
      <c r="P394" t="s">
        <v>1292</v>
      </c>
      <c r="Q394" t="s">
        <v>46</v>
      </c>
      <c r="R394" t="s">
        <v>47</v>
      </c>
      <c r="S394" t="s">
        <v>46</v>
      </c>
      <c r="T394" t="s">
        <v>46</v>
      </c>
      <c r="U394" s="4">
        <v>-4129.04</v>
      </c>
      <c r="V394" t="str">
        <f t="shared" si="6"/>
        <v>WD01</v>
      </c>
      <c r="W394" t="str">
        <f>VLOOKUP(K394,[1]Info!A$1:B$21,2,0)</f>
        <v>Carboval</v>
      </c>
      <c r="X394" t="e">
        <f>IF(M394="109595132","Material de Limpeza-Não Avaliar",IF(AND(K394="F20",M394&lt;&gt;109595132),IF(RIGHT(F394,2)="70","Infraestrutura de Planta","Prédios e Instalações"),IF(K394="FPC",VLOOKUP(F394,[1]Info!$E$2:$F$11,2,0),IF(K394="FGP",VLOOKUP(F394,[1]Info!$E$9:$F$10,2,0),IF(K394="F10",VLOOKUP(F394,[1]Info!$E$2:$F$3,2,0),VLOOKUP(K394,[1]Info!$A$1:$B$21,2,0))))))</f>
        <v>#N/A</v>
      </c>
    </row>
    <row r="395" spans="1:24" x14ac:dyDescent="0.35">
      <c r="A395" t="s">
        <v>41</v>
      </c>
      <c r="B395" t="s">
        <v>65</v>
      </c>
      <c r="C395" t="s">
        <v>66</v>
      </c>
      <c r="D395" t="s">
        <v>100</v>
      </c>
      <c r="E395" t="s">
        <v>65</v>
      </c>
      <c r="F395">
        <v>7097070</v>
      </c>
      <c r="G395" t="s">
        <v>1544</v>
      </c>
      <c r="H395" t="s">
        <v>68</v>
      </c>
      <c r="I395" t="s">
        <v>69</v>
      </c>
      <c r="J395" t="s">
        <v>72</v>
      </c>
      <c r="K395" t="s">
        <v>0</v>
      </c>
      <c r="L395" t="s">
        <v>51</v>
      </c>
      <c r="M395" t="s">
        <v>46</v>
      </c>
      <c r="N395" t="s">
        <v>47</v>
      </c>
      <c r="O395" t="s">
        <v>1556</v>
      </c>
      <c r="P395" t="s">
        <v>1292</v>
      </c>
      <c r="Q395" t="s">
        <v>46</v>
      </c>
      <c r="R395" t="s">
        <v>47</v>
      </c>
      <c r="S395" t="s">
        <v>46</v>
      </c>
      <c r="T395" t="s">
        <v>46</v>
      </c>
      <c r="U395" s="4">
        <v>-2477.4</v>
      </c>
      <c r="V395" t="str">
        <f t="shared" si="6"/>
        <v>-C04</v>
      </c>
      <c r="W395" t="str">
        <f>VLOOKUP(K395,[1]Info!A$1:B$21,2,0)</f>
        <v>Carboval</v>
      </c>
      <c r="X395" t="e">
        <f>IF(M395="109595132","Material de Limpeza-Não Avaliar",IF(AND(K395="F20",M395&lt;&gt;109595132),IF(RIGHT(F395,2)="70","Infraestrutura de Planta","Prédios e Instalações"),IF(K395="FPC",VLOOKUP(F395,[1]Info!$E$2:$F$11,2,0),IF(K395="FGP",VLOOKUP(F395,[1]Info!$E$9:$F$10,2,0),IF(K395="F10",VLOOKUP(F395,[1]Info!$E$2:$F$3,2,0),VLOOKUP(K395,[1]Info!$A$1:$B$21,2,0))))))</f>
        <v>#N/A</v>
      </c>
    </row>
    <row r="396" spans="1:24" x14ac:dyDescent="0.35">
      <c r="A396" t="s">
        <v>41</v>
      </c>
      <c r="B396" t="s">
        <v>65</v>
      </c>
      <c r="C396" t="s">
        <v>66</v>
      </c>
      <c r="D396" t="s">
        <v>100</v>
      </c>
      <c r="E396" t="s">
        <v>65</v>
      </c>
      <c r="F396">
        <v>7097070</v>
      </c>
      <c r="G396" t="s">
        <v>1544</v>
      </c>
      <c r="H396" t="s">
        <v>68</v>
      </c>
      <c r="I396" t="s">
        <v>69</v>
      </c>
      <c r="J396" t="s">
        <v>72</v>
      </c>
      <c r="K396" t="s">
        <v>2</v>
      </c>
      <c r="L396" t="s">
        <v>51</v>
      </c>
      <c r="M396" t="s">
        <v>46</v>
      </c>
      <c r="N396" t="s">
        <v>47</v>
      </c>
      <c r="O396" t="s">
        <v>1557</v>
      </c>
      <c r="P396" t="s">
        <v>1292</v>
      </c>
      <c r="Q396" t="s">
        <v>46</v>
      </c>
      <c r="R396" t="s">
        <v>47</v>
      </c>
      <c r="S396" t="s">
        <v>46</v>
      </c>
      <c r="T396" t="s">
        <v>46</v>
      </c>
      <c r="U396" s="4">
        <v>-5735.19</v>
      </c>
      <c r="V396" t="str">
        <f t="shared" si="6"/>
        <v>0030</v>
      </c>
      <c r="W396" t="str">
        <f>VLOOKUP(K396,[1]Info!A$1:B$21,2,0)</f>
        <v>Infra - prédios</v>
      </c>
      <c r="X396" t="str">
        <f>IF(M396="109595132","Material de Limpeza-Não Avaliar",IF(AND(K396="F20",M396&lt;&gt;109595132),IF(RIGHT(F396,2)="70","Infraestrutura de Planta","Prédios e Instalações"),IF(K396="FPC",VLOOKUP(F396,[1]Info!$E$2:$F$11,2,0),IF(K396="FGP",VLOOKUP(F396,[1]Info!$E$9:$F$10,2,0),IF(K396="F10",VLOOKUP(F396,[1]Info!$E$2:$F$3,2,0),VLOOKUP(K396,[1]Info!$A$1:$B$21,2,0))))))</f>
        <v>Infraestrutura de Planta</v>
      </c>
    </row>
    <row r="397" spans="1:24" x14ac:dyDescent="0.35">
      <c r="A397" t="s">
        <v>41</v>
      </c>
      <c r="B397" t="s">
        <v>65</v>
      </c>
      <c r="C397" t="s">
        <v>66</v>
      </c>
      <c r="D397" t="s">
        <v>100</v>
      </c>
      <c r="E397" t="s">
        <v>65</v>
      </c>
      <c r="F397">
        <v>7097070</v>
      </c>
      <c r="G397" t="s">
        <v>1544</v>
      </c>
      <c r="H397" t="s">
        <v>68</v>
      </c>
      <c r="I397" t="s">
        <v>69</v>
      </c>
      <c r="J397" t="s">
        <v>50</v>
      </c>
      <c r="K397" t="s">
        <v>3</v>
      </c>
      <c r="L397" t="s">
        <v>51</v>
      </c>
      <c r="M397" t="s">
        <v>46</v>
      </c>
      <c r="N397" t="s">
        <v>47</v>
      </c>
      <c r="O397" t="s">
        <v>1558</v>
      </c>
      <c r="P397" t="s">
        <v>1292</v>
      </c>
      <c r="Q397" t="s">
        <v>46</v>
      </c>
      <c r="R397" t="s">
        <v>47</v>
      </c>
      <c r="S397" t="s">
        <v>46</v>
      </c>
      <c r="T397" t="s">
        <v>46</v>
      </c>
      <c r="U397" s="4">
        <v>-206.45</v>
      </c>
      <c r="V397" t="str">
        <f t="shared" si="6"/>
        <v>C034</v>
      </c>
      <c r="W397" t="str">
        <f>VLOOKUP(K397,[1]Info!A$1:B$21,2,0)</f>
        <v>Carregadeira</v>
      </c>
      <c r="X397" t="e">
        <f>IF(M397="109595132","Material de Limpeza-Não Avaliar",IF(AND(K397="F20",M397&lt;&gt;109595132),IF(RIGHT(F397,2)="70","Infraestrutura de Planta","Prédios e Instalações"),IF(K397="FPC",VLOOKUP(F397,[1]Info!$E$2:$F$11,2,0),IF(K397="FGP",VLOOKUP(F397,[1]Info!$E$9:$F$10,2,0),IF(K397="F10",VLOOKUP(F397,[1]Info!$E$2:$F$3,2,0),VLOOKUP(K397,[1]Info!$A$1:$B$21,2,0))))))</f>
        <v>#N/A</v>
      </c>
    </row>
    <row r="398" spans="1:24" x14ac:dyDescent="0.35">
      <c r="A398" t="s">
        <v>41</v>
      </c>
      <c r="B398" t="s">
        <v>65</v>
      </c>
      <c r="C398" t="s">
        <v>66</v>
      </c>
      <c r="D398" t="s">
        <v>100</v>
      </c>
      <c r="E398" t="s">
        <v>65</v>
      </c>
      <c r="F398">
        <v>7097060</v>
      </c>
      <c r="G398" t="s">
        <v>1559</v>
      </c>
      <c r="H398" t="s">
        <v>68</v>
      </c>
      <c r="I398" t="s">
        <v>69</v>
      </c>
      <c r="J398" t="s">
        <v>72</v>
      </c>
      <c r="K398" t="s">
        <v>0</v>
      </c>
      <c r="L398" t="s">
        <v>51</v>
      </c>
      <c r="M398" t="s">
        <v>46</v>
      </c>
      <c r="N398" t="s">
        <v>47</v>
      </c>
      <c r="O398" t="s">
        <v>105</v>
      </c>
      <c r="P398" t="s">
        <v>1292</v>
      </c>
      <c r="Q398" t="s">
        <v>46</v>
      </c>
      <c r="R398" t="s">
        <v>47</v>
      </c>
      <c r="S398" t="s">
        <v>46</v>
      </c>
      <c r="T398" t="s">
        <v>46</v>
      </c>
      <c r="U398" s="4">
        <v>-23538.25</v>
      </c>
      <c r="V398" t="str">
        <f t="shared" si="6"/>
        <v>0100</v>
      </c>
      <c r="W398" t="str">
        <f>VLOOKUP(K398,[1]Info!A$1:B$21,2,0)</f>
        <v>Carboval</v>
      </c>
      <c r="X398" t="e">
        <f>IF(M398="109595132","Material de Limpeza-Não Avaliar",IF(AND(K398="F20",M398&lt;&gt;109595132),IF(RIGHT(F398,2)="70","Infraestrutura de Planta","Prédios e Instalações"),IF(K398="FPC",VLOOKUP(F398,[1]Info!$E$2:$F$11,2,0),IF(K398="FGP",VLOOKUP(F398,[1]Info!$E$9:$F$10,2,0),IF(K398="F10",VLOOKUP(F398,[1]Info!$E$2:$F$3,2,0),VLOOKUP(K398,[1]Info!$A$1:$B$21,2,0))))))</f>
        <v>#N/A</v>
      </c>
    </row>
    <row r="399" spans="1:24" x14ac:dyDescent="0.35">
      <c r="A399" t="s">
        <v>41</v>
      </c>
      <c r="B399" t="s">
        <v>65</v>
      </c>
      <c r="C399" t="s">
        <v>66</v>
      </c>
      <c r="D399" t="s">
        <v>100</v>
      </c>
      <c r="E399" t="s">
        <v>65</v>
      </c>
      <c r="F399">
        <v>7097060</v>
      </c>
      <c r="G399" t="s">
        <v>1559</v>
      </c>
      <c r="H399" t="s">
        <v>68</v>
      </c>
      <c r="I399" t="s">
        <v>69</v>
      </c>
      <c r="J399" t="s">
        <v>72</v>
      </c>
      <c r="K399" t="s">
        <v>0</v>
      </c>
      <c r="L399" t="s">
        <v>51</v>
      </c>
      <c r="M399" t="s">
        <v>46</v>
      </c>
      <c r="N399" t="s">
        <v>47</v>
      </c>
      <c r="O399" t="s">
        <v>213</v>
      </c>
      <c r="P399" t="s">
        <v>1292</v>
      </c>
      <c r="Q399" t="s">
        <v>46</v>
      </c>
      <c r="R399" t="s">
        <v>47</v>
      </c>
      <c r="S399" t="s">
        <v>46</v>
      </c>
      <c r="T399" t="s">
        <v>46</v>
      </c>
      <c r="U399" s="4">
        <v>-418.58</v>
      </c>
      <c r="V399" t="str">
        <f t="shared" si="6"/>
        <v>0400</v>
      </c>
      <c r="W399" t="str">
        <f>VLOOKUP(K399,[1]Info!A$1:B$21,2,0)</f>
        <v>Carboval</v>
      </c>
      <c r="X399" t="e">
        <f>IF(M399="109595132","Material de Limpeza-Não Avaliar",IF(AND(K399="F20",M399&lt;&gt;109595132),IF(RIGHT(F399,2)="70","Infraestrutura de Planta","Prédios e Instalações"),IF(K399="FPC",VLOOKUP(F399,[1]Info!$E$2:$F$11,2,0),IF(K399="FGP",VLOOKUP(F399,[1]Info!$E$9:$F$10,2,0),IF(K399="F10",VLOOKUP(F399,[1]Info!$E$2:$F$3,2,0),VLOOKUP(K399,[1]Info!$A$1:$B$21,2,0))))))</f>
        <v>#N/A</v>
      </c>
    </row>
    <row r="400" spans="1:24" x14ac:dyDescent="0.35">
      <c r="A400" t="s">
        <v>41</v>
      </c>
      <c r="B400" t="s">
        <v>65</v>
      </c>
      <c r="C400" t="s">
        <v>66</v>
      </c>
      <c r="D400" t="s">
        <v>100</v>
      </c>
      <c r="E400" t="s">
        <v>65</v>
      </c>
      <c r="F400">
        <v>7097060</v>
      </c>
      <c r="G400" t="s">
        <v>1559</v>
      </c>
      <c r="H400" t="s">
        <v>68</v>
      </c>
      <c r="I400" t="s">
        <v>69</v>
      </c>
      <c r="J400" t="s">
        <v>72</v>
      </c>
      <c r="K400" t="s">
        <v>0</v>
      </c>
      <c r="L400" t="s">
        <v>51</v>
      </c>
      <c r="M400" t="s">
        <v>46</v>
      </c>
      <c r="N400" t="s">
        <v>47</v>
      </c>
      <c r="O400" t="s">
        <v>715</v>
      </c>
      <c r="P400" t="s">
        <v>1292</v>
      </c>
      <c r="Q400" t="s">
        <v>46</v>
      </c>
      <c r="R400" t="s">
        <v>47</v>
      </c>
      <c r="S400" t="s">
        <v>46</v>
      </c>
      <c r="T400" t="s">
        <v>46</v>
      </c>
      <c r="U400" s="4">
        <v>-4116.05</v>
      </c>
      <c r="V400" t="str">
        <f t="shared" si="6"/>
        <v>0800</v>
      </c>
      <c r="W400" t="str">
        <f>VLOOKUP(K400,[1]Info!A$1:B$21,2,0)</f>
        <v>Carboval</v>
      </c>
      <c r="X400" t="e">
        <f>IF(M400="109595132","Material de Limpeza-Não Avaliar",IF(AND(K400="F20",M400&lt;&gt;109595132),IF(RIGHT(F400,2)="70","Infraestrutura de Planta","Prédios e Instalações"),IF(K400="FPC",VLOOKUP(F400,[1]Info!$E$2:$F$11,2,0),IF(K400="FGP",VLOOKUP(F400,[1]Info!$E$9:$F$10,2,0),IF(K400="F10",VLOOKUP(F400,[1]Info!$E$2:$F$3,2,0),VLOOKUP(K400,[1]Info!$A$1:$B$21,2,0))))))</f>
        <v>#N/A</v>
      </c>
    </row>
    <row r="401" spans="1:24" x14ac:dyDescent="0.35">
      <c r="A401" t="s">
        <v>41</v>
      </c>
      <c r="B401" t="s">
        <v>65</v>
      </c>
      <c r="C401" t="s">
        <v>66</v>
      </c>
      <c r="D401" t="s">
        <v>100</v>
      </c>
      <c r="E401" t="s">
        <v>65</v>
      </c>
      <c r="F401">
        <v>7097060</v>
      </c>
      <c r="G401" t="s">
        <v>1559</v>
      </c>
      <c r="H401" t="s">
        <v>68</v>
      </c>
      <c r="I401" t="s">
        <v>69</v>
      </c>
      <c r="J401" t="s">
        <v>72</v>
      </c>
      <c r="K401" t="s">
        <v>0</v>
      </c>
      <c r="L401" t="s">
        <v>51</v>
      </c>
      <c r="M401" t="s">
        <v>46</v>
      </c>
      <c r="N401" t="s">
        <v>47</v>
      </c>
      <c r="O401" t="s">
        <v>818</v>
      </c>
      <c r="P401" t="s">
        <v>1292</v>
      </c>
      <c r="Q401" t="s">
        <v>46</v>
      </c>
      <c r="R401" t="s">
        <v>47</v>
      </c>
      <c r="S401" t="s">
        <v>46</v>
      </c>
      <c r="T401" t="s">
        <v>46</v>
      </c>
      <c r="U401" s="4">
        <v>-2511.4899999999998</v>
      </c>
      <c r="V401" t="str">
        <f t="shared" si="6"/>
        <v>-120</v>
      </c>
      <c r="W401" t="str">
        <f>VLOOKUP(K401,[1]Info!A$1:B$21,2,0)</f>
        <v>Carboval</v>
      </c>
      <c r="X401" t="e">
        <f>IF(M401="109595132","Material de Limpeza-Não Avaliar",IF(AND(K401="F20",M401&lt;&gt;109595132),IF(RIGHT(F401,2)="70","Infraestrutura de Planta","Prédios e Instalações"),IF(K401="FPC",VLOOKUP(F401,[1]Info!$E$2:$F$11,2,0),IF(K401="FGP",VLOOKUP(F401,[1]Info!$E$9:$F$10,2,0),IF(K401="F10",VLOOKUP(F401,[1]Info!$E$2:$F$3,2,0),VLOOKUP(K401,[1]Info!$A$1:$B$21,2,0))))))</f>
        <v>#N/A</v>
      </c>
    </row>
    <row r="402" spans="1:24" x14ac:dyDescent="0.35">
      <c r="A402" t="s">
        <v>41</v>
      </c>
      <c r="B402" t="s">
        <v>65</v>
      </c>
      <c r="C402" t="s">
        <v>66</v>
      </c>
      <c r="D402" t="s">
        <v>100</v>
      </c>
      <c r="E402" t="s">
        <v>65</v>
      </c>
      <c r="F402">
        <v>7097060</v>
      </c>
      <c r="G402" t="s">
        <v>1559</v>
      </c>
      <c r="H402" t="s">
        <v>68</v>
      </c>
      <c r="I402" t="s">
        <v>69</v>
      </c>
      <c r="J402" t="s">
        <v>72</v>
      </c>
      <c r="K402" t="s">
        <v>0</v>
      </c>
      <c r="L402" t="s">
        <v>51</v>
      </c>
      <c r="M402" t="s">
        <v>46</v>
      </c>
      <c r="N402" t="s">
        <v>47</v>
      </c>
      <c r="O402" t="s">
        <v>783</v>
      </c>
      <c r="P402" t="s">
        <v>1292</v>
      </c>
      <c r="Q402" t="s">
        <v>46</v>
      </c>
      <c r="R402" t="s">
        <v>47</v>
      </c>
      <c r="S402" t="s">
        <v>46</v>
      </c>
      <c r="T402" t="s">
        <v>46</v>
      </c>
      <c r="U402" s="4">
        <v>-558.11</v>
      </c>
      <c r="V402" t="str">
        <f t="shared" si="6"/>
        <v>1100</v>
      </c>
      <c r="W402" t="str">
        <f>VLOOKUP(K402,[1]Info!A$1:B$21,2,0)</f>
        <v>Carboval</v>
      </c>
      <c r="X402" t="e">
        <f>IF(M402="109595132","Material de Limpeza-Não Avaliar",IF(AND(K402="F20",M402&lt;&gt;109595132),IF(RIGHT(F402,2)="70","Infraestrutura de Planta","Prédios e Instalações"),IF(K402="FPC",VLOOKUP(F402,[1]Info!$E$2:$F$11,2,0),IF(K402="FGP",VLOOKUP(F402,[1]Info!$E$9:$F$10,2,0),IF(K402="F10",VLOOKUP(F402,[1]Info!$E$2:$F$3,2,0),VLOOKUP(K402,[1]Info!$A$1:$B$21,2,0))))))</f>
        <v>#N/A</v>
      </c>
    </row>
    <row r="403" spans="1:24" x14ac:dyDescent="0.35">
      <c r="A403" t="s">
        <v>41</v>
      </c>
      <c r="B403" t="s">
        <v>65</v>
      </c>
      <c r="C403" t="s">
        <v>66</v>
      </c>
      <c r="D403" t="s">
        <v>100</v>
      </c>
      <c r="E403" t="s">
        <v>65</v>
      </c>
      <c r="F403">
        <v>7097060</v>
      </c>
      <c r="G403" t="s">
        <v>1559</v>
      </c>
      <c r="H403" t="s">
        <v>68</v>
      </c>
      <c r="I403" t="s">
        <v>69</v>
      </c>
      <c r="J403" t="s">
        <v>50</v>
      </c>
      <c r="K403" t="s">
        <v>7</v>
      </c>
      <c r="L403" t="s">
        <v>148</v>
      </c>
      <c r="M403" t="s">
        <v>46</v>
      </c>
      <c r="N403" t="s">
        <v>47</v>
      </c>
      <c r="O403" t="s">
        <v>1258</v>
      </c>
      <c r="P403" t="s">
        <v>1292</v>
      </c>
      <c r="Q403" t="s">
        <v>46</v>
      </c>
      <c r="R403" t="s">
        <v>47</v>
      </c>
      <c r="S403" t="s">
        <v>46</v>
      </c>
      <c r="T403" t="s">
        <v>46</v>
      </c>
      <c r="U403" s="4">
        <v>-69.760000000000005</v>
      </c>
      <c r="V403" t="str">
        <f t="shared" si="6"/>
        <v>FR39</v>
      </c>
      <c r="W403" t="str">
        <f>VLOOKUP(K403,[1]Info!A$1:B$21,2,0)</f>
        <v>Fornos Retangulares - Engenharia e Obras</v>
      </c>
      <c r="X403" t="str">
        <f>IF(M403="109595132","Material de Limpeza-Não Avaliar",IF(AND(K403="F20",M403&lt;&gt;109595132),IF(RIGHT(F403,2)="70","Infraestrutura de Planta","Prédios e Instalações"),IF(K403="FPC",VLOOKUP(F403,[1]Info!$E$2:$F$11,2,0),IF(K403="FGP",VLOOKUP(F403,[1]Info!$E$9:$F$10,2,0),IF(K403="F10",VLOOKUP(F403,[1]Info!$E$2:$F$3,2,0),VLOOKUP(K403,[1]Info!$A$1:$B$21,2,0))))))</f>
        <v>Fornos Retangulares - Engenharia e Obras</v>
      </c>
    </row>
    <row r="404" spans="1:24" x14ac:dyDescent="0.35">
      <c r="A404" t="s">
        <v>41</v>
      </c>
      <c r="B404" t="s">
        <v>65</v>
      </c>
      <c r="C404" t="s">
        <v>66</v>
      </c>
      <c r="D404" t="s">
        <v>100</v>
      </c>
      <c r="E404" t="s">
        <v>65</v>
      </c>
      <c r="F404">
        <v>7097060</v>
      </c>
      <c r="G404" t="s">
        <v>1559</v>
      </c>
      <c r="H404" t="s">
        <v>68</v>
      </c>
      <c r="I404" t="s">
        <v>69</v>
      </c>
      <c r="J404" t="s">
        <v>50</v>
      </c>
      <c r="K404" t="s">
        <v>16</v>
      </c>
      <c r="L404" t="s">
        <v>51</v>
      </c>
      <c r="M404" t="s">
        <v>46</v>
      </c>
      <c r="N404" t="s">
        <v>47</v>
      </c>
      <c r="O404" t="s">
        <v>1155</v>
      </c>
      <c r="P404" t="s">
        <v>1292</v>
      </c>
      <c r="Q404" t="s">
        <v>46</v>
      </c>
      <c r="R404" t="s">
        <v>47</v>
      </c>
      <c r="S404" t="s">
        <v>46</v>
      </c>
      <c r="T404" t="s">
        <v>46</v>
      </c>
      <c r="U404" s="4">
        <v>-558.11</v>
      </c>
      <c r="V404" t="str">
        <f t="shared" si="6"/>
        <v>TP24</v>
      </c>
      <c r="W404" t="str">
        <f>VLOOKUP(K404,[1]Info!A$1:B$21,2,0)</f>
        <v>Trator Pneu</v>
      </c>
      <c r="X404" t="str">
        <f>IF(M404="109595132","Material de Limpeza-Não Avaliar",IF(AND(K404="F20",M404&lt;&gt;109595132),IF(RIGHT(F404,2)="70","Infraestrutura de Planta","Prédios e Instalações"),IF(K404="FPC",VLOOKUP(F404,[1]Info!$E$2:$F$11,2,0),IF(K404="FGP",VLOOKUP(F404,[1]Info!$E$9:$F$10,2,0),IF(K404="F10",VLOOKUP(F404,[1]Info!$E$2:$F$3,2,0),VLOOKUP(K404,[1]Info!$A$1:$B$21,2,0))))))</f>
        <v>Trator Pneu</v>
      </c>
    </row>
    <row r="405" spans="1:24" x14ac:dyDescent="0.35">
      <c r="A405" t="s">
        <v>41</v>
      </c>
      <c r="B405" t="s">
        <v>65</v>
      </c>
      <c r="C405" t="s">
        <v>66</v>
      </c>
      <c r="D405" t="s">
        <v>100</v>
      </c>
      <c r="E405" t="s">
        <v>65</v>
      </c>
      <c r="F405">
        <v>7097060</v>
      </c>
      <c r="G405" t="s">
        <v>1559</v>
      </c>
      <c r="H405" t="s">
        <v>68</v>
      </c>
      <c r="I405" t="s">
        <v>69</v>
      </c>
      <c r="J405" t="s">
        <v>50</v>
      </c>
      <c r="K405" t="s">
        <v>16</v>
      </c>
      <c r="L405" t="s">
        <v>51</v>
      </c>
      <c r="M405" t="s">
        <v>46</v>
      </c>
      <c r="N405" t="s">
        <v>47</v>
      </c>
      <c r="O405" t="s">
        <v>284</v>
      </c>
      <c r="P405" t="s">
        <v>1292</v>
      </c>
      <c r="Q405" t="s">
        <v>46</v>
      </c>
      <c r="R405" t="s">
        <v>47</v>
      </c>
      <c r="S405" t="s">
        <v>46</v>
      </c>
      <c r="T405" t="s">
        <v>46</v>
      </c>
      <c r="U405" s="4">
        <v>-2651.03</v>
      </c>
      <c r="V405" t="str">
        <f t="shared" si="6"/>
        <v>TP27</v>
      </c>
      <c r="W405" t="str">
        <f>VLOOKUP(K405,[1]Info!A$1:B$21,2,0)</f>
        <v>Trator Pneu</v>
      </c>
      <c r="X405" t="str">
        <f>IF(M405="109595132","Material de Limpeza-Não Avaliar",IF(AND(K405="F20",M405&lt;&gt;109595132),IF(RIGHT(F405,2)="70","Infraestrutura de Planta","Prédios e Instalações"),IF(K405="FPC",VLOOKUP(F405,[1]Info!$E$2:$F$11,2,0),IF(K405="FGP",VLOOKUP(F405,[1]Info!$E$9:$F$10,2,0),IF(K405="F10",VLOOKUP(F405,[1]Info!$E$2:$F$3,2,0),VLOOKUP(K405,[1]Info!$A$1:$B$21,2,0))))))</f>
        <v>Trator Pneu</v>
      </c>
    </row>
    <row r="406" spans="1:24" x14ac:dyDescent="0.35">
      <c r="A406" t="s">
        <v>41</v>
      </c>
      <c r="B406" t="s">
        <v>65</v>
      </c>
      <c r="C406" t="s">
        <v>66</v>
      </c>
      <c r="D406" t="s">
        <v>100</v>
      </c>
      <c r="E406" t="s">
        <v>65</v>
      </c>
      <c r="F406">
        <v>7097060</v>
      </c>
      <c r="G406" t="s">
        <v>1559</v>
      </c>
      <c r="H406" t="s">
        <v>68</v>
      </c>
      <c r="I406" t="s">
        <v>69</v>
      </c>
      <c r="J406" t="s">
        <v>50</v>
      </c>
      <c r="K406" t="s">
        <v>16</v>
      </c>
      <c r="L406" t="s">
        <v>51</v>
      </c>
      <c r="M406" t="s">
        <v>46</v>
      </c>
      <c r="N406" t="s">
        <v>47</v>
      </c>
      <c r="O406" t="s">
        <v>276</v>
      </c>
      <c r="P406" t="s">
        <v>1292</v>
      </c>
      <c r="Q406" t="s">
        <v>46</v>
      </c>
      <c r="R406" t="s">
        <v>47</v>
      </c>
      <c r="S406" t="s">
        <v>46</v>
      </c>
      <c r="T406" t="s">
        <v>46</v>
      </c>
      <c r="U406" s="4">
        <v>-558.11</v>
      </c>
      <c r="V406" t="str">
        <f t="shared" si="6"/>
        <v>TP35</v>
      </c>
      <c r="W406" t="str">
        <f>VLOOKUP(K406,[1]Info!A$1:B$21,2,0)</f>
        <v>Trator Pneu</v>
      </c>
      <c r="X406" t="str">
        <f>IF(M406="109595132","Material de Limpeza-Não Avaliar",IF(AND(K406="F20",M406&lt;&gt;109595132),IF(RIGHT(F406,2)="70","Infraestrutura de Planta","Prédios e Instalações"),IF(K406="FPC",VLOOKUP(F406,[1]Info!$E$2:$F$11,2,0),IF(K406="FGP",VLOOKUP(F406,[1]Info!$E$9:$F$10,2,0),IF(K406="F10",VLOOKUP(F406,[1]Info!$E$2:$F$3,2,0),VLOOKUP(K406,[1]Info!$A$1:$B$21,2,0))))))</f>
        <v>Trator Pneu</v>
      </c>
    </row>
    <row r="407" spans="1:24" x14ac:dyDescent="0.35">
      <c r="A407" t="s">
        <v>41</v>
      </c>
      <c r="B407" t="s">
        <v>65</v>
      </c>
      <c r="C407" t="s">
        <v>66</v>
      </c>
      <c r="D407" t="s">
        <v>100</v>
      </c>
      <c r="E407" t="s">
        <v>65</v>
      </c>
      <c r="F407">
        <v>7097060</v>
      </c>
      <c r="G407" t="s">
        <v>1559</v>
      </c>
      <c r="H407" t="s">
        <v>68</v>
      </c>
      <c r="I407" t="s">
        <v>69</v>
      </c>
      <c r="J407" t="s">
        <v>50</v>
      </c>
      <c r="K407" t="s">
        <v>15</v>
      </c>
      <c r="L407" t="s">
        <v>51</v>
      </c>
      <c r="M407" t="s">
        <v>46</v>
      </c>
      <c r="N407" t="s">
        <v>47</v>
      </c>
      <c r="O407" t="s">
        <v>165</v>
      </c>
      <c r="P407" t="s">
        <v>1292</v>
      </c>
      <c r="Q407" t="s">
        <v>46</v>
      </c>
      <c r="R407" t="s">
        <v>47</v>
      </c>
      <c r="S407" t="s">
        <v>46</v>
      </c>
      <c r="T407" t="s">
        <v>46</v>
      </c>
      <c r="U407" s="4">
        <v>-348.82</v>
      </c>
      <c r="V407" t="str">
        <f t="shared" si="6"/>
        <v>SK15</v>
      </c>
      <c r="W407" t="str">
        <f>VLOOKUP(K407,[1]Info!A$1:B$21,2,0)</f>
        <v>Skidder</v>
      </c>
      <c r="X407" t="str">
        <f>IF(M407="109595132","Material de Limpeza-Não Avaliar",IF(AND(K407="F20",M407&lt;&gt;109595132),IF(RIGHT(F407,2)="70","Infraestrutura de Planta","Prédios e Instalações"),IF(K407="FPC",VLOOKUP(F407,[1]Info!$E$2:$F$11,2,0),IF(K407="FGP",VLOOKUP(F407,[1]Info!$E$9:$F$10,2,0),IF(K407="F10",VLOOKUP(F407,[1]Info!$E$2:$F$3,2,0),VLOOKUP(K407,[1]Info!$A$1:$B$21,2,0))))))</f>
        <v>Skidder</v>
      </c>
    </row>
    <row r="408" spans="1:24" x14ac:dyDescent="0.35">
      <c r="A408" t="s">
        <v>41</v>
      </c>
      <c r="B408" t="s">
        <v>65</v>
      </c>
      <c r="C408" t="s">
        <v>66</v>
      </c>
      <c r="D408" t="s">
        <v>100</v>
      </c>
      <c r="E408" t="s">
        <v>65</v>
      </c>
      <c r="F408">
        <v>7097060</v>
      </c>
      <c r="G408" t="s">
        <v>1559</v>
      </c>
      <c r="H408" t="s">
        <v>68</v>
      </c>
      <c r="I408" t="s">
        <v>69</v>
      </c>
      <c r="J408" t="s">
        <v>50</v>
      </c>
      <c r="K408" t="s">
        <v>12</v>
      </c>
      <c r="L408" t="s">
        <v>51</v>
      </c>
      <c r="M408" t="s">
        <v>46</v>
      </c>
      <c r="N408" t="s">
        <v>47</v>
      </c>
      <c r="O408" t="s">
        <v>60</v>
      </c>
      <c r="P408" t="s">
        <v>1292</v>
      </c>
      <c r="Q408" t="s">
        <v>46</v>
      </c>
      <c r="R408" t="s">
        <v>47</v>
      </c>
      <c r="S408" t="s">
        <v>46</v>
      </c>
      <c r="T408" t="s">
        <v>46</v>
      </c>
      <c r="U408" s="4">
        <v>-2804.49</v>
      </c>
      <c r="V408" t="str">
        <f t="shared" si="6"/>
        <v>GT18</v>
      </c>
      <c r="W408" t="str">
        <f>VLOOKUP(K408,[1]Info!A$1:B$21,2,0)</f>
        <v>Garra Traçadora</v>
      </c>
      <c r="X408" t="str">
        <f>IF(M408="109595132","Material de Limpeza-Não Avaliar",IF(AND(K408="F20",M408&lt;&gt;109595132),IF(RIGHT(F408,2)="70","Infraestrutura de Planta","Prédios e Instalações"),IF(K408="FPC",VLOOKUP(F408,[1]Info!$E$2:$F$11,2,0),IF(K408="FGP",VLOOKUP(F408,[1]Info!$E$9:$F$10,2,0),IF(K408="F10",VLOOKUP(F408,[1]Info!$E$2:$F$3,2,0),VLOOKUP(K408,[1]Info!$A$1:$B$21,2,0))))))</f>
        <v>Garra Traçadora</v>
      </c>
    </row>
    <row r="409" spans="1:24" x14ac:dyDescent="0.35">
      <c r="A409" t="s">
        <v>41</v>
      </c>
      <c r="B409" t="s">
        <v>65</v>
      </c>
      <c r="C409" t="s">
        <v>66</v>
      </c>
      <c r="D409" t="s">
        <v>100</v>
      </c>
      <c r="E409" t="s">
        <v>65</v>
      </c>
      <c r="F409">
        <v>7097060</v>
      </c>
      <c r="G409" t="s">
        <v>1559</v>
      </c>
      <c r="H409" t="s">
        <v>68</v>
      </c>
      <c r="I409" t="s">
        <v>69</v>
      </c>
      <c r="J409" t="s">
        <v>50</v>
      </c>
      <c r="K409" t="s">
        <v>11</v>
      </c>
      <c r="L409" t="s">
        <v>51</v>
      </c>
      <c r="M409" t="s">
        <v>46</v>
      </c>
      <c r="N409" t="s">
        <v>47</v>
      </c>
      <c r="O409" t="s">
        <v>63</v>
      </c>
      <c r="P409" t="s">
        <v>1292</v>
      </c>
      <c r="Q409" t="s">
        <v>46</v>
      </c>
      <c r="R409" t="s">
        <v>47</v>
      </c>
      <c r="S409" t="s">
        <v>46</v>
      </c>
      <c r="T409" t="s">
        <v>46</v>
      </c>
      <c r="U409" s="4">
        <v>-4604.3900000000003</v>
      </c>
      <c r="V409" t="str">
        <f t="shared" si="6"/>
        <v>FF15</v>
      </c>
      <c r="W409" t="str">
        <f>VLOOKUP(K409,[1]Info!A$1:B$21,2,0)</f>
        <v>Feller</v>
      </c>
      <c r="X409" t="str">
        <f>IF(M409="109595132","Material de Limpeza-Não Avaliar",IF(AND(K409="F20",M409&lt;&gt;109595132),IF(RIGHT(F409,2)="70","Infraestrutura de Planta","Prédios e Instalações"),IF(K409="FPC",VLOOKUP(F409,[1]Info!$E$2:$F$11,2,0),IF(K409="FGP",VLOOKUP(F409,[1]Info!$E$9:$F$10,2,0),IF(K409="F10",VLOOKUP(F409,[1]Info!$E$2:$F$3,2,0),VLOOKUP(K409,[1]Info!$A$1:$B$21,2,0))))))</f>
        <v>Feller</v>
      </c>
    </row>
    <row r="410" spans="1:24" x14ac:dyDescent="0.35">
      <c r="A410" t="s">
        <v>41</v>
      </c>
      <c r="B410" t="s">
        <v>65</v>
      </c>
      <c r="C410" t="s">
        <v>66</v>
      </c>
      <c r="D410" t="s">
        <v>100</v>
      </c>
      <c r="E410" t="s">
        <v>65</v>
      </c>
      <c r="F410">
        <v>7097060</v>
      </c>
      <c r="G410" t="s">
        <v>1559</v>
      </c>
      <c r="H410" t="s">
        <v>68</v>
      </c>
      <c r="I410" t="s">
        <v>69</v>
      </c>
      <c r="J410" t="s">
        <v>50</v>
      </c>
      <c r="K410" t="s">
        <v>6</v>
      </c>
      <c r="L410" t="s">
        <v>62</v>
      </c>
      <c r="M410" t="s">
        <v>46</v>
      </c>
      <c r="N410" t="s">
        <v>47</v>
      </c>
      <c r="O410" t="s">
        <v>1226</v>
      </c>
      <c r="P410" t="s">
        <v>1292</v>
      </c>
      <c r="Q410" t="s">
        <v>46</v>
      </c>
      <c r="R410" t="s">
        <v>47</v>
      </c>
      <c r="S410" t="s">
        <v>46</v>
      </c>
      <c r="T410" t="s">
        <v>46</v>
      </c>
      <c r="U410" s="4">
        <v>-139.53</v>
      </c>
      <c r="V410" t="str">
        <f t="shared" si="6"/>
        <v>BPIN</v>
      </c>
      <c r="W410" t="str">
        <f>VLOOKUP(K410,[1]Info!A$1:B$21,2,0)</f>
        <v>Equipamentos Carbonização</v>
      </c>
      <c r="X410" t="str">
        <f>IF(M410="109595132","Material de Limpeza-Não Avaliar",IF(AND(K410="F20",M410&lt;&gt;109595132),IF(RIGHT(F410,2)="70","Infraestrutura de Planta","Prédios e Instalações"),IF(K410="FPC",VLOOKUP(F410,[1]Info!$E$2:$F$11,2,0),IF(K410="FGP",VLOOKUP(F410,[1]Info!$E$9:$F$10,2,0),IF(K410="F10",VLOOKUP(F410,[1]Info!$E$2:$F$3,2,0),VLOOKUP(K410,[1]Info!$A$1:$B$21,2,0))))))</f>
        <v>Equipamentos Carbonização</v>
      </c>
    </row>
    <row r="411" spans="1:24" x14ac:dyDescent="0.35">
      <c r="A411" t="s">
        <v>41</v>
      </c>
      <c r="B411" t="s">
        <v>65</v>
      </c>
      <c r="C411" t="s">
        <v>66</v>
      </c>
      <c r="D411" t="s">
        <v>100</v>
      </c>
      <c r="E411" t="s">
        <v>65</v>
      </c>
      <c r="F411">
        <v>7097060</v>
      </c>
      <c r="G411" t="s">
        <v>1559</v>
      </c>
      <c r="H411" t="s">
        <v>68</v>
      </c>
      <c r="I411" t="s">
        <v>69</v>
      </c>
      <c r="J411" t="s">
        <v>50</v>
      </c>
      <c r="K411" t="s">
        <v>6</v>
      </c>
      <c r="L411" t="s">
        <v>51</v>
      </c>
      <c r="M411" t="s">
        <v>46</v>
      </c>
      <c r="N411" t="s">
        <v>47</v>
      </c>
      <c r="O411" t="s">
        <v>846</v>
      </c>
      <c r="P411" t="s">
        <v>1292</v>
      </c>
      <c r="Q411" t="s">
        <v>46</v>
      </c>
      <c r="R411" t="s">
        <v>47</v>
      </c>
      <c r="S411" t="s">
        <v>46</v>
      </c>
      <c r="T411" t="s">
        <v>46</v>
      </c>
      <c r="U411" s="4">
        <v>-1674.32</v>
      </c>
      <c r="V411" t="str">
        <f t="shared" si="6"/>
        <v>-005</v>
      </c>
      <c r="W411" t="str">
        <f>VLOOKUP(K411,[1]Info!A$1:B$21,2,0)</f>
        <v>Equipamentos Carbonização</v>
      </c>
      <c r="X411" t="str">
        <f>IF(M411="109595132","Material de Limpeza-Não Avaliar",IF(AND(K411="F20",M411&lt;&gt;109595132),IF(RIGHT(F411,2)="70","Infraestrutura de Planta","Prédios e Instalações"),IF(K411="FPC",VLOOKUP(F411,[1]Info!$E$2:$F$11,2,0),IF(K411="FGP",VLOOKUP(F411,[1]Info!$E$9:$F$10,2,0),IF(K411="F10",VLOOKUP(F411,[1]Info!$E$2:$F$3,2,0),VLOOKUP(K411,[1]Info!$A$1:$B$21,2,0))))))</f>
        <v>Equipamentos Carbonização</v>
      </c>
    </row>
    <row r="412" spans="1:24" x14ac:dyDescent="0.35">
      <c r="A412" t="s">
        <v>41</v>
      </c>
      <c r="B412" t="s">
        <v>65</v>
      </c>
      <c r="C412" t="s">
        <v>66</v>
      </c>
      <c r="D412" t="s">
        <v>100</v>
      </c>
      <c r="E412" t="s">
        <v>65</v>
      </c>
      <c r="F412">
        <v>7097060</v>
      </c>
      <c r="G412" t="s">
        <v>1559</v>
      </c>
      <c r="H412" t="s">
        <v>68</v>
      </c>
      <c r="I412" t="s">
        <v>69</v>
      </c>
      <c r="J412" t="s">
        <v>50</v>
      </c>
      <c r="K412" t="s">
        <v>6</v>
      </c>
      <c r="L412" t="s">
        <v>1560</v>
      </c>
      <c r="M412" t="s">
        <v>46</v>
      </c>
      <c r="N412" t="s">
        <v>47</v>
      </c>
      <c r="O412" t="s">
        <v>1561</v>
      </c>
      <c r="P412" t="s">
        <v>1292</v>
      </c>
      <c r="Q412" t="s">
        <v>46</v>
      </c>
      <c r="R412" t="s">
        <v>47</v>
      </c>
      <c r="S412" t="s">
        <v>46</v>
      </c>
      <c r="T412" t="s">
        <v>46</v>
      </c>
      <c r="U412" s="4">
        <v>-1465.03</v>
      </c>
      <c r="V412" t="str">
        <f t="shared" si="6"/>
        <v>C001</v>
      </c>
      <c r="W412" t="str">
        <f>VLOOKUP(K412,[1]Info!A$1:B$21,2,0)</f>
        <v>Equipamentos Carbonização</v>
      </c>
      <c r="X412" t="str">
        <f>IF(M412="109595132","Material de Limpeza-Não Avaliar",IF(AND(K412="F20",M412&lt;&gt;109595132),IF(RIGHT(F412,2)="70","Infraestrutura de Planta","Prédios e Instalações"),IF(K412="FPC",VLOOKUP(F412,[1]Info!$E$2:$F$11,2,0),IF(K412="FGP",VLOOKUP(F412,[1]Info!$E$9:$F$10,2,0),IF(K412="F10",VLOOKUP(F412,[1]Info!$E$2:$F$3,2,0),VLOOKUP(K412,[1]Info!$A$1:$B$21,2,0))))))</f>
        <v>Equipamentos Carbonização</v>
      </c>
    </row>
    <row r="413" spans="1:24" x14ac:dyDescent="0.35">
      <c r="A413" t="s">
        <v>41</v>
      </c>
      <c r="B413" t="s">
        <v>65</v>
      </c>
      <c r="C413" t="s">
        <v>66</v>
      </c>
      <c r="D413" t="s">
        <v>100</v>
      </c>
      <c r="E413" t="s">
        <v>65</v>
      </c>
      <c r="F413">
        <v>7097060</v>
      </c>
      <c r="G413" t="s">
        <v>1559</v>
      </c>
      <c r="H413" t="s">
        <v>68</v>
      </c>
      <c r="I413" t="s">
        <v>69</v>
      </c>
      <c r="J413" t="s">
        <v>50</v>
      </c>
      <c r="K413" t="s">
        <v>5</v>
      </c>
      <c r="L413" t="s">
        <v>148</v>
      </c>
      <c r="M413" t="s">
        <v>46</v>
      </c>
      <c r="N413" t="s">
        <v>47</v>
      </c>
      <c r="O413" t="s">
        <v>1102</v>
      </c>
      <c r="P413" t="s">
        <v>1292</v>
      </c>
      <c r="Q413" t="s">
        <v>46</v>
      </c>
      <c r="R413" t="s">
        <v>47</v>
      </c>
      <c r="S413" t="s">
        <v>46</v>
      </c>
      <c r="T413" t="s">
        <v>46</v>
      </c>
      <c r="U413" s="4">
        <v>-418.58</v>
      </c>
      <c r="V413" t="str">
        <f t="shared" si="6"/>
        <v>-035</v>
      </c>
      <c r="W413" t="str">
        <f>VLOOKUP(K413,[1]Info!A$1:B$21,2,0)</f>
        <v>Fornos / Carbonização (Setup)</v>
      </c>
      <c r="X413" t="str">
        <f>IF(M413="109595132","Material de Limpeza-Não Avaliar",IF(AND(K413="F20",M413&lt;&gt;109595132),IF(RIGHT(F413,2)="70","Infraestrutura de Planta","Prédios e Instalações"),IF(K413="FPC",VLOOKUP(F413,[1]Info!$E$2:$F$11,2,0),IF(K413="FGP",VLOOKUP(F413,[1]Info!$E$9:$F$10,2,0),IF(K413="F10",VLOOKUP(F413,[1]Info!$E$2:$F$3,2,0),VLOOKUP(K413,[1]Info!$A$1:$B$21,2,0))))))</f>
        <v>Fornos / Carbonização (Setup)</v>
      </c>
    </row>
    <row r="414" spans="1:24" x14ac:dyDescent="0.35">
      <c r="A414" t="s">
        <v>41</v>
      </c>
      <c r="B414" t="s">
        <v>65</v>
      </c>
      <c r="C414" t="s">
        <v>66</v>
      </c>
      <c r="D414" t="s">
        <v>100</v>
      </c>
      <c r="E414" t="s">
        <v>65</v>
      </c>
      <c r="F414">
        <v>7097060</v>
      </c>
      <c r="G414" t="s">
        <v>1559</v>
      </c>
      <c r="H414" t="s">
        <v>68</v>
      </c>
      <c r="I414" t="s">
        <v>69</v>
      </c>
      <c r="J414" t="s">
        <v>50</v>
      </c>
      <c r="K414" t="s">
        <v>5</v>
      </c>
      <c r="L414" t="s">
        <v>148</v>
      </c>
      <c r="M414" t="s">
        <v>46</v>
      </c>
      <c r="N414" t="s">
        <v>47</v>
      </c>
      <c r="O414" t="s">
        <v>1105</v>
      </c>
      <c r="P414" t="s">
        <v>1292</v>
      </c>
      <c r="Q414" t="s">
        <v>46</v>
      </c>
      <c r="R414" t="s">
        <v>47</v>
      </c>
      <c r="S414" t="s">
        <v>46</v>
      </c>
      <c r="T414" t="s">
        <v>46</v>
      </c>
      <c r="U414" s="4">
        <v>-348.82</v>
      </c>
      <c r="V414" t="str">
        <f t="shared" si="6"/>
        <v>-035</v>
      </c>
      <c r="W414" t="str">
        <f>VLOOKUP(K414,[1]Info!A$1:B$21,2,0)</f>
        <v>Fornos / Carbonização (Setup)</v>
      </c>
      <c r="X414" t="str">
        <f>IF(M414="109595132","Material de Limpeza-Não Avaliar",IF(AND(K414="F20",M414&lt;&gt;109595132),IF(RIGHT(F414,2)="70","Infraestrutura de Planta","Prédios e Instalações"),IF(K414="FPC",VLOOKUP(F414,[1]Info!$E$2:$F$11,2,0),IF(K414="FGP",VLOOKUP(F414,[1]Info!$E$9:$F$10,2,0),IF(K414="F10",VLOOKUP(F414,[1]Info!$E$2:$F$3,2,0),VLOOKUP(K414,[1]Info!$A$1:$B$21,2,0))))))</f>
        <v>Fornos / Carbonização (Setup)</v>
      </c>
    </row>
    <row r="415" spans="1:24" x14ac:dyDescent="0.35">
      <c r="A415" t="s">
        <v>41</v>
      </c>
      <c r="B415" t="s">
        <v>65</v>
      </c>
      <c r="C415" t="s">
        <v>66</v>
      </c>
      <c r="D415" t="s">
        <v>100</v>
      </c>
      <c r="E415" t="s">
        <v>65</v>
      </c>
      <c r="F415">
        <v>7097060</v>
      </c>
      <c r="G415" t="s">
        <v>1559</v>
      </c>
      <c r="H415" t="s">
        <v>68</v>
      </c>
      <c r="I415" t="s">
        <v>69</v>
      </c>
      <c r="J415" t="s">
        <v>50</v>
      </c>
      <c r="K415" t="s">
        <v>5</v>
      </c>
      <c r="L415" t="s">
        <v>148</v>
      </c>
      <c r="M415" t="s">
        <v>46</v>
      </c>
      <c r="N415" t="s">
        <v>47</v>
      </c>
      <c r="O415" t="s">
        <v>1258</v>
      </c>
      <c r="P415" t="s">
        <v>1292</v>
      </c>
      <c r="Q415" t="s">
        <v>46</v>
      </c>
      <c r="R415" t="s">
        <v>47</v>
      </c>
      <c r="S415" t="s">
        <v>46</v>
      </c>
      <c r="T415" t="s">
        <v>46</v>
      </c>
      <c r="U415" s="4">
        <v>-2930.06</v>
      </c>
      <c r="V415" t="str">
        <f t="shared" si="6"/>
        <v>FR39</v>
      </c>
      <c r="W415" t="str">
        <f>VLOOKUP(K415,[1]Info!A$1:B$21,2,0)</f>
        <v>Fornos / Carbonização (Setup)</v>
      </c>
      <c r="X415" t="str">
        <f>IF(M415="109595132","Material de Limpeza-Não Avaliar",IF(AND(K415="F20",M415&lt;&gt;109595132),IF(RIGHT(F415,2)="70","Infraestrutura de Planta","Prédios e Instalações"),IF(K415="FPC",VLOOKUP(F415,[1]Info!$E$2:$F$11,2,0),IF(K415="FGP",VLOOKUP(F415,[1]Info!$E$9:$F$10,2,0),IF(K415="F10",VLOOKUP(F415,[1]Info!$E$2:$F$3,2,0),VLOOKUP(K415,[1]Info!$A$1:$B$21,2,0))))))</f>
        <v>Fornos / Carbonização (Setup)</v>
      </c>
    </row>
    <row r="416" spans="1:24" x14ac:dyDescent="0.35">
      <c r="A416" t="s">
        <v>41</v>
      </c>
      <c r="B416" t="s">
        <v>65</v>
      </c>
      <c r="C416" t="s">
        <v>66</v>
      </c>
      <c r="D416" t="s">
        <v>100</v>
      </c>
      <c r="E416" t="s">
        <v>65</v>
      </c>
      <c r="F416">
        <v>7097060</v>
      </c>
      <c r="G416" t="s">
        <v>1559</v>
      </c>
      <c r="H416" t="s">
        <v>68</v>
      </c>
      <c r="I416" t="s">
        <v>69</v>
      </c>
      <c r="J416" t="s">
        <v>50</v>
      </c>
      <c r="K416" t="s">
        <v>3</v>
      </c>
      <c r="L416" t="s">
        <v>51</v>
      </c>
      <c r="M416" t="s">
        <v>46</v>
      </c>
      <c r="N416" t="s">
        <v>47</v>
      </c>
      <c r="O416" t="s">
        <v>142</v>
      </c>
      <c r="P416" t="s">
        <v>1292</v>
      </c>
      <c r="Q416" t="s">
        <v>46</v>
      </c>
      <c r="R416" t="s">
        <v>47</v>
      </c>
      <c r="S416" t="s">
        <v>46</v>
      </c>
      <c r="T416" t="s">
        <v>46</v>
      </c>
      <c r="U416" s="4">
        <v>-4102.1000000000004</v>
      </c>
      <c r="V416" t="str">
        <f t="shared" si="6"/>
        <v>C027</v>
      </c>
      <c r="W416" t="str">
        <f>VLOOKUP(K416,[1]Info!A$1:B$21,2,0)</f>
        <v>Carregadeira</v>
      </c>
      <c r="X416" t="e">
        <f>IF(M416="109595132","Material de Limpeza-Não Avaliar",IF(AND(K416="F20",M416&lt;&gt;109595132),IF(RIGHT(F416,2)="70","Infraestrutura de Planta","Prédios e Instalações"),IF(K416="FPC",VLOOKUP(F416,[1]Info!$E$2:$F$11,2,0),IF(K416="FGP",VLOOKUP(F416,[1]Info!$E$9:$F$10,2,0),IF(K416="F10",VLOOKUP(F416,[1]Info!$E$2:$F$3,2,0),VLOOKUP(K416,[1]Info!$A$1:$B$21,2,0))))))</f>
        <v>#N/A</v>
      </c>
    </row>
    <row r="417" spans="1:24" x14ac:dyDescent="0.35">
      <c r="A417" t="s">
        <v>41</v>
      </c>
      <c r="B417" t="s">
        <v>65</v>
      </c>
      <c r="C417" t="s">
        <v>66</v>
      </c>
      <c r="D417" t="s">
        <v>100</v>
      </c>
      <c r="E417" t="s">
        <v>65</v>
      </c>
      <c r="F417">
        <v>7097060</v>
      </c>
      <c r="G417" t="s">
        <v>1559</v>
      </c>
      <c r="H417" t="s">
        <v>68</v>
      </c>
      <c r="I417" t="s">
        <v>69</v>
      </c>
      <c r="J417" t="s">
        <v>50</v>
      </c>
      <c r="K417" t="s">
        <v>3</v>
      </c>
      <c r="L417" t="s">
        <v>51</v>
      </c>
      <c r="M417" t="s">
        <v>46</v>
      </c>
      <c r="N417" t="s">
        <v>47</v>
      </c>
      <c r="O417" t="s">
        <v>1171</v>
      </c>
      <c r="P417" t="s">
        <v>1292</v>
      </c>
      <c r="Q417" t="s">
        <v>46</v>
      </c>
      <c r="R417" t="s">
        <v>47</v>
      </c>
      <c r="S417" t="s">
        <v>46</v>
      </c>
      <c r="T417" t="s">
        <v>46</v>
      </c>
      <c r="U417" s="4">
        <v>-334.86</v>
      </c>
      <c r="V417" t="str">
        <f t="shared" si="6"/>
        <v>C029</v>
      </c>
      <c r="W417" t="str">
        <f>VLOOKUP(K417,[1]Info!A$1:B$21,2,0)</f>
        <v>Carregadeira</v>
      </c>
      <c r="X417" t="e">
        <f>IF(M417="109595132","Material de Limpeza-Não Avaliar",IF(AND(K417="F20",M417&lt;&gt;109595132),IF(RIGHT(F417,2)="70","Infraestrutura de Planta","Prédios e Instalações"),IF(K417="FPC",VLOOKUP(F417,[1]Info!$E$2:$F$11,2,0),IF(K417="FGP",VLOOKUP(F417,[1]Info!$E$9:$F$10,2,0),IF(K417="F10",VLOOKUP(F417,[1]Info!$E$2:$F$3,2,0),VLOOKUP(K417,[1]Info!$A$1:$B$21,2,0))))))</f>
        <v>#N/A</v>
      </c>
    </row>
    <row r="418" spans="1:24" x14ac:dyDescent="0.35">
      <c r="A418" t="s">
        <v>41</v>
      </c>
      <c r="B418" t="s">
        <v>65</v>
      </c>
      <c r="C418" t="s">
        <v>66</v>
      </c>
      <c r="D418" t="s">
        <v>100</v>
      </c>
      <c r="E418" t="s">
        <v>65</v>
      </c>
      <c r="F418">
        <v>7097060</v>
      </c>
      <c r="G418" t="s">
        <v>1559</v>
      </c>
      <c r="H418" t="s">
        <v>68</v>
      </c>
      <c r="I418" t="s">
        <v>69</v>
      </c>
      <c r="J418" t="s">
        <v>50</v>
      </c>
      <c r="K418" t="s">
        <v>3</v>
      </c>
      <c r="L418" t="s">
        <v>51</v>
      </c>
      <c r="M418" t="s">
        <v>46</v>
      </c>
      <c r="N418" t="s">
        <v>47</v>
      </c>
      <c r="O418" t="s">
        <v>945</v>
      </c>
      <c r="P418" t="s">
        <v>1292</v>
      </c>
      <c r="Q418" t="s">
        <v>46</v>
      </c>
      <c r="R418" t="s">
        <v>47</v>
      </c>
      <c r="S418" t="s">
        <v>46</v>
      </c>
      <c r="T418" t="s">
        <v>46</v>
      </c>
      <c r="U418" s="4">
        <v>-2134.77</v>
      </c>
      <c r="V418" t="str">
        <f t="shared" si="6"/>
        <v>C035</v>
      </c>
      <c r="W418" t="str">
        <f>VLOOKUP(K418,[1]Info!A$1:B$21,2,0)</f>
        <v>Carregadeira</v>
      </c>
      <c r="X418" t="e">
        <f>IF(M418="109595132","Material de Limpeza-Não Avaliar",IF(AND(K418="F20",M418&lt;&gt;109595132),IF(RIGHT(F418,2)="70","Infraestrutura de Planta","Prédios e Instalações"),IF(K418="FPC",VLOOKUP(F418,[1]Info!$E$2:$F$11,2,0),IF(K418="FGP",VLOOKUP(F418,[1]Info!$E$9:$F$10,2,0),IF(K418="F10",VLOOKUP(F418,[1]Info!$E$2:$F$3,2,0),VLOOKUP(K418,[1]Info!$A$1:$B$21,2,0))))))</f>
        <v>#N/A</v>
      </c>
    </row>
    <row r="419" spans="1:24" x14ac:dyDescent="0.35">
      <c r="A419" t="s">
        <v>41</v>
      </c>
      <c r="B419" t="s">
        <v>65</v>
      </c>
      <c r="C419" t="s">
        <v>66</v>
      </c>
      <c r="D419" t="s">
        <v>100</v>
      </c>
      <c r="E419" t="s">
        <v>65</v>
      </c>
      <c r="F419">
        <v>7097060</v>
      </c>
      <c r="G419" t="s">
        <v>1559</v>
      </c>
      <c r="H419" t="s">
        <v>68</v>
      </c>
      <c r="I419" t="s">
        <v>69</v>
      </c>
      <c r="J419" t="s">
        <v>50</v>
      </c>
      <c r="K419" t="s">
        <v>3</v>
      </c>
      <c r="L419" t="s">
        <v>51</v>
      </c>
      <c r="M419" t="s">
        <v>46</v>
      </c>
      <c r="N419" t="s">
        <v>47</v>
      </c>
      <c r="O419" t="s">
        <v>1562</v>
      </c>
      <c r="P419" t="s">
        <v>1292</v>
      </c>
      <c r="Q419" t="s">
        <v>46</v>
      </c>
      <c r="R419" t="s">
        <v>47</v>
      </c>
      <c r="S419" t="s">
        <v>46</v>
      </c>
      <c r="T419" t="s">
        <v>46</v>
      </c>
      <c r="U419" s="4">
        <v>-41.86</v>
      </c>
      <c r="V419" t="str">
        <f t="shared" si="6"/>
        <v>C039</v>
      </c>
      <c r="W419" t="str">
        <f>VLOOKUP(K419,[1]Info!A$1:B$21,2,0)</f>
        <v>Carregadeira</v>
      </c>
      <c r="X419" t="e">
        <f>IF(M419="109595132","Material de Limpeza-Não Avaliar",IF(AND(K419="F20",M419&lt;&gt;109595132),IF(RIGHT(F419,2)="70","Infraestrutura de Planta","Prédios e Instalações"),IF(K419="FPC",VLOOKUP(F419,[1]Info!$E$2:$F$11,2,0),IF(K419="FGP",VLOOKUP(F419,[1]Info!$E$9:$F$10,2,0),IF(K419="F10",VLOOKUP(F419,[1]Info!$E$2:$F$3,2,0),VLOOKUP(K419,[1]Info!$A$1:$B$21,2,0))))))</f>
        <v>#N/A</v>
      </c>
    </row>
    <row r="420" spans="1:24" x14ac:dyDescent="0.35">
      <c r="A420" t="s">
        <v>41</v>
      </c>
      <c r="B420" t="s">
        <v>65</v>
      </c>
      <c r="C420" t="s">
        <v>66</v>
      </c>
      <c r="D420" t="s">
        <v>100</v>
      </c>
      <c r="E420" t="s">
        <v>65</v>
      </c>
      <c r="F420">
        <v>7097060</v>
      </c>
      <c r="G420" t="s">
        <v>1559</v>
      </c>
      <c r="H420" t="s">
        <v>68</v>
      </c>
      <c r="I420" t="s">
        <v>69</v>
      </c>
      <c r="J420" t="s">
        <v>50</v>
      </c>
      <c r="K420" t="s">
        <v>3</v>
      </c>
      <c r="L420" t="s">
        <v>51</v>
      </c>
      <c r="M420" t="s">
        <v>46</v>
      </c>
      <c r="N420" t="s">
        <v>47</v>
      </c>
      <c r="O420" t="s">
        <v>1070</v>
      </c>
      <c r="P420" t="s">
        <v>1292</v>
      </c>
      <c r="Q420" t="s">
        <v>46</v>
      </c>
      <c r="R420" t="s">
        <v>47</v>
      </c>
      <c r="S420" t="s">
        <v>46</v>
      </c>
      <c r="T420" t="s">
        <v>46</v>
      </c>
      <c r="U420" s="4">
        <v>-1381.32</v>
      </c>
      <c r="V420" t="str">
        <f t="shared" si="6"/>
        <v>C041</v>
      </c>
      <c r="W420" t="str">
        <f>VLOOKUP(K420,[1]Info!A$1:B$21,2,0)</f>
        <v>Carregadeira</v>
      </c>
      <c r="X420" t="e">
        <f>IF(M420="109595132","Material de Limpeza-Não Avaliar",IF(AND(K420="F20",M420&lt;&gt;109595132),IF(RIGHT(F420,2)="70","Infraestrutura de Planta","Prédios e Instalações"),IF(K420="FPC",VLOOKUP(F420,[1]Info!$E$2:$F$11,2,0),IF(K420="FGP",VLOOKUP(F420,[1]Info!$E$9:$F$10,2,0),IF(K420="F10",VLOOKUP(F420,[1]Info!$E$2:$F$3,2,0),VLOOKUP(K420,[1]Info!$A$1:$B$21,2,0))))))</f>
        <v>#N/A</v>
      </c>
    </row>
    <row r="421" spans="1:24" x14ac:dyDescent="0.35">
      <c r="A421" t="s">
        <v>41</v>
      </c>
      <c r="B421" t="s">
        <v>65</v>
      </c>
      <c r="C421" t="s">
        <v>66</v>
      </c>
      <c r="D421" t="s">
        <v>100</v>
      </c>
      <c r="E421" t="s">
        <v>65</v>
      </c>
      <c r="F421">
        <v>7097060</v>
      </c>
      <c r="G421" t="s">
        <v>1559</v>
      </c>
      <c r="H421" t="s">
        <v>68</v>
      </c>
      <c r="I421" t="s">
        <v>69</v>
      </c>
      <c r="J421" t="s">
        <v>50</v>
      </c>
      <c r="K421" t="s">
        <v>3</v>
      </c>
      <c r="L421" t="s">
        <v>51</v>
      </c>
      <c r="M421" t="s">
        <v>46</v>
      </c>
      <c r="N421" t="s">
        <v>47</v>
      </c>
      <c r="O421" t="s">
        <v>1073</v>
      </c>
      <c r="P421" t="s">
        <v>1292</v>
      </c>
      <c r="Q421" t="s">
        <v>46</v>
      </c>
      <c r="R421" t="s">
        <v>47</v>
      </c>
      <c r="S421" t="s">
        <v>46</v>
      </c>
      <c r="T421" t="s">
        <v>46</v>
      </c>
      <c r="U421" s="4">
        <v>-362.77</v>
      </c>
      <c r="V421" t="str">
        <f t="shared" si="6"/>
        <v>C042</v>
      </c>
      <c r="W421" t="str">
        <f>VLOOKUP(K421,[1]Info!A$1:B$21,2,0)</f>
        <v>Carregadeira</v>
      </c>
      <c r="X421" t="e">
        <f>IF(M421="109595132","Material de Limpeza-Não Avaliar",IF(AND(K421="F20",M421&lt;&gt;109595132),IF(RIGHT(F421,2)="70","Infraestrutura de Planta","Prédios e Instalações"),IF(K421="FPC",VLOOKUP(F421,[1]Info!$E$2:$F$11,2,0),IF(K421="FGP",VLOOKUP(F421,[1]Info!$E$9:$F$10,2,0),IF(K421="F10",VLOOKUP(F421,[1]Info!$E$2:$F$3,2,0),VLOOKUP(K421,[1]Info!$A$1:$B$21,2,0))))))</f>
        <v>#N/A</v>
      </c>
    </row>
    <row r="422" spans="1:24" x14ac:dyDescent="0.35">
      <c r="A422" t="s">
        <v>41</v>
      </c>
      <c r="B422" t="s">
        <v>65</v>
      </c>
      <c r="C422" t="s">
        <v>66</v>
      </c>
      <c r="D422" t="s">
        <v>100</v>
      </c>
      <c r="E422" t="s">
        <v>65</v>
      </c>
      <c r="F422">
        <v>7097060</v>
      </c>
      <c r="G422" t="s">
        <v>1559</v>
      </c>
      <c r="H422" t="s">
        <v>68</v>
      </c>
      <c r="I422" t="s">
        <v>69</v>
      </c>
      <c r="J422" t="s">
        <v>50</v>
      </c>
      <c r="K422" t="s">
        <v>3</v>
      </c>
      <c r="L422" t="s">
        <v>51</v>
      </c>
      <c r="M422" t="s">
        <v>46</v>
      </c>
      <c r="N422" t="s">
        <v>47</v>
      </c>
      <c r="O422" t="s">
        <v>82</v>
      </c>
      <c r="P422" t="s">
        <v>1292</v>
      </c>
      <c r="Q422" t="s">
        <v>46</v>
      </c>
      <c r="R422" t="s">
        <v>47</v>
      </c>
      <c r="S422" t="s">
        <v>46</v>
      </c>
      <c r="T422" t="s">
        <v>46</v>
      </c>
      <c r="U422" s="4">
        <v>-4395.1099999999997</v>
      </c>
      <c r="V422" t="str">
        <f t="shared" si="6"/>
        <v>C043</v>
      </c>
      <c r="W422" t="str">
        <f>VLOOKUP(K422,[1]Info!A$1:B$21,2,0)</f>
        <v>Carregadeira</v>
      </c>
      <c r="X422" t="e">
        <f>IF(M422="109595132","Material de Limpeza-Não Avaliar",IF(AND(K422="F20",M422&lt;&gt;109595132),IF(RIGHT(F422,2)="70","Infraestrutura de Planta","Prédios e Instalações"),IF(K422="FPC",VLOOKUP(F422,[1]Info!$E$2:$F$11,2,0),IF(K422="FGP",VLOOKUP(F422,[1]Info!$E$9:$F$10,2,0),IF(K422="F10",VLOOKUP(F422,[1]Info!$E$2:$F$3,2,0),VLOOKUP(K422,[1]Info!$A$1:$B$21,2,0))))))</f>
        <v>#N/A</v>
      </c>
    </row>
    <row r="423" spans="1:24" x14ac:dyDescent="0.35">
      <c r="A423" t="s">
        <v>41</v>
      </c>
      <c r="B423" t="s">
        <v>65</v>
      </c>
      <c r="C423" t="s">
        <v>66</v>
      </c>
      <c r="D423" t="s">
        <v>100</v>
      </c>
      <c r="E423" t="s">
        <v>65</v>
      </c>
      <c r="F423">
        <v>7097060</v>
      </c>
      <c r="G423" t="s">
        <v>1559</v>
      </c>
      <c r="H423" t="s">
        <v>68</v>
      </c>
      <c r="I423" t="s">
        <v>69</v>
      </c>
      <c r="J423" t="s">
        <v>50</v>
      </c>
      <c r="K423" t="s">
        <v>3</v>
      </c>
      <c r="L423" t="s">
        <v>51</v>
      </c>
      <c r="M423" t="s">
        <v>46</v>
      </c>
      <c r="N423" t="s">
        <v>47</v>
      </c>
      <c r="O423" t="s">
        <v>121</v>
      </c>
      <c r="P423" t="s">
        <v>1292</v>
      </c>
      <c r="Q423" t="s">
        <v>46</v>
      </c>
      <c r="R423" t="s">
        <v>47</v>
      </c>
      <c r="S423" t="s">
        <v>46</v>
      </c>
      <c r="T423" t="s">
        <v>46</v>
      </c>
      <c r="U423" s="4">
        <v>-7115.89</v>
      </c>
      <c r="V423" t="str">
        <f t="shared" si="6"/>
        <v>C044</v>
      </c>
      <c r="W423" t="str">
        <f>VLOOKUP(K423,[1]Info!A$1:B$21,2,0)</f>
        <v>Carregadeira</v>
      </c>
      <c r="X423" t="e">
        <f>IF(M423="109595132","Material de Limpeza-Não Avaliar",IF(AND(K423="F20",M423&lt;&gt;109595132),IF(RIGHT(F423,2)="70","Infraestrutura de Planta","Prédios e Instalações"),IF(K423="FPC",VLOOKUP(F423,[1]Info!$E$2:$F$11,2,0),IF(K423="FGP",VLOOKUP(F423,[1]Info!$E$9:$F$10,2,0),IF(K423="F10",VLOOKUP(F423,[1]Info!$E$2:$F$3,2,0),VLOOKUP(K423,[1]Info!$A$1:$B$21,2,0))))))</f>
        <v>#N/A</v>
      </c>
    </row>
    <row r="424" spans="1:24" x14ac:dyDescent="0.35">
      <c r="A424" t="s">
        <v>41</v>
      </c>
      <c r="B424" t="s">
        <v>65</v>
      </c>
      <c r="C424" t="s">
        <v>66</v>
      </c>
      <c r="D424" t="s">
        <v>100</v>
      </c>
      <c r="E424" t="s">
        <v>65</v>
      </c>
      <c r="F424">
        <v>7097060</v>
      </c>
      <c r="G424" t="s">
        <v>1559</v>
      </c>
      <c r="H424" t="s">
        <v>68</v>
      </c>
      <c r="I424" t="s">
        <v>69</v>
      </c>
      <c r="J424" t="s">
        <v>50</v>
      </c>
      <c r="K424" t="s">
        <v>3</v>
      </c>
      <c r="L424" t="s">
        <v>51</v>
      </c>
      <c r="M424" t="s">
        <v>46</v>
      </c>
      <c r="N424" t="s">
        <v>47</v>
      </c>
      <c r="O424" t="s">
        <v>143</v>
      </c>
      <c r="P424" t="s">
        <v>1292</v>
      </c>
      <c r="Q424" t="s">
        <v>46</v>
      </c>
      <c r="R424" t="s">
        <v>47</v>
      </c>
      <c r="S424" t="s">
        <v>46</v>
      </c>
      <c r="T424" t="s">
        <v>46</v>
      </c>
      <c r="U424" s="4">
        <v>-69.760000000000005</v>
      </c>
      <c r="V424" t="str">
        <f t="shared" si="6"/>
        <v>C048</v>
      </c>
      <c r="W424" t="str">
        <f>VLOOKUP(K424,[1]Info!A$1:B$21,2,0)</f>
        <v>Carregadeira</v>
      </c>
      <c r="X424" t="e">
        <f>IF(M424="109595132","Material de Limpeza-Não Avaliar",IF(AND(K424="F20",M424&lt;&gt;109595132),IF(RIGHT(F424,2)="70","Infraestrutura de Planta","Prédios e Instalações"),IF(K424="FPC",VLOOKUP(F424,[1]Info!$E$2:$F$11,2,0),IF(K424="FGP",VLOOKUP(F424,[1]Info!$E$9:$F$10,2,0),IF(K424="F10",VLOOKUP(F424,[1]Info!$E$2:$F$3,2,0),VLOOKUP(K424,[1]Info!$A$1:$B$21,2,0))))))</f>
        <v>#N/A</v>
      </c>
    </row>
    <row r="425" spans="1:24" x14ac:dyDescent="0.35">
      <c r="A425" t="s">
        <v>41</v>
      </c>
      <c r="B425" t="s">
        <v>65</v>
      </c>
      <c r="C425" t="s">
        <v>66</v>
      </c>
      <c r="D425" t="s">
        <v>100</v>
      </c>
      <c r="E425" t="s">
        <v>65</v>
      </c>
      <c r="F425">
        <v>7097060</v>
      </c>
      <c r="G425" t="s">
        <v>1559</v>
      </c>
      <c r="H425" t="s">
        <v>68</v>
      </c>
      <c r="I425" t="s">
        <v>69</v>
      </c>
      <c r="J425" t="s">
        <v>50</v>
      </c>
      <c r="K425" t="s">
        <v>3</v>
      </c>
      <c r="L425" t="s">
        <v>51</v>
      </c>
      <c r="M425" t="s">
        <v>46</v>
      </c>
      <c r="N425" t="s">
        <v>47</v>
      </c>
      <c r="O425" t="s">
        <v>1176</v>
      </c>
      <c r="P425" t="s">
        <v>1292</v>
      </c>
      <c r="Q425" t="s">
        <v>46</v>
      </c>
      <c r="R425" t="s">
        <v>47</v>
      </c>
      <c r="S425" t="s">
        <v>46</v>
      </c>
      <c r="T425" t="s">
        <v>46</v>
      </c>
      <c r="U425" s="4">
        <v>-69.760000000000005</v>
      </c>
      <c r="V425" t="str">
        <f t="shared" si="6"/>
        <v>C049</v>
      </c>
      <c r="W425" t="str">
        <f>VLOOKUP(K425,[1]Info!A$1:B$21,2,0)</f>
        <v>Carregadeira</v>
      </c>
      <c r="X425" t="e">
        <f>IF(M425="109595132","Material de Limpeza-Não Avaliar",IF(AND(K425="F20",M425&lt;&gt;109595132),IF(RIGHT(F425,2)="70","Infraestrutura de Planta","Prédios e Instalações"),IF(K425="FPC",VLOOKUP(F425,[1]Info!$E$2:$F$11,2,0),IF(K425="FGP",VLOOKUP(F425,[1]Info!$E$9:$F$10,2,0),IF(K425="F10",VLOOKUP(F425,[1]Info!$E$2:$F$3,2,0),VLOOKUP(K425,[1]Info!$A$1:$B$21,2,0))))))</f>
        <v>#N/A</v>
      </c>
    </row>
    <row r="426" spans="1:24" x14ac:dyDescent="0.35">
      <c r="A426" t="s">
        <v>41</v>
      </c>
      <c r="B426" t="s">
        <v>65</v>
      </c>
      <c r="C426" t="s">
        <v>66</v>
      </c>
      <c r="D426" t="s">
        <v>100</v>
      </c>
      <c r="E426" t="s">
        <v>65</v>
      </c>
      <c r="F426">
        <v>7097060</v>
      </c>
      <c r="G426" t="s">
        <v>1559</v>
      </c>
      <c r="H426" t="s">
        <v>68</v>
      </c>
      <c r="I426" t="s">
        <v>69</v>
      </c>
      <c r="J426" t="s">
        <v>50</v>
      </c>
      <c r="K426" t="s">
        <v>9</v>
      </c>
      <c r="L426" t="s">
        <v>51</v>
      </c>
      <c r="M426" t="s">
        <v>46</v>
      </c>
      <c r="N426" t="s">
        <v>47</v>
      </c>
      <c r="O426" t="s">
        <v>234</v>
      </c>
      <c r="P426" t="s">
        <v>1292</v>
      </c>
      <c r="Q426" t="s">
        <v>46</v>
      </c>
      <c r="R426" t="s">
        <v>47</v>
      </c>
      <c r="S426" t="s">
        <v>46</v>
      </c>
      <c r="T426" t="s">
        <v>46</v>
      </c>
      <c r="U426" s="4">
        <v>-627.87</v>
      </c>
      <c r="V426" t="str">
        <f t="shared" si="6"/>
        <v>CR01</v>
      </c>
      <c r="W426" t="str">
        <f>VLOOKUP(K426,[1]Info!A$1:B$21,2,0)</f>
        <v>Caminhão Barrelador</v>
      </c>
      <c r="X426" t="str">
        <f>IF(M426="109595132","Material de Limpeza-Não Avaliar",IF(AND(K426="F20",M426&lt;&gt;109595132),IF(RIGHT(F426,2)="70","Infraestrutura de Planta","Prédios e Instalações"),IF(K426="FPC",VLOOKUP(F426,[1]Info!$E$2:$F$11,2,0),IF(K426="FGP",VLOOKUP(F426,[1]Info!$E$9:$F$10,2,0),IF(K426="F10",VLOOKUP(F426,[1]Info!$E$2:$F$3,2,0),VLOOKUP(K426,[1]Info!$A$1:$B$21,2,0))))))</f>
        <v>Caminhão Barrelador</v>
      </c>
    </row>
    <row r="427" spans="1:24" x14ac:dyDescent="0.35">
      <c r="A427" t="s">
        <v>41</v>
      </c>
      <c r="B427" t="s">
        <v>65</v>
      </c>
      <c r="C427" t="s">
        <v>66</v>
      </c>
      <c r="D427" t="s">
        <v>100</v>
      </c>
      <c r="E427" t="s">
        <v>65</v>
      </c>
      <c r="F427">
        <v>7097060</v>
      </c>
      <c r="G427" t="s">
        <v>1559</v>
      </c>
      <c r="H427" t="s">
        <v>68</v>
      </c>
      <c r="I427" t="s">
        <v>69</v>
      </c>
      <c r="J427" t="s">
        <v>79</v>
      </c>
      <c r="K427" t="s">
        <v>2</v>
      </c>
      <c r="L427" t="s">
        <v>45</v>
      </c>
      <c r="M427" t="s">
        <v>46</v>
      </c>
      <c r="N427" t="s">
        <v>47</v>
      </c>
      <c r="O427" t="s">
        <v>401</v>
      </c>
      <c r="P427" t="s">
        <v>1292</v>
      </c>
      <c r="Q427" t="s">
        <v>46</v>
      </c>
      <c r="R427" t="s">
        <v>47</v>
      </c>
      <c r="S427" t="s">
        <v>46</v>
      </c>
      <c r="T427" t="s">
        <v>46</v>
      </c>
      <c r="U427" s="4">
        <v>-3976.52</v>
      </c>
      <c r="V427" t="str">
        <f t="shared" si="6"/>
        <v>CAPE</v>
      </c>
      <c r="W427" t="str">
        <f>VLOOKUP(K427,[1]Info!A$1:B$21,2,0)</f>
        <v>Infra - prédios</v>
      </c>
      <c r="X427" t="str">
        <f>IF(M427="109595132","Material de Limpeza-Não Avaliar",IF(AND(K427="F20",M427&lt;&gt;109595132),IF(RIGHT(F427,2)="70","Infraestrutura de Planta","Prédios e Instalações"),IF(K427="FPC",VLOOKUP(F427,[1]Info!$E$2:$F$11,2,0),IF(K427="FGP",VLOOKUP(F427,[1]Info!$E$9:$F$10,2,0),IF(K427="F10",VLOOKUP(F427,[1]Info!$E$2:$F$3,2,0),VLOOKUP(K427,[1]Info!$A$1:$B$21,2,0))))))</f>
        <v>Prédios e Instalações</v>
      </c>
    </row>
    <row r="428" spans="1:24" x14ac:dyDescent="0.35">
      <c r="A428" t="s">
        <v>41</v>
      </c>
      <c r="B428" t="s">
        <v>65</v>
      </c>
      <c r="C428" t="s">
        <v>66</v>
      </c>
      <c r="D428" t="s">
        <v>100</v>
      </c>
      <c r="E428" t="s">
        <v>65</v>
      </c>
      <c r="F428">
        <v>7097060</v>
      </c>
      <c r="G428" t="s">
        <v>1559</v>
      </c>
      <c r="H428" t="s">
        <v>68</v>
      </c>
      <c r="I428" t="s">
        <v>69</v>
      </c>
      <c r="J428" t="s">
        <v>79</v>
      </c>
      <c r="K428" t="s">
        <v>6</v>
      </c>
      <c r="L428" t="s">
        <v>62</v>
      </c>
      <c r="M428" t="s">
        <v>46</v>
      </c>
      <c r="N428" t="s">
        <v>47</v>
      </c>
      <c r="O428" t="s">
        <v>1563</v>
      </c>
      <c r="P428" t="s">
        <v>1292</v>
      </c>
      <c r="Q428" t="s">
        <v>46</v>
      </c>
      <c r="R428" t="s">
        <v>47</v>
      </c>
      <c r="S428" t="s">
        <v>46</v>
      </c>
      <c r="T428" t="s">
        <v>46</v>
      </c>
      <c r="U428" s="4">
        <v>-627.87</v>
      </c>
      <c r="V428" t="str">
        <f t="shared" si="6"/>
        <v>BITP</v>
      </c>
      <c r="W428" t="str">
        <f>VLOOKUP(K428,[1]Info!A$1:B$21,2,0)</f>
        <v>Equipamentos Carbonização</v>
      </c>
      <c r="X428" t="str">
        <f>IF(M428="109595132","Material de Limpeza-Não Avaliar",IF(AND(K428="F20",M428&lt;&gt;109595132),IF(RIGHT(F428,2)="70","Infraestrutura de Planta","Prédios e Instalações"),IF(K428="FPC",VLOOKUP(F428,[1]Info!$E$2:$F$11,2,0),IF(K428="FGP",VLOOKUP(F428,[1]Info!$E$9:$F$10,2,0),IF(K428="F10",VLOOKUP(F428,[1]Info!$E$2:$F$3,2,0),VLOOKUP(K428,[1]Info!$A$1:$B$21,2,0))))))</f>
        <v>Equipamentos Carbonização</v>
      </c>
    </row>
    <row r="429" spans="1:24" x14ac:dyDescent="0.35">
      <c r="A429" t="s">
        <v>41</v>
      </c>
      <c r="B429" t="s">
        <v>65</v>
      </c>
      <c r="C429" t="s">
        <v>66</v>
      </c>
      <c r="D429" t="s">
        <v>100</v>
      </c>
      <c r="E429" t="s">
        <v>65</v>
      </c>
      <c r="F429">
        <v>7097060</v>
      </c>
      <c r="G429" t="s">
        <v>1559</v>
      </c>
      <c r="H429" t="s">
        <v>68</v>
      </c>
      <c r="I429" t="s">
        <v>69</v>
      </c>
      <c r="J429" t="s">
        <v>79</v>
      </c>
      <c r="K429" t="s">
        <v>6</v>
      </c>
      <c r="L429" t="s">
        <v>51</v>
      </c>
      <c r="M429" t="s">
        <v>46</v>
      </c>
      <c r="N429" t="s">
        <v>47</v>
      </c>
      <c r="O429" t="s">
        <v>1099</v>
      </c>
      <c r="P429" t="s">
        <v>1292</v>
      </c>
      <c r="Q429" t="s">
        <v>46</v>
      </c>
      <c r="R429" t="s">
        <v>47</v>
      </c>
      <c r="S429" t="s">
        <v>46</v>
      </c>
      <c r="T429" t="s">
        <v>46</v>
      </c>
      <c r="U429" s="4">
        <v>-15180.57</v>
      </c>
      <c r="V429" t="str">
        <f t="shared" si="6"/>
        <v>-005</v>
      </c>
      <c r="W429" t="str">
        <f>VLOOKUP(K429,[1]Info!A$1:B$21,2,0)</f>
        <v>Equipamentos Carbonização</v>
      </c>
      <c r="X429" t="str">
        <f>IF(M429="109595132","Material de Limpeza-Não Avaliar",IF(AND(K429="F20",M429&lt;&gt;109595132),IF(RIGHT(F429,2)="70","Infraestrutura de Planta","Prédios e Instalações"),IF(K429="FPC",VLOOKUP(F429,[1]Info!$E$2:$F$11,2,0),IF(K429="FGP",VLOOKUP(F429,[1]Info!$E$9:$F$10,2,0),IF(K429="F10",VLOOKUP(F429,[1]Info!$E$2:$F$3,2,0),VLOOKUP(K429,[1]Info!$A$1:$B$21,2,0))))))</f>
        <v>Equipamentos Carbonização</v>
      </c>
    </row>
    <row r="430" spans="1:24" x14ac:dyDescent="0.35">
      <c r="A430" t="s">
        <v>41</v>
      </c>
      <c r="B430" t="s">
        <v>65</v>
      </c>
      <c r="C430" t="s">
        <v>66</v>
      </c>
      <c r="D430" t="s">
        <v>100</v>
      </c>
      <c r="E430" t="s">
        <v>65</v>
      </c>
      <c r="F430">
        <v>7097060</v>
      </c>
      <c r="G430" t="s">
        <v>1559</v>
      </c>
      <c r="H430" t="s">
        <v>68</v>
      </c>
      <c r="I430" t="s">
        <v>69</v>
      </c>
      <c r="J430" t="s">
        <v>79</v>
      </c>
      <c r="K430" t="s">
        <v>6</v>
      </c>
      <c r="L430" t="s">
        <v>51</v>
      </c>
      <c r="M430" t="s">
        <v>46</v>
      </c>
      <c r="N430" t="s">
        <v>47</v>
      </c>
      <c r="O430" t="s">
        <v>1564</v>
      </c>
      <c r="P430" t="s">
        <v>1292</v>
      </c>
      <c r="Q430" t="s">
        <v>46</v>
      </c>
      <c r="R430" t="s">
        <v>47</v>
      </c>
      <c r="S430" t="s">
        <v>46</v>
      </c>
      <c r="T430" t="s">
        <v>46</v>
      </c>
      <c r="U430" s="4">
        <v>-1465.04</v>
      </c>
      <c r="V430" t="str">
        <f t="shared" si="6"/>
        <v>0025</v>
      </c>
      <c r="W430" t="str">
        <f>VLOOKUP(K430,[1]Info!A$1:B$21,2,0)</f>
        <v>Equipamentos Carbonização</v>
      </c>
      <c r="X430" t="str">
        <f>IF(M430="109595132","Material de Limpeza-Não Avaliar",IF(AND(K430="F20",M430&lt;&gt;109595132),IF(RIGHT(F430,2)="70","Infraestrutura de Planta","Prédios e Instalações"),IF(K430="FPC",VLOOKUP(F430,[1]Info!$E$2:$F$11,2,0),IF(K430="FGP",VLOOKUP(F430,[1]Info!$E$9:$F$10,2,0),IF(K430="F10",VLOOKUP(F430,[1]Info!$E$2:$F$3,2,0),VLOOKUP(K430,[1]Info!$A$1:$B$21,2,0))))))</f>
        <v>Equipamentos Carbonização</v>
      </c>
    </row>
    <row r="431" spans="1:24" x14ac:dyDescent="0.35">
      <c r="A431" t="s">
        <v>41</v>
      </c>
      <c r="B431" t="s">
        <v>65</v>
      </c>
      <c r="C431" t="s">
        <v>66</v>
      </c>
      <c r="D431" t="s">
        <v>100</v>
      </c>
      <c r="E431" t="s">
        <v>65</v>
      </c>
      <c r="F431">
        <v>7097060</v>
      </c>
      <c r="G431" t="s">
        <v>1559</v>
      </c>
      <c r="H431" t="s">
        <v>68</v>
      </c>
      <c r="I431" t="s">
        <v>69</v>
      </c>
      <c r="J431" t="s">
        <v>79</v>
      </c>
      <c r="K431" t="s">
        <v>5</v>
      </c>
      <c r="L431" t="s">
        <v>148</v>
      </c>
      <c r="M431" t="s">
        <v>46</v>
      </c>
      <c r="N431" t="s">
        <v>47</v>
      </c>
      <c r="O431" t="s">
        <v>1565</v>
      </c>
      <c r="P431" t="s">
        <v>1292</v>
      </c>
      <c r="Q431" t="s">
        <v>46</v>
      </c>
      <c r="R431" t="s">
        <v>47</v>
      </c>
      <c r="S431" t="s">
        <v>46</v>
      </c>
      <c r="T431" t="s">
        <v>46</v>
      </c>
      <c r="U431" s="4">
        <v>-627.87</v>
      </c>
      <c r="V431" t="str">
        <f t="shared" si="6"/>
        <v>-035</v>
      </c>
      <c r="W431" t="str">
        <f>VLOOKUP(K431,[1]Info!A$1:B$21,2,0)</f>
        <v>Fornos / Carbonização (Setup)</v>
      </c>
      <c r="X431" t="str">
        <f>IF(M431="109595132","Material de Limpeza-Não Avaliar",IF(AND(K431="F20",M431&lt;&gt;109595132),IF(RIGHT(F431,2)="70","Infraestrutura de Planta","Prédios e Instalações"),IF(K431="FPC",VLOOKUP(F431,[1]Info!$E$2:$F$11,2,0),IF(K431="FGP",VLOOKUP(F431,[1]Info!$E$9:$F$10,2,0),IF(K431="F10",VLOOKUP(F431,[1]Info!$E$2:$F$3,2,0),VLOOKUP(K431,[1]Info!$A$1:$B$21,2,0))))))</f>
        <v>Fornos / Carbonização (Setup)</v>
      </c>
    </row>
    <row r="432" spans="1:24" x14ac:dyDescent="0.35">
      <c r="A432" t="s">
        <v>41</v>
      </c>
      <c r="B432" t="s">
        <v>65</v>
      </c>
      <c r="C432" t="s">
        <v>66</v>
      </c>
      <c r="D432" t="s">
        <v>100</v>
      </c>
      <c r="E432" t="s">
        <v>65</v>
      </c>
      <c r="F432">
        <v>7097060</v>
      </c>
      <c r="G432" t="s">
        <v>1559</v>
      </c>
      <c r="H432" t="s">
        <v>68</v>
      </c>
      <c r="I432" t="s">
        <v>69</v>
      </c>
      <c r="J432" t="s">
        <v>79</v>
      </c>
      <c r="K432" t="s">
        <v>5</v>
      </c>
      <c r="L432" t="s">
        <v>148</v>
      </c>
      <c r="M432" t="s">
        <v>46</v>
      </c>
      <c r="N432" t="s">
        <v>47</v>
      </c>
      <c r="O432" t="s">
        <v>1566</v>
      </c>
      <c r="P432" t="s">
        <v>1292</v>
      </c>
      <c r="Q432" t="s">
        <v>46</v>
      </c>
      <c r="R432" t="s">
        <v>47</v>
      </c>
      <c r="S432" t="s">
        <v>46</v>
      </c>
      <c r="T432" t="s">
        <v>46</v>
      </c>
      <c r="U432" s="4">
        <v>-348.82</v>
      </c>
      <c r="V432" t="str">
        <f t="shared" si="6"/>
        <v>-035</v>
      </c>
      <c r="W432" t="str">
        <f>VLOOKUP(K432,[1]Info!A$1:B$21,2,0)</f>
        <v>Fornos / Carbonização (Setup)</v>
      </c>
      <c r="X432" t="str">
        <f>IF(M432="109595132","Material de Limpeza-Não Avaliar",IF(AND(K432="F20",M432&lt;&gt;109595132),IF(RIGHT(F432,2)="70","Infraestrutura de Planta","Prédios e Instalações"),IF(K432="FPC",VLOOKUP(F432,[1]Info!$E$2:$F$11,2,0),IF(K432="FGP",VLOOKUP(F432,[1]Info!$E$9:$F$10,2,0),IF(K432="F10",VLOOKUP(F432,[1]Info!$E$2:$F$3,2,0),VLOOKUP(K432,[1]Info!$A$1:$B$21,2,0))))))</f>
        <v>Fornos / Carbonização (Setup)</v>
      </c>
    </row>
    <row r="433" spans="1:24" x14ac:dyDescent="0.35">
      <c r="A433" t="s">
        <v>41</v>
      </c>
      <c r="B433" t="s">
        <v>65</v>
      </c>
      <c r="C433" t="s">
        <v>66</v>
      </c>
      <c r="D433" t="s">
        <v>100</v>
      </c>
      <c r="E433" t="s">
        <v>65</v>
      </c>
      <c r="F433">
        <v>7097060</v>
      </c>
      <c r="G433" t="s">
        <v>1559</v>
      </c>
      <c r="H433" t="s">
        <v>68</v>
      </c>
      <c r="I433" t="s">
        <v>69</v>
      </c>
      <c r="J433" t="s">
        <v>79</v>
      </c>
      <c r="K433" t="s">
        <v>5</v>
      </c>
      <c r="L433" t="s">
        <v>148</v>
      </c>
      <c r="M433" t="s">
        <v>46</v>
      </c>
      <c r="N433" t="s">
        <v>47</v>
      </c>
      <c r="O433" t="s">
        <v>1567</v>
      </c>
      <c r="P433" t="s">
        <v>1292</v>
      </c>
      <c r="Q433" t="s">
        <v>46</v>
      </c>
      <c r="R433" t="s">
        <v>47</v>
      </c>
      <c r="S433" t="s">
        <v>46</v>
      </c>
      <c r="T433" t="s">
        <v>46</v>
      </c>
      <c r="U433" s="4">
        <v>-279.05</v>
      </c>
      <c r="V433" t="str">
        <f t="shared" si="6"/>
        <v>-030</v>
      </c>
      <c r="W433" t="str">
        <f>VLOOKUP(K433,[1]Info!A$1:B$21,2,0)</f>
        <v>Fornos / Carbonização (Setup)</v>
      </c>
      <c r="X433" t="str">
        <f>IF(M433="109595132","Material de Limpeza-Não Avaliar",IF(AND(K433="F20",M433&lt;&gt;109595132),IF(RIGHT(F433,2)="70","Infraestrutura de Planta","Prédios e Instalações"),IF(K433="FPC",VLOOKUP(F433,[1]Info!$E$2:$F$11,2,0),IF(K433="FGP",VLOOKUP(F433,[1]Info!$E$9:$F$10,2,0),IF(K433="F10",VLOOKUP(F433,[1]Info!$E$2:$F$3,2,0),VLOOKUP(K433,[1]Info!$A$1:$B$21,2,0))))))</f>
        <v>Fornos / Carbonização (Setup)</v>
      </c>
    </row>
    <row r="434" spans="1:24" x14ac:dyDescent="0.35">
      <c r="A434" t="s">
        <v>41</v>
      </c>
      <c r="B434" t="s">
        <v>65</v>
      </c>
      <c r="C434" t="s">
        <v>66</v>
      </c>
      <c r="D434" t="s">
        <v>100</v>
      </c>
      <c r="E434" t="s">
        <v>65</v>
      </c>
      <c r="F434">
        <v>7097060</v>
      </c>
      <c r="G434" t="s">
        <v>1559</v>
      </c>
      <c r="H434" t="s">
        <v>68</v>
      </c>
      <c r="I434" t="s">
        <v>69</v>
      </c>
      <c r="J434" t="s">
        <v>79</v>
      </c>
      <c r="K434" t="s">
        <v>5</v>
      </c>
      <c r="L434" t="s">
        <v>148</v>
      </c>
      <c r="M434" t="s">
        <v>46</v>
      </c>
      <c r="N434" t="s">
        <v>47</v>
      </c>
      <c r="O434" t="s">
        <v>1568</v>
      </c>
      <c r="P434" t="s">
        <v>1292</v>
      </c>
      <c r="Q434" t="s">
        <v>46</v>
      </c>
      <c r="R434" t="s">
        <v>47</v>
      </c>
      <c r="S434" t="s">
        <v>46</v>
      </c>
      <c r="T434" t="s">
        <v>46</v>
      </c>
      <c r="U434" s="4">
        <v>-279.05</v>
      </c>
      <c r="V434" t="str">
        <f t="shared" si="6"/>
        <v>-101</v>
      </c>
      <c r="W434" t="str">
        <f>VLOOKUP(K434,[1]Info!A$1:B$21,2,0)</f>
        <v>Fornos / Carbonização (Setup)</v>
      </c>
      <c r="X434" t="str">
        <f>IF(M434="109595132","Material de Limpeza-Não Avaliar",IF(AND(K434="F20",M434&lt;&gt;109595132),IF(RIGHT(F434,2)="70","Infraestrutura de Planta","Prédios e Instalações"),IF(K434="FPC",VLOOKUP(F434,[1]Info!$E$2:$F$11,2,0),IF(K434="FGP",VLOOKUP(F434,[1]Info!$E$9:$F$10,2,0),IF(K434="F10",VLOOKUP(F434,[1]Info!$E$2:$F$3,2,0),VLOOKUP(K434,[1]Info!$A$1:$B$21,2,0))))))</f>
        <v>Fornos / Carbonização (Setup)</v>
      </c>
    </row>
    <row r="435" spans="1:24" x14ac:dyDescent="0.35">
      <c r="A435" t="s">
        <v>41</v>
      </c>
      <c r="B435" t="s">
        <v>65</v>
      </c>
      <c r="C435" t="s">
        <v>66</v>
      </c>
      <c r="D435" t="s">
        <v>100</v>
      </c>
      <c r="E435" t="s">
        <v>65</v>
      </c>
      <c r="F435">
        <v>7097060</v>
      </c>
      <c r="G435" t="s">
        <v>1559</v>
      </c>
      <c r="H435" t="s">
        <v>68</v>
      </c>
      <c r="I435" t="s">
        <v>69</v>
      </c>
      <c r="J435" t="s">
        <v>79</v>
      </c>
      <c r="K435" t="s">
        <v>5</v>
      </c>
      <c r="L435" t="s">
        <v>148</v>
      </c>
      <c r="M435" t="s">
        <v>46</v>
      </c>
      <c r="N435" t="s">
        <v>47</v>
      </c>
      <c r="O435" t="s">
        <v>1569</v>
      </c>
      <c r="P435" t="s">
        <v>1292</v>
      </c>
      <c r="Q435" t="s">
        <v>46</v>
      </c>
      <c r="R435" t="s">
        <v>47</v>
      </c>
      <c r="S435" t="s">
        <v>46</v>
      </c>
      <c r="T435" t="s">
        <v>46</v>
      </c>
      <c r="U435" s="4">
        <v>-139.53</v>
      </c>
      <c r="V435" t="str">
        <f t="shared" si="6"/>
        <v>-101</v>
      </c>
      <c r="W435" t="str">
        <f>VLOOKUP(K435,[1]Info!A$1:B$21,2,0)</f>
        <v>Fornos / Carbonização (Setup)</v>
      </c>
      <c r="X435" t="str">
        <f>IF(M435="109595132","Material de Limpeza-Não Avaliar",IF(AND(K435="F20",M435&lt;&gt;109595132),IF(RIGHT(F435,2)="70","Infraestrutura de Planta","Prédios e Instalações"),IF(K435="FPC",VLOOKUP(F435,[1]Info!$E$2:$F$11,2,0),IF(K435="FGP",VLOOKUP(F435,[1]Info!$E$9:$F$10,2,0),IF(K435="F10",VLOOKUP(F435,[1]Info!$E$2:$F$3,2,0),VLOOKUP(K435,[1]Info!$A$1:$B$21,2,0))))))</f>
        <v>Fornos / Carbonização (Setup)</v>
      </c>
    </row>
    <row r="436" spans="1:24" x14ac:dyDescent="0.35">
      <c r="A436" t="s">
        <v>41</v>
      </c>
      <c r="B436" t="s">
        <v>65</v>
      </c>
      <c r="C436" t="s">
        <v>66</v>
      </c>
      <c r="D436" t="s">
        <v>100</v>
      </c>
      <c r="E436" t="s">
        <v>65</v>
      </c>
      <c r="F436">
        <v>7097060</v>
      </c>
      <c r="G436" t="s">
        <v>1559</v>
      </c>
      <c r="H436" t="s">
        <v>68</v>
      </c>
      <c r="I436" t="s">
        <v>69</v>
      </c>
      <c r="J436" t="s">
        <v>79</v>
      </c>
      <c r="K436" t="s">
        <v>5</v>
      </c>
      <c r="L436" t="s">
        <v>148</v>
      </c>
      <c r="M436" t="s">
        <v>46</v>
      </c>
      <c r="N436" t="s">
        <v>47</v>
      </c>
      <c r="O436" t="s">
        <v>1570</v>
      </c>
      <c r="P436" t="s">
        <v>1292</v>
      </c>
      <c r="Q436" t="s">
        <v>46</v>
      </c>
      <c r="R436" t="s">
        <v>47</v>
      </c>
      <c r="S436" t="s">
        <v>46</v>
      </c>
      <c r="T436" t="s">
        <v>46</v>
      </c>
      <c r="U436" s="4">
        <v>-558.11</v>
      </c>
      <c r="V436" t="str">
        <f t="shared" si="6"/>
        <v>-030</v>
      </c>
      <c r="W436" t="str">
        <f>VLOOKUP(K436,[1]Info!A$1:B$21,2,0)</f>
        <v>Fornos / Carbonização (Setup)</v>
      </c>
      <c r="X436" t="str">
        <f>IF(M436="109595132","Material de Limpeza-Não Avaliar",IF(AND(K436="F20",M436&lt;&gt;109595132),IF(RIGHT(F436,2)="70","Infraestrutura de Planta","Prédios e Instalações"),IF(K436="FPC",VLOOKUP(F436,[1]Info!$E$2:$F$11,2,0),IF(K436="FGP",VLOOKUP(F436,[1]Info!$E$9:$F$10,2,0),IF(K436="F10",VLOOKUP(F436,[1]Info!$E$2:$F$3,2,0),VLOOKUP(K436,[1]Info!$A$1:$B$21,2,0))))))</f>
        <v>Fornos / Carbonização (Setup)</v>
      </c>
    </row>
    <row r="437" spans="1:24" x14ac:dyDescent="0.35">
      <c r="A437" t="s">
        <v>41</v>
      </c>
      <c r="B437" t="s">
        <v>65</v>
      </c>
      <c r="C437" t="s">
        <v>66</v>
      </c>
      <c r="D437" t="s">
        <v>100</v>
      </c>
      <c r="E437" t="s">
        <v>65</v>
      </c>
      <c r="F437">
        <v>7097060</v>
      </c>
      <c r="G437" t="s">
        <v>1559</v>
      </c>
      <c r="H437" t="s">
        <v>68</v>
      </c>
      <c r="I437" t="s">
        <v>69</v>
      </c>
      <c r="J437" t="s">
        <v>79</v>
      </c>
      <c r="K437" t="s">
        <v>5</v>
      </c>
      <c r="L437" t="s">
        <v>148</v>
      </c>
      <c r="M437" t="s">
        <v>46</v>
      </c>
      <c r="N437" t="s">
        <v>47</v>
      </c>
      <c r="O437" t="s">
        <v>1571</v>
      </c>
      <c r="P437" t="s">
        <v>1292</v>
      </c>
      <c r="Q437" t="s">
        <v>46</v>
      </c>
      <c r="R437" t="s">
        <v>47</v>
      </c>
      <c r="S437" t="s">
        <v>46</v>
      </c>
      <c r="T437" t="s">
        <v>46</v>
      </c>
      <c r="U437" s="4">
        <v>-279.05</v>
      </c>
      <c r="V437" t="str">
        <f t="shared" si="6"/>
        <v>-101</v>
      </c>
      <c r="W437" t="str">
        <f>VLOOKUP(K437,[1]Info!A$1:B$21,2,0)</f>
        <v>Fornos / Carbonização (Setup)</v>
      </c>
      <c r="X437" t="str">
        <f>IF(M437="109595132","Material de Limpeza-Não Avaliar",IF(AND(K437="F20",M437&lt;&gt;109595132),IF(RIGHT(F437,2)="70","Infraestrutura de Planta","Prédios e Instalações"),IF(K437="FPC",VLOOKUP(F437,[1]Info!$E$2:$F$11,2,0),IF(K437="FGP",VLOOKUP(F437,[1]Info!$E$9:$F$10,2,0),IF(K437="F10",VLOOKUP(F437,[1]Info!$E$2:$F$3,2,0),VLOOKUP(K437,[1]Info!$A$1:$B$21,2,0))))))</f>
        <v>Fornos / Carbonização (Setup)</v>
      </c>
    </row>
    <row r="438" spans="1:24" x14ac:dyDescent="0.35">
      <c r="A438" t="s">
        <v>41</v>
      </c>
      <c r="B438" t="s">
        <v>65</v>
      </c>
      <c r="C438" t="s">
        <v>66</v>
      </c>
      <c r="D438" t="s">
        <v>100</v>
      </c>
      <c r="E438" t="s">
        <v>65</v>
      </c>
      <c r="F438">
        <v>7097060</v>
      </c>
      <c r="G438" t="s">
        <v>1559</v>
      </c>
      <c r="H438" t="s">
        <v>68</v>
      </c>
      <c r="I438" t="s">
        <v>69</v>
      </c>
      <c r="J438" t="s">
        <v>79</v>
      </c>
      <c r="K438" t="s">
        <v>5</v>
      </c>
      <c r="L438" t="s">
        <v>148</v>
      </c>
      <c r="M438" t="s">
        <v>46</v>
      </c>
      <c r="N438" t="s">
        <v>47</v>
      </c>
      <c r="O438" t="s">
        <v>1572</v>
      </c>
      <c r="P438" t="s">
        <v>1292</v>
      </c>
      <c r="Q438" t="s">
        <v>46</v>
      </c>
      <c r="R438" t="s">
        <v>47</v>
      </c>
      <c r="S438" t="s">
        <v>46</v>
      </c>
      <c r="T438" t="s">
        <v>46</v>
      </c>
      <c r="U438" s="4">
        <v>-209.29</v>
      </c>
      <c r="V438" t="str">
        <f t="shared" si="6"/>
        <v>FR39</v>
      </c>
      <c r="W438" t="str">
        <f>VLOOKUP(K438,[1]Info!A$1:B$21,2,0)</f>
        <v>Fornos / Carbonização (Setup)</v>
      </c>
      <c r="X438" t="str">
        <f>IF(M438="109595132","Material de Limpeza-Não Avaliar",IF(AND(K438="F20",M438&lt;&gt;109595132),IF(RIGHT(F438,2)="70","Infraestrutura de Planta","Prédios e Instalações"),IF(K438="FPC",VLOOKUP(F438,[1]Info!$E$2:$F$11,2,0),IF(K438="FGP",VLOOKUP(F438,[1]Info!$E$9:$F$10,2,0),IF(K438="F10",VLOOKUP(F438,[1]Info!$E$2:$F$3,2,0),VLOOKUP(K438,[1]Info!$A$1:$B$21,2,0))))))</f>
        <v>Fornos / Carbonização (Setup)</v>
      </c>
    </row>
    <row r="439" spans="1:24" x14ac:dyDescent="0.35">
      <c r="A439" t="s">
        <v>41</v>
      </c>
      <c r="B439" t="s">
        <v>65</v>
      </c>
      <c r="C439" t="s">
        <v>66</v>
      </c>
      <c r="D439" t="s">
        <v>100</v>
      </c>
      <c r="E439" t="s">
        <v>65</v>
      </c>
      <c r="F439">
        <v>7097060</v>
      </c>
      <c r="G439" t="s">
        <v>1559</v>
      </c>
      <c r="H439" t="s">
        <v>68</v>
      </c>
      <c r="I439" t="s">
        <v>69</v>
      </c>
      <c r="J439" t="s">
        <v>1573</v>
      </c>
      <c r="K439" t="s">
        <v>6</v>
      </c>
      <c r="L439" t="s">
        <v>62</v>
      </c>
      <c r="M439" t="s">
        <v>46</v>
      </c>
      <c r="N439" t="s">
        <v>47</v>
      </c>
      <c r="O439" t="s">
        <v>1574</v>
      </c>
      <c r="P439" t="s">
        <v>1292</v>
      </c>
      <c r="Q439" t="s">
        <v>46</v>
      </c>
      <c r="R439" t="s">
        <v>47</v>
      </c>
      <c r="S439" t="s">
        <v>46</v>
      </c>
      <c r="T439" t="s">
        <v>46</v>
      </c>
      <c r="U439" s="4">
        <v>-488.34</v>
      </c>
      <c r="V439" t="str">
        <f t="shared" si="6"/>
        <v>BSTC</v>
      </c>
      <c r="W439" t="str">
        <f>VLOOKUP(K439,[1]Info!A$1:B$21,2,0)</f>
        <v>Equipamentos Carbonização</v>
      </c>
      <c r="X439" t="str">
        <f>IF(M439="109595132","Material de Limpeza-Não Avaliar",IF(AND(K439="F20",M439&lt;&gt;109595132),IF(RIGHT(F439,2)="70","Infraestrutura de Planta","Prédios e Instalações"),IF(K439="FPC",VLOOKUP(F439,[1]Info!$E$2:$F$11,2,0),IF(K439="FGP",VLOOKUP(F439,[1]Info!$E$9:$F$10,2,0),IF(K439="F10",VLOOKUP(F439,[1]Info!$E$2:$F$3,2,0),VLOOKUP(K439,[1]Info!$A$1:$B$21,2,0))))))</f>
        <v>Equipamentos Carbonização</v>
      </c>
    </row>
    <row r="440" spans="1:24" x14ac:dyDescent="0.35">
      <c r="A440" t="s">
        <v>41</v>
      </c>
      <c r="B440" t="s">
        <v>65</v>
      </c>
      <c r="C440" t="s">
        <v>66</v>
      </c>
      <c r="D440" t="s">
        <v>100</v>
      </c>
      <c r="E440" t="s">
        <v>65</v>
      </c>
      <c r="F440">
        <v>7097060</v>
      </c>
      <c r="G440" t="s">
        <v>1559</v>
      </c>
      <c r="H440" t="s">
        <v>68</v>
      </c>
      <c r="I440" t="s">
        <v>69</v>
      </c>
      <c r="J440" t="s">
        <v>1573</v>
      </c>
      <c r="K440" t="s">
        <v>6</v>
      </c>
      <c r="L440" t="s">
        <v>51</v>
      </c>
      <c r="M440" t="s">
        <v>46</v>
      </c>
      <c r="N440" t="s">
        <v>47</v>
      </c>
      <c r="O440" t="s">
        <v>1575</v>
      </c>
      <c r="P440" t="s">
        <v>1292</v>
      </c>
      <c r="Q440" t="s">
        <v>46</v>
      </c>
      <c r="R440" t="s">
        <v>47</v>
      </c>
      <c r="S440" t="s">
        <v>46</v>
      </c>
      <c r="T440" t="s">
        <v>46</v>
      </c>
      <c r="U440" s="4">
        <v>-2385.9299999999998</v>
      </c>
      <c r="V440" t="str">
        <f t="shared" si="6"/>
        <v>0050</v>
      </c>
      <c r="W440" t="str">
        <f>VLOOKUP(K440,[1]Info!A$1:B$21,2,0)</f>
        <v>Equipamentos Carbonização</v>
      </c>
      <c r="X440" t="str">
        <f>IF(M440="109595132","Material de Limpeza-Não Avaliar",IF(AND(K440="F20",M440&lt;&gt;109595132),IF(RIGHT(F440,2)="70","Infraestrutura de Planta","Prédios e Instalações"),IF(K440="FPC",VLOOKUP(F440,[1]Info!$E$2:$F$11,2,0),IF(K440="FGP",VLOOKUP(F440,[1]Info!$E$9:$F$10,2,0),IF(K440="F10",VLOOKUP(F440,[1]Info!$E$2:$F$3,2,0),VLOOKUP(K440,[1]Info!$A$1:$B$21,2,0))))))</f>
        <v>Equipamentos Carbonização</v>
      </c>
    </row>
    <row r="441" spans="1:24" x14ac:dyDescent="0.35">
      <c r="A441" t="s">
        <v>41</v>
      </c>
      <c r="B441" t="s">
        <v>65</v>
      </c>
      <c r="C441" t="s">
        <v>66</v>
      </c>
      <c r="D441" t="s">
        <v>100</v>
      </c>
      <c r="E441" t="s">
        <v>65</v>
      </c>
      <c r="F441">
        <v>7097060</v>
      </c>
      <c r="G441" t="s">
        <v>1559</v>
      </c>
      <c r="H441" t="s">
        <v>68</v>
      </c>
      <c r="I441" t="s">
        <v>69</v>
      </c>
      <c r="J441" t="s">
        <v>1573</v>
      </c>
      <c r="K441" t="s">
        <v>6</v>
      </c>
      <c r="L441" t="s">
        <v>51</v>
      </c>
      <c r="M441" t="s">
        <v>46</v>
      </c>
      <c r="N441" t="s">
        <v>47</v>
      </c>
      <c r="O441" t="s">
        <v>1576</v>
      </c>
      <c r="P441" t="s">
        <v>1292</v>
      </c>
      <c r="Q441" t="s">
        <v>46</v>
      </c>
      <c r="R441" t="s">
        <v>47</v>
      </c>
      <c r="S441" t="s">
        <v>46</v>
      </c>
      <c r="T441" t="s">
        <v>46</v>
      </c>
      <c r="U441" s="4">
        <v>-599.96</v>
      </c>
      <c r="V441" t="str">
        <f t="shared" si="6"/>
        <v>-005</v>
      </c>
      <c r="W441" t="str">
        <f>VLOOKUP(K441,[1]Info!A$1:B$21,2,0)</f>
        <v>Equipamentos Carbonização</v>
      </c>
      <c r="X441" t="str">
        <f>IF(M441="109595132","Material de Limpeza-Não Avaliar",IF(AND(K441="F20",M441&lt;&gt;109595132),IF(RIGHT(F441,2)="70","Infraestrutura de Planta","Prédios e Instalações"),IF(K441="FPC",VLOOKUP(F441,[1]Info!$E$2:$F$11,2,0),IF(K441="FGP",VLOOKUP(F441,[1]Info!$E$9:$F$10,2,0),IF(K441="F10",VLOOKUP(F441,[1]Info!$E$2:$F$3,2,0),VLOOKUP(K441,[1]Info!$A$1:$B$21,2,0))))))</f>
        <v>Equipamentos Carbonização</v>
      </c>
    </row>
    <row r="442" spans="1:24" x14ac:dyDescent="0.35">
      <c r="A442" t="s">
        <v>41</v>
      </c>
      <c r="B442" t="s">
        <v>65</v>
      </c>
      <c r="C442" t="s">
        <v>66</v>
      </c>
      <c r="D442" t="s">
        <v>100</v>
      </c>
      <c r="E442" t="s">
        <v>65</v>
      </c>
      <c r="F442">
        <v>7097060</v>
      </c>
      <c r="G442" t="s">
        <v>1559</v>
      </c>
      <c r="H442" t="s">
        <v>68</v>
      </c>
      <c r="I442" t="s">
        <v>69</v>
      </c>
      <c r="J442" t="s">
        <v>78</v>
      </c>
      <c r="K442" t="s">
        <v>0</v>
      </c>
      <c r="L442" t="s">
        <v>51</v>
      </c>
      <c r="M442" t="s">
        <v>46</v>
      </c>
      <c r="N442" t="s">
        <v>47</v>
      </c>
      <c r="O442" t="s">
        <v>1060</v>
      </c>
      <c r="P442" t="s">
        <v>1292</v>
      </c>
      <c r="Q442" t="s">
        <v>46</v>
      </c>
      <c r="R442" t="s">
        <v>47</v>
      </c>
      <c r="S442" t="s">
        <v>46</v>
      </c>
      <c r="T442" t="s">
        <v>46</v>
      </c>
      <c r="U442" s="4">
        <v>-3139.36</v>
      </c>
      <c r="V442" t="str">
        <f t="shared" si="6"/>
        <v>0005</v>
      </c>
      <c r="W442" t="str">
        <f>VLOOKUP(K442,[1]Info!A$1:B$21,2,0)</f>
        <v>Carboval</v>
      </c>
      <c r="X442" t="e">
        <f>IF(M442="109595132","Material de Limpeza-Não Avaliar",IF(AND(K442="F20",M442&lt;&gt;109595132),IF(RIGHT(F442,2)="70","Infraestrutura de Planta","Prédios e Instalações"),IF(K442="FPC",VLOOKUP(F442,[1]Info!$E$2:$F$11,2,0),IF(K442="FGP",VLOOKUP(F442,[1]Info!$E$9:$F$10,2,0),IF(K442="F10",VLOOKUP(F442,[1]Info!$E$2:$F$3,2,0),VLOOKUP(K442,[1]Info!$A$1:$B$21,2,0))))))</f>
        <v>#N/A</v>
      </c>
    </row>
    <row r="443" spans="1:24" x14ac:dyDescent="0.35">
      <c r="A443" t="s">
        <v>41</v>
      </c>
      <c r="B443" t="s">
        <v>65</v>
      </c>
      <c r="C443" t="s">
        <v>66</v>
      </c>
      <c r="D443" t="s">
        <v>100</v>
      </c>
      <c r="E443" t="s">
        <v>65</v>
      </c>
      <c r="F443">
        <v>7097060</v>
      </c>
      <c r="G443" t="s">
        <v>1559</v>
      </c>
      <c r="H443" t="s">
        <v>68</v>
      </c>
      <c r="I443" t="s">
        <v>69</v>
      </c>
      <c r="J443" t="s">
        <v>163</v>
      </c>
      <c r="K443" t="s">
        <v>7</v>
      </c>
      <c r="L443" t="s">
        <v>148</v>
      </c>
      <c r="M443" t="s">
        <v>46</v>
      </c>
      <c r="N443" t="s">
        <v>47</v>
      </c>
      <c r="O443" t="s">
        <v>238</v>
      </c>
      <c r="P443" t="s">
        <v>1292</v>
      </c>
      <c r="Q443" t="s">
        <v>46</v>
      </c>
      <c r="R443" t="s">
        <v>47</v>
      </c>
      <c r="S443" t="s">
        <v>46</v>
      </c>
      <c r="T443" t="s">
        <v>46</v>
      </c>
      <c r="U443" s="4">
        <v>-558.11</v>
      </c>
      <c r="V443" t="str">
        <f t="shared" si="6"/>
        <v>FR19</v>
      </c>
      <c r="W443" t="str">
        <f>VLOOKUP(K443,[1]Info!A$1:B$21,2,0)</f>
        <v>Fornos Retangulares - Engenharia e Obras</v>
      </c>
      <c r="X443" t="str">
        <f>IF(M443="109595132","Material de Limpeza-Não Avaliar",IF(AND(K443="F20",M443&lt;&gt;109595132),IF(RIGHT(F443,2)="70","Infraestrutura de Planta","Prédios e Instalações"),IF(K443="FPC",VLOOKUP(F443,[1]Info!$E$2:$F$11,2,0),IF(K443="FGP",VLOOKUP(F443,[1]Info!$E$9:$F$10,2,0),IF(K443="F10",VLOOKUP(F443,[1]Info!$E$2:$F$3,2,0),VLOOKUP(K443,[1]Info!$A$1:$B$21,2,0))))))</f>
        <v>Fornos Retangulares - Engenharia e Obras</v>
      </c>
    </row>
    <row r="444" spans="1:24" x14ac:dyDescent="0.35">
      <c r="A444" t="s">
        <v>41</v>
      </c>
      <c r="B444" t="s">
        <v>65</v>
      </c>
      <c r="C444" t="s">
        <v>66</v>
      </c>
      <c r="D444" t="s">
        <v>100</v>
      </c>
      <c r="E444" t="s">
        <v>65</v>
      </c>
      <c r="F444">
        <v>7097060</v>
      </c>
      <c r="G444" t="s">
        <v>1559</v>
      </c>
      <c r="H444" t="s">
        <v>68</v>
      </c>
      <c r="I444" t="s">
        <v>69</v>
      </c>
      <c r="J444" t="s">
        <v>163</v>
      </c>
      <c r="K444" t="s">
        <v>7</v>
      </c>
      <c r="L444" t="s">
        <v>148</v>
      </c>
      <c r="M444" t="s">
        <v>46</v>
      </c>
      <c r="N444" t="s">
        <v>47</v>
      </c>
      <c r="O444" t="s">
        <v>1577</v>
      </c>
      <c r="P444" t="s">
        <v>1292</v>
      </c>
      <c r="Q444" t="s">
        <v>46</v>
      </c>
      <c r="R444" t="s">
        <v>47</v>
      </c>
      <c r="S444" t="s">
        <v>46</v>
      </c>
      <c r="T444" t="s">
        <v>46</v>
      </c>
      <c r="U444" s="4">
        <v>-1199.94</v>
      </c>
      <c r="V444" t="str">
        <f t="shared" si="6"/>
        <v>-030</v>
      </c>
      <c r="W444" t="str">
        <f>VLOOKUP(K444,[1]Info!A$1:B$21,2,0)</f>
        <v>Fornos Retangulares - Engenharia e Obras</v>
      </c>
      <c r="X444" t="str">
        <f>IF(M444="109595132","Material de Limpeza-Não Avaliar",IF(AND(K444="F20",M444&lt;&gt;109595132),IF(RIGHT(F444,2)="70","Infraestrutura de Planta","Prédios e Instalações"),IF(K444="FPC",VLOOKUP(F444,[1]Info!$E$2:$F$11,2,0),IF(K444="FGP",VLOOKUP(F444,[1]Info!$E$9:$F$10,2,0),IF(K444="F10",VLOOKUP(F444,[1]Info!$E$2:$F$3,2,0),VLOOKUP(K444,[1]Info!$A$1:$B$21,2,0))))))</f>
        <v>Fornos Retangulares - Engenharia e Obras</v>
      </c>
    </row>
    <row r="445" spans="1:24" x14ac:dyDescent="0.35">
      <c r="A445" t="s">
        <v>41</v>
      </c>
      <c r="B445" t="s">
        <v>65</v>
      </c>
      <c r="C445" t="s">
        <v>66</v>
      </c>
      <c r="D445" t="s">
        <v>100</v>
      </c>
      <c r="E445" t="s">
        <v>65</v>
      </c>
      <c r="F445">
        <v>7097060</v>
      </c>
      <c r="G445" t="s">
        <v>1559</v>
      </c>
      <c r="H445" t="s">
        <v>68</v>
      </c>
      <c r="I445" t="s">
        <v>69</v>
      </c>
      <c r="J445" t="s">
        <v>163</v>
      </c>
      <c r="K445" t="s">
        <v>7</v>
      </c>
      <c r="L445" t="s">
        <v>148</v>
      </c>
      <c r="M445" t="s">
        <v>46</v>
      </c>
      <c r="N445" t="s">
        <v>47</v>
      </c>
      <c r="O445" t="s">
        <v>1578</v>
      </c>
      <c r="P445" t="s">
        <v>1292</v>
      </c>
      <c r="Q445" t="s">
        <v>46</v>
      </c>
      <c r="R445" t="s">
        <v>47</v>
      </c>
      <c r="S445" t="s">
        <v>46</v>
      </c>
      <c r="T445" t="s">
        <v>46</v>
      </c>
      <c r="U445" s="4">
        <v>-3209.13</v>
      </c>
      <c r="V445" t="str">
        <f t="shared" si="6"/>
        <v>-030</v>
      </c>
      <c r="W445" t="str">
        <f>VLOOKUP(K445,[1]Info!A$1:B$21,2,0)</f>
        <v>Fornos Retangulares - Engenharia e Obras</v>
      </c>
      <c r="X445" t="str">
        <f>IF(M445="109595132","Material de Limpeza-Não Avaliar",IF(AND(K445="F20",M445&lt;&gt;109595132),IF(RIGHT(F445,2)="70","Infraestrutura de Planta","Prédios e Instalações"),IF(K445="FPC",VLOOKUP(F445,[1]Info!$E$2:$F$11,2,0),IF(K445="FGP",VLOOKUP(F445,[1]Info!$E$9:$F$10,2,0),IF(K445="F10",VLOOKUP(F445,[1]Info!$E$2:$F$3,2,0),VLOOKUP(K445,[1]Info!$A$1:$B$21,2,0))))))</f>
        <v>Fornos Retangulares - Engenharia e Obras</v>
      </c>
    </row>
    <row r="446" spans="1:24" x14ac:dyDescent="0.35">
      <c r="A446" t="s">
        <v>41</v>
      </c>
      <c r="B446" t="s">
        <v>65</v>
      </c>
      <c r="C446" t="s">
        <v>66</v>
      </c>
      <c r="D446" t="s">
        <v>100</v>
      </c>
      <c r="E446" t="s">
        <v>65</v>
      </c>
      <c r="F446">
        <v>7097060</v>
      </c>
      <c r="G446" t="s">
        <v>1559</v>
      </c>
      <c r="H446" t="s">
        <v>68</v>
      </c>
      <c r="I446" t="s">
        <v>69</v>
      </c>
      <c r="J446" t="s">
        <v>163</v>
      </c>
      <c r="K446" t="s">
        <v>7</v>
      </c>
      <c r="L446" t="s">
        <v>148</v>
      </c>
      <c r="M446" t="s">
        <v>46</v>
      </c>
      <c r="N446" t="s">
        <v>47</v>
      </c>
      <c r="O446" t="s">
        <v>1579</v>
      </c>
      <c r="P446" t="s">
        <v>1292</v>
      </c>
      <c r="Q446" t="s">
        <v>46</v>
      </c>
      <c r="R446" t="s">
        <v>47</v>
      </c>
      <c r="S446" t="s">
        <v>46</v>
      </c>
      <c r="T446" t="s">
        <v>46</v>
      </c>
      <c r="U446" s="4">
        <v>-3139.36</v>
      </c>
      <c r="V446" t="str">
        <f t="shared" si="6"/>
        <v>-030</v>
      </c>
      <c r="W446" t="str">
        <f>VLOOKUP(K446,[1]Info!A$1:B$21,2,0)</f>
        <v>Fornos Retangulares - Engenharia e Obras</v>
      </c>
      <c r="X446" t="str">
        <f>IF(M446="109595132","Material de Limpeza-Não Avaliar",IF(AND(K446="F20",M446&lt;&gt;109595132),IF(RIGHT(F446,2)="70","Infraestrutura de Planta","Prédios e Instalações"),IF(K446="FPC",VLOOKUP(F446,[1]Info!$E$2:$F$11,2,0),IF(K446="FGP",VLOOKUP(F446,[1]Info!$E$9:$F$10,2,0),IF(K446="F10",VLOOKUP(F446,[1]Info!$E$2:$F$3,2,0),VLOOKUP(K446,[1]Info!$A$1:$B$21,2,0))))))</f>
        <v>Fornos Retangulares - Engenharia e Obras</v>
      </c>
    </row>
    <row r="447" spans="1:24" x14ac:dyDescent="0.35">
      <c r="A447" t="s">
        <v>41</v>
      </c>
      <c r="B447" t="s">
        <v>65</v>
      </c>
      <c r="C447" t="s">
        <v>66</v>
      </c>
      <c r="D447" t="s">
        <v>100</v>
      </c>
      <c r="E447" t="s">
        <v>65</v>
      </c>
      <c r="F447">
        <v>7097060</v>
      </c>
      <c r="G447" t="s">
        <v>1559</v>
      </c>
      <c r="H447" t="s">
        <v>68</v>
      </c>
      <c r="I447" t="s">
        <v>69</v>
      </c>
      <c r="J447" t="s">
        <v>163</v>
      </c>
      <c r="K447" t="s">
        <v>7</v>
      </c>
      <c r="L447" t="s">
        <v>148</v>
      </c>
      <c r="M447" t="s">
        <v>46</v>
      </c>
      <c r="N447" t="s">
        <v>47</v>
      </c>
      <c r="O447" t="s">
        <v>1580</v>
      </c>
      <c r="P447" t="s">
        <v>1292</v>
      </c>
      <c r="Q447" t="s">
        <v>46</v>
      </c>
      <c r="R447" t="s">
        <v>47</v>
      </c>
      <c r="S447" t="s">
        <v>46</v>
      </c>
      <c r="T447" t="s">
        <v>46</v>
      </c>
      <c r="U447" s="4">
        <v>-3069.6</v>
      </c>
      <c r="V447" t="str">
        <f t="shared" si="6"/>
        <v>-030</v>
      </c>
      <c r="W447" t="str">
        <f>VLOOKUP(K447,[1]Info!A$1:B$21,2,0)</f>
        <v>Fornos Retangulares - Engenharia e Obras</v>
      </c>
      <c r="X447" t="str">
        <f>IF(M447="109595132","Material de Limpeza-Não Avaliar",IF(AND(K447="F20",M447&lt;&gt;109595132),IF(RIGHT(F447,2)="70","Infraestrutura de Planta","Prédios e Instalações"),IF(K447="FPC",VLOOKUP(F447,[1]Info!$E$2:$F$11,2,0),IF(K447="FGP",VLOOKUP(F447,[1]Info!$E$9:$F$10,2,0),IF(K447="F10",VLOOKUP(F447,[1]Info!$E$2:$F$3,2,0),VLOOKUP(K447,[1]Info!$A$1:$B$21,2,0))))))</f>
        <v>Fornos Retangulares - Engenharia e Obras</v>
      </c>
    </row>
    <row r="448" spans="1:24" x14ac:dyDescent="0.35">
      <c r="A448" t="s">
        <v>41</v>
      </c>
      <c r="B448" t="s">
        <v>65</v>
      </c>
      <c r="C448" t="s">
        <v>66</v>
      </c>
      <c r="D448" t="s">
        <v>100</v>
      </c>
      <c r="E448" t="s">
        <v>65</v>
      </c>
      <c r="F448">
        <v>7097060</v>
      </c>
      <c r="G448" t="s">
        <v>1559</v>
      </c>
      <c r="H448" t="s">
        <v>68</v>
      </c>
      <c r="I448" t="s">
        <v>69</v>
      </c>
      <c r="J448" t="s">
        <v>163</v>
      </c>
      <c r="K448" t="s">
        <v>7</v>
      </c>
      <c r="L448" t="s">
        <v>148</v>
      </c>
      <c r="M448" t="s">
        <v>46</v>
      </c>
      <c r="N448" t="s">
        <v>47</v>
      </c>
      <c r="O448" t="s">
        <v>1581</v>
      </c>
      <c r="P448" t="s">
        <v>1292</v>
      </c>
      <c r="Q448" t="s">
        <v>46</v>
      </c>
      <c r="R448" t="s">
        <v>47</v>
      </c>
      <c r="S448" t="s">
        <v>46</v>
      </c>
      <c r="T448" t="s">
        <v>46</v>
      </c>
      <c r="U448" s="4">
        <v>-3209.13</v>
      </c>
      <c r="V448" t="str">
        <f t="shared" si="6"/>
        <v>-030</v>
      </c>
      <c r="W448" t="str">
        <f>VLOOKUP(K448,[1]Info!A$1:B$21,2,0)</f>
        <v>Fornos Retangulares - Engenharia e Obras</v>
      </c>
      <c r="X448" t="str">
        <f>IF(M448="109595132","Material de Limpeza-Não Avaliar",IF(AND(K448="F20",M448&lt;&gt;109595132),IF(RIGHT(F448,2)="70","Infraestrutura de Planta","Prédios e Instalações"),IF(K448="FPC",VLOOKUP(F448,[1]Info!$E$2:$F$11,2,0),IF(K448="FGP",VLOOKUP(F448,[1]Info!$E$9:$F$10,2,0),IF(K448="F10",VLOOKUP(F448,[1]Info!$E$2:$F$3,2,0),VLOOKUP(K448,[1]Info!$A$1:$B$21,2,0))))))</f>
        <v>Fornos Retangulares - Engenharia e Obras</v>
      </c>
    </row>
    <row r="449" spans="1:24" x14ac:dyDescent="0.35">
      <c r="A449" t="s">
        <v>41</v>
      </c>
      <c r="B449" t="s">
        <v>65</v>
      </c>
      <c r="C449" t="s">
        <v>66</v>
      </c>
      <c r="D449" t="s">
        <v>100</v>
      </c>
      <c r="E449" t="s">
        <v>65</v>
      </c>
      <c r="F449">
        <v>7097060</v>
      </c>
      <c r="G449" t="s">
        <v>1559</v>
      </c>
      <c r="H449" t="s">
        <v>68</v>
      </c>
      <c r="I449" t="s">
        <v>69</v>
      </c>
      <c r="J449" t="s">
        <v>163</v>
      </c>
      <c r="K449" t="s">
        <v>7</v>
      </c>
      <c r="L449" t="s">
        <v>148</v>
      </c>
      <c r="M449" t="s">
        <v>46</v>
      </c>
      <c r="N449" t="s">
        <v>47</v>
      </c>
      <c r="O449" t="s">
        <v>164</v>
      </c>
      <c r="P449" t="s">
        <v>1292</v>
      </c>
      <c r="Q449" t="s">
        <v>46</v>
      </c>
      <c r="R449" t="s">
        <v>47</v>
      </c>
      <c r="S449" t="s">
        <v>46</v>
      </c>
      <c r="T449" t="s">
        <v>46</v>
      </c>
      <c r="U449" s="4">
        <v>-1562.71</v>
      </c>
      <c r="V449" t="str">
        <f t="shared" si="6"/>
        <v>FR39</v>
      </c>
      <c r="W449" t="str">
        <f>VLOOKUP(K449,[1]Info!A$1:B$21,2,0)</f>
        <v>Fornos Retangulares - Engenharia e Obras</v>
      </c>
      <c r="X449" t="str">
        <f>IF(M449="109595132","Material de Limpeza-Não Avaliar",IF(AND(K449="F20",M449&lt;&gt;109595132),IF(RIGHT(F449,2)="70","Infraestrutura de Planta","Prédios e Instalações"),IF(K449="FPC",VLOOKUP(F449,[1]Info!$E$2:$F$11,2,0),IF(K449="FGP",VLOOKUP(F449,[1]Info!$E$9:$F$10,2,0),IF(K449="F10",VLOOKUP(F449,[1]Info!$E$2:$F$3,2,0),VLOOKUP(K449,[1]Info!$A$1:$B$21,2,0))))))</f>
        <v>Fornos Retangulares - Engenharia e Obras</v>
      </c>
    </row>
    <row r="450" spans="1:24" x14ac:dyDescent="0.35">
      <c r="A450" t="s">
        <v>41</v>
      </c>
      <c r="B450" t="s">
        <v>65</v>
      </c>
      <c r="C450" t="s">
        <v>66</v>
      </c>
      <c r="D450" t="s">
        <v>100</v>
      </c>
      <c r="E450" t="s">
        <v>65</v>
      </c>
      <c r="F450">
        <v>7097060</v>
      </c>
      <c r="G450" t="s">
        <v>1559</v>
      </c>
      <c r="H450" t="s">
        <v>68</v>
      </c>
      <c r="I450" t="s">
        <v>69</v>
      </c>
      <c r="J450" t="s">
        <v>163</v>
      </c>
      <c r="K450" t="s">
        <v>6</v>
      </c>
      <c r="L450" t="s">
        <v>59</v>
      </c>
      <c r="M450" t="s">
        <v>46</v>
      </c>
      <c r="N450" t="s">
        <v>47</v>
      </c>
      <c r="O450" t="s">
        <v>1582</v>
      </c>
      <c r="P450" t="s">
        <v>1292</v>
      </c>
      <c r="Q450" t="s">
        <v>46</v>
      </c>
      <c r="R450" t="s">
        <v>47</v>
      </c>
      <c r="S450" t="s">
        <v>46</v>
      </c>
      <c r="T450" t="s">
        <v>46</v>
      </c>
      <c r="U450" s="4">
        <v>-2651.02</v>
      </c>
      <c r="V450" t="str">
        <f t="shared" si="6"/>
        <v>C001</v>
      </c>
      <c r="W450" t="str">
        <f>VLOOKUP(K450,[1]Info!A$1:B$21,2,0)</f>
        <v>Equipamentos Carbonização</v>
      </c>
      <c r="X450" t="str">
        <f>IF(M450="109595132","Material de Limpeza-Não Avaliar",IF(AND(K450="F20",M450&lt;&gt;109595132),IF(RIGHT(F450,2)="70","Infraestrutura de Planta","Prédios e Instalações"),IF(K450="FPC",VLOOKUP(F450,[1]Info!$E$2:$F$11,2,0),IF(K450="FGP",VLOOKUP(F450,[1]Info!$E$9:$F$10,2,0),IF(K450="F10",VLOOKUP(F450,[1]Info!$E$2:$F$3,2,0),VLOOKUP(K450,[1]Info!$A$1:$B$21,2,0))))))</f>
        <v>Equipamentos Carbonização</v>
      </c>
    </row>
    <row r="451" spans="1:24" x14ac:dyDescent="0.35">
      <c r="A451" t="s">
        <v>41</v>
      </c>
      <c r="B451" t="s">
        <v>65</v>
      </c>
      <c r="C451" t="s">
        <v>66</v>
      </c>
      <c r="D451" t="s">
        <v>100</v>
      </c>
      <c r="E451" t="s">
        <v>65</v>
      </c>
      <c r="F451">
        <v>7097060</v>
      </c>
      <c r="G451" t="s">
        <v>1559</v>
      </c>
      <c r="H451" t="s">
        <v>68</v>
      </c>
      <c r="I451" t="s">
        <v>69</v>
      </c>
      <c r="J451" t="s">
        <v>163</v>
      </c>
      <c r="K451" t="s">
        <v>6</v>
      </c>
      <c r="L451" t="s">
        <v>59</v>
      </c>
      <c r="M451" t="s">
        <v>46</v>
      </c>
      <c r="N451" t="s">
        <v>47</v>
      </c>
      <c r="O451" t="s">
        <v>171</v>
      </c>
      <c r="P451" t="s">
        <v>1292</v>
      </c>
      <c r="Q451" t="s">
        <v>46</v>
      </c>
      <c r="R451" t="s">
        <v>47</v>
      </c>
      <c r="S451" t="s">
        <v>46</v>
      </c>
      <c r="T451" t="s">
        <v>46</v>
      </c>
      <c r="U451" s="4">
        <v>-2023.14</v>
      </c>
      <c r="V451" t="str">
        <f t="shared" si="6"/>
        <v>C002</v>
      </c>
      <c r="W451" t="str">
        <f>VLOOKUP(K451,[1]Info!A$1:B$21,2,0)</f>
        <v>Equipamentos Carbonização</v>
      </c>
      <c r="X451" t="str">
        <f>IF(M451="109595132","Material de Limpeza-Não Avaliar",IF(AND(K451="F20",M451&lt;&gt;109595132),IF(RIGHT(F451,2)="70","Infraestrutura de Planta","Prédios e Instalações"),IF(K451="FPC",VLOOKUP(F451,[1]Info!$E$2:$F$11,2,0),IF(K451="FGP",VLOOKUP(F451,[1]Info!$E$9:$F$10,2,0),IF(K451="F10",VLOOKUP(F451,[1]Info!$E$2:$F$3,2,0),VLOOKUP(K451,[1]Info!$A$1:$B$21,2,0))))))</f>
        <v>Equipamentos Carbonização</v>
      </c>
    </row>
    <row r="452" spans="1:24" x14ac:dyDescent="0.35">
      <c r="A452" t="s">
        <v>41</v>
      </c>
      <c r="B452" t="s">
        <v>65</v>
      </c>
      <c r="C452" t="s">
        <v>66</v>
      </c>
      <c r="D452" t="s">
        <v>100</v>
      </c>
      <c r="E452" t="s">
        <v>65</v>
      </c>
      <c r="F452">
        <v>7097060</v>
      </c>
      <c r="G452" t="s">
        <v>1559</v>
      </c>
      <c r="H452" t="s">
        <v>68</v>
      </c>
      <c r="I452" t="s">
        <v>69</v>
      </c>
      <c r="J452" t="s">
        <v>163</v>
      </c>
      <c r="K452" t="s">
        <v>6</v>
      </c>
      <c r="L452" t="s">
        <v>51</v>
      </c>
      <c r="M452" t="s">
        <v>46</v>
      </c>
      <c r="N452" t="s">
        <v>47</v>
      </c>
      <c r="O452" t="s">
        <v>841</v>
      </c>
      <c r="P452" t="s">
        <v>1292</v>
      </c>
      <c r="Q452" t="s">
        <v>46</v>
      </c>
      <c r="R452" t="s">
        <v>47</v>
      </c>
      <c r="S452" t="s">
        <v>46</v>
      </c>
      <c r="T452" t="s">
        <v>46</v>
      </c>
      <c r="U452" s="4">
        <v>-4478.82</v>
      </c>
      <c r="V452" t="str">
        <f t="shared" ref="V452:V515" si="7">RIGHT(O452,4)</f>
        <v>0050</v>
      </c>
      <c r="W452" t="str">
        <f>VLOOKUP(K452,[1]Info!A$1:B$21,2,0)</f>
        <v>Equipamentos Carbonização</v>
      </c>
      <c r="X452" t="str">
        <f>IF(M452="109595132","Material de Limpeza-Não Avaliar",IF(AND(K452="F20",M452&lt;&gt;109595132),IF(RIGHT(F452,2)="70","Infraestrutura de Planta","Prédios e Instalações"),IF(K452="FPC",VLOOKUP(F452,[1]Info!$E$2:$F$11,2,0),IF(K452="FGP",VLOOKUP(F452,[1]Info!$E$9:$F$10,2,0),IF(K452="F10",VLOOKUP(F452,[1]Info!$E$2:$F$3,2,0),VLOOKUP(K452,[1]Info!$A$1:$B$21,2,0))))))</f>
        <v>Equipamentos Carbonização</v>
      </c>
    </row>
    <row r="453" spans="1:24" x14ac:dyDescent="0.35">
      <c r="A453" t="s">
        <v>41</v>
      </c>
      <c r="B453" t="s">
        <v>65</v>
      </c>
      <c r="C453" t="s">
        <v>66</v>
      </c>
      <c r="D453" t="s">
        <v>100</v>
      </c>
      <c r="E453" t="s">
        <v>65</v>
      </c>
      <c r="F453">
        <v>7097060</v>
      </c>
      <c r="G453" t="s">
        <v>1559</v>
      </c>
      <c r="H453" t="s">
        <v>68</v>
      </c>
      <c r="I453" t="s">
        <v>69</v>
      </c>
      <c r="J453" t="s">
        <v>163</v>
      </c>
      <c r="K453" t="s">
        <v>5</v>
      </c>
      <c r="L453" t="s">
        <v>59</v>
      </c>
      <c r="M453" t="s">
        <v>46</v>
      </c>
      <c r="N453" t="s">
        <v>47</v>
      </c>
      <c r="O453" t="s">
        <v>1582</v>
      </c>
      <c r="P453" t="s">
        <v>1292</v>
      </c>
      <c r="Q453" t="s">
        <v>46</v>
      </c>
      <c r="R453" t="s">
        <v>47</v>
      </c>
      <c r="S453" t="s">
        <v>46</v>
      </c>
      <c r="T453" t="s">
        <v>46</v>
      </c>
      <c r="U453" s="4">
        <v>-418.58</v>
      </c>
      <c r="V453" t="str">
        <f t="shared" si="7"/>
        <v>C001</v>
      </c>
      <c r="W453" t="str">
        <f>VLOOKUP(K453,[1]Info!A$1:B$21,2,0)</f>
        <v>Fornos / Carbonização (Setup)</v>
      </c>
      <c r="X453" t="str">
        <f>IF(M453="109595132","Material de Limpeza-Não Avaliar",IF(AND(K453="F20",M453&lt;&gt;109595132),IF(RIGHT(F453,2)="70","Infraestrutura de Planta","Prédios e Instalações"),IF(K453="FPC",VLOOKUP(F453,[1]Info!$E$2:$F$11,2,0),IF(K453="FGP",VLOOKUP(F453,[1]Info!$E$9:$F$10,2,0),IF(K453="F10",VLOOKUP(F453,[1]Info!$E$2:$F$3,2,0),VLOOKUP(K453,[1]Info!$A$1:$B$21,2,0))))))</f>
        <v>Fornos / Carbonização (Setup)</v>
      </c>
    </row>
    <row r="454" spans="1:24" x14ac:dyDescent="0.35">
      <c r="A454" t="s">
        <v>41</v>
      </c>
      <c r="B454" t="s">
        <v>65</v>
      </c>
      <c r="C454" t="s">
        <v>66</v>
      </c>
      <c r="D454" t="s">
        <v>100</v>
      </c>
      <c r="E454" t="s">
        <v>65</v>
      </c>
      <c r="F454">
        <v>7097060</v>
      </c>
      <c r="G454" t="s">
        <v>1559</v>
      </c>
      <c r="H454" t="s">
        <v>68</v>
      </c>
      <c r="I454" t="s">
        <v>69</v>
      </c>
      <c r="J454" t="s">
        <v>163</v>
      </c>
      <c r="K454" t="s">
        <v>5</v>
      </c>
      <c r="L454" t="s">
        <v>59</v>
      </c>
      <c r="M454" t="s">
        <v>46</v>
      </c>
      <c r="N454" t="s">
        <v>47</v>
      </c>
      <c r="O454" t="s">
        <v>171</v>
      </c>
      <c r="P454" t="s">
        <v>1292</v>
      </c>
      <c r="Q454" t="s">
        <v>46</v>
      </c>
      <c r="R454" t="s">
        <v>47</v>
      </c>
      <c r="S454" t="s">
        <v>46</v>
      </c>
      <c r="T454" t="s">
        <v>46</v>
      </c>
      <c r="U454" s="4">
        <v>-2092.9</v>
      </c>
      <c r="V454" t="str">
        <f t="shared" si="7"/>
        <v>C002</v>
      </c>
      <c r="W454" t="str">
        <f>VLOOKUP(K454,[1]Info!A$1:B$21,2,0)</f>
        <v>Fornos / Carbonização (Setup)</v>
      </c>
      <c r="X454" t="str">
        <f>IF(M454="109595132","Material de Limpeza-Não Avaliar",IF(AND(K454="F20",M454&lt;&gt;109595132),IF(RIGHT(F454,2)="70","Infraestrutura de Planta","Prédios e Instalações"),IF(K454="FPC",VLOOKUP(F454,[1]Info!$E$2:$F$11,2,0),IF(K454="FGP",VLOOKUP(F454,[1]Info!$E$9:$F$10,2,0),IF(K454="F10",VLOOKUP(F454,[1]Info!$E$2:$F$3,2,0),VLOOKUP(K454,[1]Info!$A$1:$B$21,2,0))))))</f>
        <v>Fornos / Carbonização (Setup)</v>
      </c>
    </row>
    <row r="455" spans="1:24" x14ac:dyDescent="0.35">
      <c r="A455" t="s">
        <v>41</v>
      </c>
      <c r="B455" t="s">
        <v>65</v>
      </c>
      <c r="C455" t="s">
        <v>66</v>
      </c>
      <c r="D455" t="s">
        <v>100</v>
      </c>
      <c r="E455" t="s">
        <v>65</v>
      </c>
      <c r="F455">
        <v>7097060</v>
      </c>
      <c r="G455" t="s">
        <v>1559</v>
      </c>
      <c r="H455" t="s">
        <v>68</v>
      </c>
      <c r="I455" t="s">
        <v>69</v>
      </c>
      <c r="J455" t="s">
        <v>163</v>
      </c>
      <c r="K455" t="s">
        <v>5</v>
      </c>
      <c r="L455" t="s">
        <v>148</v>
      </c>
      <c r="M455" t="s">
        <v>46</v>
      </c>
      <c r="N455" t="s">
        <v>47</v>
      </c>
      <c r="O455" t="s">
        <v>1583</v>
      </c>
      <c r="P455" t="s">
        <v>1292</v>
      </c>
      <c r="Q455" t="s">
        <v>46</v>
      </c>
      <c r="R455" t="s">
        <v>47</v>
      </c>
      <c r="S455" t="s">
        <v>46</v>
      </c>
      <c r="T455" t="s">
        <v>46</v>
      </c>
      <c r="U455" s="4">
        <v>-1813.86</v>
      </c>
      <c r="V455" t="str">
        <f t="shared" si="7"/>
        <v>-030</v>
      </c>
      <c r="W455" t="str">
        <f>VLOOKUP(K455,[1]Info!A$1:B$21,2,0)</f>
        <v>Fornos / Carbonização (Setup)</v>
      </c>
      <c r="X455" t="str">
        <f>IF(M455="109595132","Material de Limpeza-Não Avaliar",IF(AND(K455="F20",M455&lt;&gt;109595132),IF(RIGHT(F455,2)="70","Infraestrutura de Planta","Prédios e Instalações"),IF(K455="FPC",VLOOKUP(F455,[1]Info!$E$2:$F$11,2,0),IF(K455="FGP",VLOOKUP(F455,[1]Info!$E$9:$F$10,2,0),IF(K455="F10",VLOOKUP(F455,[1]Info!$E$2:$F$3,2,0),VLOOKUP(K455,[1]Info!$A$1:$B$21,2,0))))))</f>
        <v>Fornos / Carbonização (Setup)</v>
      </c>
    </row>
    <row r="456" spans="1:24" x14ac:dyDescent="0.35">
      <c r="A456" t="s">
        <v>41</v>
      </c>
      <c r="B456" t="s">
        <v>65</v>
      </c>
      <c r="C456" t="s">
        <v>66</v>
      </c>
      <c r="D456" t="s">
        <v>100</v>
      </c>
      <c r="E456" t="s">
        <v>65</v>
      </c>
      <c r="F456">
        <v>7097060</v>
      </c>
      <c r="G456" t="s">
        <v>1559</v>
      </c>
      <c r="H456" t="s">
        <v>68</v>
      </c>
      <c r="I456" t="s">
        <v>69</v>
      </c>
      <c r="J456" t="s">
        <v>163</v>
      </c>
      <c r="K456" t="s">
        <v>5</v>
      </c>
      <c r="L456" t="s">
        <v>148</v>
      </c>
      <c r="M456" t="s">
        <v>46</v>
      </c>
      <c r="N456" t="s">
        <v>47</v>
      </c>
      <c r="O456" t="s">
        <v>1584</v>
      </c>
      <c r="P456" t="s">
        <v>1292</v>
      </c>
      <c r="Q456" t="s">
        <v>46</v>
      </c>
      <c r="R456" t="s">
        <v>47</v>
      </c>
      <c r="S456" t="s">
        <v>46</v>
      </c>
      <c r="T456" t="s">
        <v>46</v>
      </c>
      <c r="U456" s="4">
        <v>-209.29</v>
      </c>
      <c r="V456" t="str">
        <f t="shared" si="7"/>
        <v>-030</v>
      </c>
      <c r="W456" t="str">
        <f>VLOOKUP(K456,[1]Info!A$1:B$21,2,0)</f>
        <v>Fornos / Carbonização (Setup)</v>
      </c>
      <c r="X456" t="str">
        <f>IF(M456="109595132","Material de Limpeza-Não Avaliar",IF(AND(K456="F20",M456&lt;&gt;109595132),IF(RIGHT(F456,2)="70","Infraestrutura de Planta","Prédios e Instalações"),IF(K456="FPC",VLOOKUP(F456,[1]Info!$E$2:$F$11,2,0),IF(K456="FGP",VLOOKUP(F456,[1]Info!$E$9:$F$10,2,0),IF(K456="F10",VLOOKUP(F456,[1]Info!$E$2:$F$3,2,0),VLOOKUP(K456,[1]Info!$A$1:$B$21,2,0))))))</f>
        <v>Fornos / Carbonização (Setup)</v>
      </c>
    </row>
    <row r="457" spans="1:24" x14ac:dyDescent="0.35">
      <c r="A457" t="s">
        <v>41</v>
      </c>
      <c r="B457" t="s">
        <v>65</v>
      </c>
      <c r="C457" t="s">
        <v>66</v>
      </c>
      <c r="D457" t="s">
        <v>100</v>
      </c>
      <c r="E457" t="s">
        <v>65</v>
      </c>
      <c r="F457">
        <v>7097060</v>
      </c>
      <c r="G457" t="s">
        <v>1559</v>
      </c>
      <c r="H457" t="s">
        <v>68</v>
      </c>
      <c r="I457" t="s">
        <v>69</v>
      </c>
      <c r="J457" t="s">
        <v>163</v>
      </c>
      <c r="K457" t="s">
        <v>5</v>
      </c>
      <c r="L457" t="s">
        <v>148</v>
      </c>
      <c r="M457" t="s">
        <v>46</v>
      </c>
      <c r="N457" t="s">
        <v>47</v>
      </c>
      <c r="O457" t="s">
        <v>1585</v>
      </c>
      <c r="P457" t="s">
        <v>1292</v>
      </c>
      <c r="Q457" t="s">
        <v>46</v>
      </c>
      <c r="R457" t="s">
        <v>47</v>
      </c>
      <c r="S457" t="s">
        <v>46</v>
      </c>
      <c r="T457" t="s">
        <v>46</v>
      </c>
      <c r="U457" s="4">
        <v>-2999.84</v>
      </c>
      <c r="V457" t="str">
        <f t="shared" si="7"/>
        <v>-030</v>
      </c>
      <c r="W457" t="str">
        <f>VLOOKUP(K457,[1]Info!A$1:B$21,2,0)</f>
        <v>Fornos / Carbonização (Setup)</v>
      </c>
      <c r="X457" t="str">
        <f>IF(M457="109595132","Material de Limpeza-Não Avaliar",IF(AND(K457="F20",M457&lt;&gt;109595132),IF(RIGHT(F457,2)="70","Infraestrutura de Planta","Prédios e Instalações"),IF(K457="FPC",VLOOKUP(F457,[1]Info!$E$2:$F$11,2,0),IF(K457="FGP",VLOOKUP(F457,[1]Info!$E$9:$F$10,2,0),IF(K457="F10",VLOOKUP(F457,[1]Info!$E$2:$F$3,2,0),VLOOKUP(K457,[1]Info!$A$1:$B$21,2,0))))))</f>
        <v>Fornos / Carbonização (Setup)</v>
      </c>
    </row>
    <row r="458" spans="1:24" x14ac:dyDescent="0.35">
      <c r="A458" t="s">
        <v>41</v>
      </c>
      <c r="B458" t="s">
        <v>65</v>
      </c>
      <c r="C458" t="s">
        <v>66</v>
      </c>
      <c r="D458" t="s">
        <v>100</v>
      </c>
      <c r="E458" t="s">
        <v>65</v>
      </c>
      <c r="F458">
        <v>7097060</v>
      </c>
      <c r="G458" t="s">
        <v>1559</v>
      </c>
      <c r="H458" t="s">
        <v>68</v>
      </c>
      <c r="I458" t="s">
        <v>69</v>
      </c>
      <c r="J458" t="s">
        <v>226</v>
      </c>
      <c r="K458" t="s">
        <v>7</v>
      </c>
      <c r="L458" t="s">
        <v>148</v>
      </c>
      <c r="M458" t="s">
        <v>46</v>
      </c>
      <c r="N458" t="s">
        <v>47</v>
      </c>
      <c r="O458" t="s">
        <v>1586</v>
      </c>
      <c r="P458" t="s">
        <v>1292</v>
      </c>
      <c r="Q458" t="s">
        <v>46</v>
      </c>
      <c r="R458" t="s">
        <v>47</v>
      </c>
      <c r="S458" t="s">
        <v>46</v>
      </c>
      <c r="T458" t="s">
        <v>46</v>
      </c>
      <c r="U458" s="4">
        <v>-1465.03</v>
      </c>
      <c r="V458" t="str">
        <f t="shared" si="7"/>
        <v>-030</v>
      </c>
      <c r="W458" t="str">
        <f>VLOOKUP(K458,[1]Info!A$1:B$21,2,0)</f>
        <v>Fornos Retangulares - Engenharia e Obras</v>
      </c>
      <c r="X458" t="str">
        <f>IF(M458="109595132","Material de Limpeza-Não Avaliar",IF(AND(K458="F20",M458&lt;&gt;109595132),IF(RIGHT(F458,2)="70","Infraestrutura de Planta","Prédios e Instalações"),IF(K458="FPC",VLOOKUP(F458,[1]Info!$E$2:$F$11,2,0),IF(K458="FGP",VLOOKUP(F458,[1]Info!$E$9:$F$10,2,0),IF(K458="F10",VLOOKUP(F458,[1]Info!$E$2:$F$3,2,0),VLOOKUP(K458,[1]Info!$A$1:$B$21,2,0))))))</f>
        <v>Fornos Retangulares - Engenharia e Obras</v>
      </c>
    </row>
    <row r="459" spans="1:24" x14ac:dyDescent="0.35">
      <c r="A459" t="s">
        <v>41</v>
      </c>
      <c r="B459" t="s">
        <v>65</v>
      </c>
      <c r="C459" t="s">
        <v>66</v>
      </c>
      <c r="D459" t="s">
        <v>100</v>
      </c>
      <c r="E459" t="s">
        <v>65</v>
      </c>
      <c r="F459">
        <v>7097060</v>
      </c>
      <c r="G459" t="s">
        <v>1559</v>
      </c>
      <c r="H459" t="s">
        <v>68</v>
      </c>
      <c r="I459" t="s">
        <v>69</v>
      </c>
      <c r="J459" t="s">
        <v>226</v>
      </c>
      <c r="K459" t="s">
        <v>7</v>
      </c>
      <c r="L459" t="s">
        <v>148</v>
      </c>
      <c r="M459" t="s">
        <v>46</v>
      </c>
      <c r="N459" t="s">
        <v>47</v>
      </c>
      <c r="O459" t="s">
        <v>1051</v>
      </c>
      <c r="P459" t="s">
        <v>1292</v>
      </c>
      <c r="Q459" t="s">
        <v>46</v>
      </c>
      <c r="R459" t="s">
        <v>47</v>
      </c>
      <c r="S459" t="s">
        <v>46</v>
      </c>
      <c r="T459" t="s">
        <v>46</v>
      </c>
      <c r="U459" s="4">
        <v>-697.63</v>
      </c>
      <c r="V459" t="str">
        <f t="shared" si="7"/>
        <v>-030</v>
      </c>
      <c r="W459" t="str">
        <f>VLOOKUP(K459,[1]Info!A$1:B$21,2,0)</f>
        <v>Fornos Retangulares - Engenharia e Obras</v>
      </c>
      <c r="X459" t="str">
        <f>IF(M459="109595132","Material de Limpeza-Não Avaliar",IF(AND(K459="F20",M459&lt;&gt;109595132),IF(RIGHT(F459,2)="70","Infraestrutura de Planta","Prédios e Instalações"),IF(K459="FPC",VLOOKUP(F459,[1]Info!$E$2:$F$11,2,0),IF(K459="FGP",VLOOKUP(F459,[1]Info!$E$9:$F$10,2,0),IF(K459="F10",VLOOKUP(F459,[1]Info!$E$2:$F$3,2,0),VLOOKUP(K459,[1]Info!$A$1:$B$21,2,0))))))</f>
        <v>Fornos Retangulares - Engenharia e Obras</v>
      </c>
    </row>
    <row r="460" spans="1:24" x14ac:dyDescent="0.35">
      <c r="A460" t="s">
        <v>41</v>
      </c>
      <c r="B460" t="s">
        <v>65</v>
      </c>
      <c r="C460" t="s">
        <v>66</v>
      </c>
      <c r="D460" t="s">
        <v>100</v>
      </c>
      <c r="E460" t="s">
        <v>65</v>
      </c>
      <c r="F460">
        <v>7097060</v>
      </c>
      <c r="G460" t="s">
        <v>1559</v>
      </c>
      <c r="H460" t="s">
        <v>68</v>
      </c>
      <c r="I460" t="s">
        <v>69</v>
      </c>
      <c r="J460" t="s">
        <v>226</v>
      </c>
      <c r="K460" t="s">
        <v>7</v>
      </c>
      <c r="L460" t="s">
        <v>148</v>
      </c>
      <c r="M460" t="s">
        <v>46</v>
      </c>
      <c r="N460" t="s">
        <v>47</v>
      </c>
      <c r="O460" t="s">
        <v>1587</v>
      </c>
      <c r="P460" t="s">
        <v>1292</v>
      </c>
      <c r="Q460" t="s">
        <v>46</v>
      </c>
      <c r="R460" t="s">
        <v>47</v>
      </c>
      <c r="S460" t="s">
        <v>46</v>
      </c>
      <c r="T460" t="s">
        <v>46</v>
      </c>
      <c r="U460" s="4">
        <v>-3181.23</v>
      </c>
      <c r="V460" t="str">
        <f t="shared" si="7"/>
        <v>-030</v>
      </c>
      <c r="W460" t="str">
        <f>VLOOKUP(K460,[1]Info!A$1:B$21,2,0)</f>
        <v>Fornos Retangulares - Engenharia e Obras</v>
      </c>
      <c r="X460" t="str">
        <f>IF(M460="109595132","Material de Limpeza-Não Avaliar",IF(AND(K460="F20",M460&lt;&gt;109595132),IF(RIGHT(F460,2)="70","Infraestrutura de Planta","Prédios e Instalações"),IF(K460="FPC",VLOOKUP(F460,[1]Info!$E$2:$F$11,2,0),IF(K460="FGP",VLOOKUP(F460,[1]Info!$E$9:$F$10,2,0),IF(K460="F10",VLOOKUP(F460,[1]Info!$E$2:$F$3,2,0),VLOOKUP(K460,[1]Info!$A$1:$B$21,2,0))))))</f>
        <v>Fornos Retangulares - Engenharia e Obras</v>
      </c>
    </row>
    <row r="461" spans="1:24" x14ac:dyDescent="0.35">
      <c r="A461" t="s">
        <v>41</v>
      </c>
      <c r="B461" t="s">
        <v>65</v>
      </c>
      <c r="C461" t="s">
        <v>66</v>
      </c>
      <c r="D461" t="s">
        <v>100</v>
      </c>
      <c r="E461" t="s">
        <v>65</v>
      </c>
      <c r="F461">
        <v>7097060</v>
      </c>
      <c r="G461" t="s">
        <v>1559</v>
      </c>
      <c r="H461" t="s">
        <v>68</v>
      </c>
      <c r="I461" t="s">
        <v>69</v>
      </c>
      <c r="J461" t="s">
        <v>226</v>
      </c>
      <c r="K461" t="s">
        <v>7</v>
      </c>
      <c r="L461" t="s">
        <v>148</v>
      </c>
      <c r="M461" t="s">
        <v>46</v>
      </c>
      <c r="N461" t="s">
        <v>47</v>
      </c>
      <c r="O461" t="s">
        <v>237</v>
      </c>
      <c r="P461" t="s">
        <v>1292</v>
      </c>
      <c r="Q461" t="s">
        <v>46</v>
      </c>
      <c r="R461" t="s">
        <v>47</v>
      </c>
      <c r="S461" t="s">
        <v>46</v>
      </c>
      <c r="T461" t="s">
        <v>46</v>
      </c>
      <c r="U461" s="4">
        <v>-5050.88</v>
      </c>
      <c r="V461" t="str">
        <f t="shared" si="7"/>
        <v>FR39</v>
      </c>
      <c r="W461" t="str">
        <f>VLOOKUP(K461,[1]Info!A$1:B$21,2,0)</f>
        <v>Fornos Retangulares - Engenharia e Obras</v>
      </c>
      <c r="X461" t="str">
        <f>IF(M461="109595132","Material de Limpeza-Não Avaliar",IF(AND(K461="F20",M461&lt;&gt;109595132),IF(RIGHT(F461,2)="70","Infraestrutura de Planta","Prédios e Instalações"),IF(K461="FPC",VLOOKUP(F461,[1]Info!$E$2:$F$11,2,0),IF(K461="FGP",VLOOKUP(F461,[1]Info!$E$9:$F$10,2,0),IF(K461="F10",VLOOKUP(F461,[1]Info!$E$2:$F$3,2,0),VLOOKUP(K461,[1]Info!$A$1:$B$21,2,0))))))</f>
        <v>Fornos Retangulares - Engenharia e Obras</v>
      </c>
    </row>
    <row r="462" spans="1:24" x14ac:dyDescent="0.35">
      <c r="A462" t="s">
        <v>41</v>
      </c>
      <c r="B462" t="s">
        <v>65</v>
      </c>
      <c r="C462" t="s">
        <v>66</v>
      </c>
      <c r="D462" t="s">
        <v>100</v>
      </c>
      <c r="E462" t="s">
        <v>65</v>
      </c>
      <c r="F462">
        <v>7097060</v>
      </c>
      <c r="G462" t="s">
        <v>1559</v>
      </c>
      <c r="H462" t="s">
        <v>68</v>
      </c>
      <c r="I462" t="s">
        <v>69</v>
      </c>
      <c r="J462" t="s">
        <v>226</v>
      </c>
      <c r="K462" t="s">
        <v>7</v>
      </c>
      <c r="L462" t="s">
        <v>148</v>
      </c>
      <c r="M462" t="s">
        <v>46</v>
      </c>
      <c r="N462" t="s">
        <v>47</v>
      </c>
      <c r="O462" t="s">
        <v>1268</v>
      </c>
      <c r="P462" t="s">
        <v>1292</v>
      </c>
      <c r="Q462" t="s">
        <v>46</v>
      </c>
      <c r="R462" t="s">
        <v>47</v>
      </c>
      <c r="S462" t="s">
        <v>46</v>
      </c>
      <c r="T462" t="s">
        <v>46</v>
      </c>
      <c r="U462" s="4">
        <v>-11790.05</v>
      </c>
      <c r="V462" t="str">
        <f t="shared" si="7"/>
        <v>-S04</v>
      </c>
      <c r="W462" t="str">
        <f>VLOOKUP(K462,[1]Info!A$1:B$21,2,0)</f>
        <v>Fornos Retangulares - Engenharia e Obras</v>
      </c>
      <c r="X462" t="str">
        <f>IF(M462="109595132","Material de Limpeza-Não Avaliar",IF(AND(K462="F20",M462&lt;&gt;109595132),IF(RIGHT(F462,2)="70","Infraestrutura de Planta","Prédios e Instalações"),IF(K462="FPC",VLOOKUP(F462,[1]Info!$E$2:$F$11,2,0),IF(K462="FGP",VLOOKUP(F462,[1]Info!$E$9:$F$10,2,0),IF(K462="F10",VLOOKUP(F462,[1]Info!$E$2:$F$3,2,0),VLOOKUP(K462,[1]Info!$A$1:$B$21,2,0))))))</f>
        <v>Fornos Retangulares - Engenharia e Obras</v>
      </c>
    </row>
    <row r="463" spans="1:24" x14ac:dyDescent="0.35">
      <c r="A463" t="s">
        <v>41</v>
      </c>
      <c r="B463" t="s">
        <v>65</v>
      </c>
      <c r="C463" t="s">
        <v>66</v>
      </c>
      <c r="D463" t="s">
        <v>100</v>
      </c>
      <c r="E463" t="s">
        <v>65</v>
      </c>
      <c r="F463">
        <v>7097060</v>
      </c>
      <c r="G463" t="s">
        <v>1559</v>
      </c>
      <c r="H463" t="s">
        <v>68</v>
      </c>
      <c r="I463" t="s">
        <v>69</v>
      </c>
      <c r="J463" t="s">
        <v>226</v>
      </c>
      <c r="K463" t="s">
        <v>6</v>
      </c>
      <c r="L463" t="s">
        <v>59</v>
      </c>
      <c r="M463" t="s">
        <v>46</v>
      </c>
      <c r="N463" t="s">
        <v>47</v>
      </c>
      <c r="O463" t="s">
        <v>1588</v>
      </c>
      <c r="P463" t="s">
        <v>1292</v>
      </c>
      <c r="Q463" t="s">
        <v>46</v>
      </c>
      <c r="R463" t="s">
        <v>47</v>
      </c>
      <c r="S463" t="s">
        <v>46</v>
      </c>
      <c r="T463" t="s">
        <v>46</v>
      </c>
      <c r="U463" s="4">
        <v>-279.05</v>
      </c>
      <c r="V463" t="str">
        <f t="shared" si="7"/>
        <v>0050</v>
      </c>
      <c r="W463" t="str">
        <f>VLOOKUP(K463,[1]Info!A$1:B$21,2,0)</f>
        <v>Equipamentos Carbonização</v>
      </c>
      <c r="X463" t="str">
        <f>IF(M463="109595132","Material de Limpeza-Não Avaliar",IF(AND(K463="F20",M463&lt;&gt;109595132),IF(RIGHT(F463,2)="70","Infraestrutura de Planta","Prédios e Instalações"),IF(K463="FPC",VLOOKUP(F463,[1]Info!$E$2:$F$11,2,0),IF(K463="FGP",VLOOKUP(F463,[1]Info!$E$9:$F$10,2,0),IF(K463="F10",VLOOKUP(F463,[1]Info!$E$2:$F$3,2,0),VLOOKUP(K463,[1]Info!$A$1:$B$21,2,0))))))</f>
        <v>Equipamentos Carbonização</v>
      </c>
    </row>
    <row r="464" spans="1:24" x14ac:dyDescent="0.35">
      <c r="A464" t="s">
        <v>41</v>
      </c>
      <c r="B464" t="s">
        <v>65</v>
      </c>
      <c r="C464" t="s">
        <v>66</v>
      </c>
      <c r="D464" t="s">
        <v>100</v>
      </c>
      <c r="E464" t="s">
        <v>65</v>
      </c>
      <c r="F464">
        <v>7097060</v>
      </c>
      <c r="G464" t="s">
        <v>1559</v>
      </c>
      <c r="H464" t="s">
        <v>68</v>
      </c>
      <c r="I464" t="s">
        <v>69</v>
      </c>
      <c r="J464" t="s">
        <v>226</v>
      </c>
      <c r="K464" t="s">
        <v>6</v>
      </c>
      <c r="L464" t="s">
        <v>51</v>
      </c>
      <c r="M464" t="s">
        <v>46</v>
      </c>
      <c r="N464" t="s">
        <v>47</v>
      </c>
      <c r="O464" t="s">
        <v>1054</v>
      </c>
      <c r="P464" t="s">
        <v>1292</v>
      </c>
      <c r="Q464" t="s">
        <v>46</v>
      </c>
      <c r="R464" t="s">
        <v>47</v>
      </c>
      <c r="S464" t="s">
        <v>46</v>
      </c>
      <c r="T464" t="s">
        <v>46</v>
      </c>
      <c r="U464" s="4">
        <v>-5232.26</v>
      </c>
      <c r="V464" t="str">
        <f t="shared" si="7"/>
        <v>-005</v>
      </c>
      <c r="W464" t="str">
        <f>VLOOKUP(K464,[1]Info!A$1:B$21,2,0)</f>
        <v>Equipamentos Carbonização</v>
      </c>
      <c r="X464" t="str">
        <f>IF(M464="109595132","Material de Limpeza-Não Avaliar",IF(AND(K464="F20",M464&lt;&gt;109595132),IF(RIGHT(F464,2)="70","Infraestrutura de Planta","Prédios e Instalações"),IF(K464="FPC",VLOOKUP(F464,[1]Info!$E$2:$F$11,2,0),IF(K464="FGP",VLOOKUP(F464,[1]Info!$E$9:$F$10,2,0),IF(K464="F10",VLOOKUP(F464,[1]Info!$E$2:$F$3,2,0),VLOOKUP(K464,[1]Info!$A$1:$B$21,2,0))))))</f>
        <v>Equipamentos Carbonização</v>
      </c>
    </row>
    <row r="465" spans="1:24" x14ac:dyDescent="0.35">
      <c r="A465" t="s">
        <v>41</v>
      </c>
      <c r="B465" t="s">
        <v>65</v>
      </c>
      <c r="C465" t="s">
        <v>66</v>
      </c>
      <c r="D465" t="s">
        <v>100</v>
      </c>
      <c r="E465" t="s">
        <v>65</v>
      </c>
      <c r="F465">
        <v>7097060</v>
      </c>
      <c r="G465" t="s">
        <v>1559</v>
      </c>
      <c r="H465" t="s">
        <v>68</v>
      </c>
      <c r="I465" t="s">
        <v>69</v>
      </c>
      <c r="J465" t="s">
        <v>208</v>
      </c>
      <c r="K465" t="s">
        <v>6</v>
      </c>
      <c r="L465" t="s">
        <v>51</v>
      </c>
      <c r="M465" t="s">
        <v>46</v>
      </c>
      <c r="N465" t="s">
        <v>47</v>
      </c>
      <c r="O465" t="s">
        <v>1589</v>
      </c>
      <c r="P465" t="s">
        <v>1292</v>
      </c>
      <c r="Q465" t="s">
        <v>46</v>
      </c>
      <c r="R465" t="s">
        <v>47</v>
      </c>
      <c r="S465" t="s">
        <v>46</v>
      </c>
      <c r="T465" t="s">
        <v>46</v>
      </c>
      <c r="U465" s="4">
        <v>-1185.98</v>
      </c>
      <c r="V465" t="str">
        <f t="shared" si="7"/>
        <v>C001</v>
      </c>
      <c r="W465" t="str">
        <f>VLOOKUP(K465,[1]Info!A$1:B$21,2,0)</f>
        <v>Equipamentos Carbonização</v>
      </c>
      <c r="X465" t="str">
        <f>IF(M465="109595132","Material de Limpeza-Não Avaliar",IF(AND(K465="F20",M465&lt;&gt;109595132),IF(RIGHT(F465,2)="70","Infraestrutura de Planta","Prédios e Instalações"),IF(K465="FPC",VLOOKUP(F465,[1]Info!$E$2:$F$11,2,0),IF(K465="FGP",VLOOKUP(F465,[1]Info!$E$9:$F$10,2,0),IF(K465="F10",VLOOKUP(F465,[1]Info!$E$2:$F$3,2,0),VLOOKUP(K465,[1]Info!$A$1:$B$21,2,0))))))</f>
        <v>Equipamentos Carbonização</v>
      </c>
    </row>
    <row r="466" spans="1:24" x14ac:dyDescent="0.35">
      <c r="A466" t="s">
        <v>41</v>
      </c>
      <c r="B466" t="s">
        <v>65</v>
      </c>
      <c r="C466" t="s">
        <v>66</v>
      </c>
      <c r="D466" t="s">
        <v>100</v>
      </c>
      <c r="E466" t="s">
        <v>65</v>
      </c>
      <c r="F466">
        <v>7097060</v>
      </c>
      <c r="G466" t="s">
        <v>1559</v>
      </c>
      <c r="H466" t="s">
        <v>68</v>
      </c>
      <c r="I466" t="s">
        <v>69</v>
      </c>
      <c r="J466" t="s">
        <v>208</v>
      </c>
      <c r="K466" t="s">
        <v>6</v>
      </c>
      <c r="L466" t="s">
        <v>51</v>
      </c>
      <c r="M466" t="s">
        <v>46</v>
      </c>
      <c r="N466" t="s">
        <v>47</v>
      </c>
      <c r="O466" t="s">
        <v>296</v>
      </c>
      <c r="P466" t="s">
        <v>1292</v>
      </c>
      <c r="Q466" t="s">
        <v>46</v>
      </c>
      <c r="R466" t="s">
        <v>47</v>
      </c>
      <c r="S466" t="s">
        <v>46</v>
      </c>
      <c r="T466" t="s">
        <v>46</v>
      </c>
      <c r="U466" s="4">
        <v>-1465.03</v>
      </c>
      <c r="V466" t="str">
        <f t="shared" si="7"/>
        <v>-005</v>
      </c>
      <c r="W466" t="str">
        <f>VLOOKUP(K466,[1]Info!A$1:B$21,2,0)</f>
        <v>Equipamentos Carbonização</v>
      </c>
      <c r="X466" t="str">
        <f>IF(M466="109595132","Material de Limpeza-Não Avaliar",IF(AND(K466="F20",M466&lt;&gt;109595132),IF(RIGHT(F466,2)="70","Infraestrutura de Planta","Prédios e Instalações"),IF(K466="FPC",VLOOKUP(F466,[1]Info!$E$2:$F$11,2,0),IF(K466="FGP",VLOOKUP(F466,[1]Info!$E$9:$F$10,2,0),IF(K466="F10",VLOOKUP(F466,[1]Info!$E$2:$F$3,2,0),VLOOKUP(K466,[1]Info!$A$1:$B$21,2,0))))))</f>
        <v>Equipamentos Carbonização</v>
      </c>
    </row>
    <row r="467" spans="1:24" x14ac:dyDescent="0.35">
      <c r="A467" t="s">
        <v>41</v>
      </c>
      <c r="B467" t="s">
        <v>65</v>
      </c>
      <c r="C467" t="s">
        <v>66</v>
      </c>
      <c r="D467" t="s">
        <v>100</v>
      </c>
      <c r="E467" t="s">
        <v>65</v>
      </c>
      <c r="F467">
        <v>7097060</v>
      </c>
      <c r="G467" t="s">
        <v>1559</v>
      </c>
      <c r="H467" t="s">
        <v>68</v>
      </c>
      <c r="I467" t="s">
        <v>69</v>
      </c>
      <c r="J467" t="s">
        <v>208</v>
      </c>
      <c r="K467" t="s">
        <v>6</v>
      </c>
      <c r="L467" t="s">
        <v>51</v>
      </c>
      <c r="M467" t="s">
        <v>46</v>
      </c>
      <c r="N467" t="s">
        <v>47</v>
      </c>
      <c r="O467" t="s">
        <v>1295</v>
      </c>
      <c r="P467" t="s">
        <v>1292</v>
      </c>
      <c r="Q467" t="s">
        <v>46</v>
      </c>
      <c r="R467" t="s">
        <v>47</v>
      </c>
      <c r="S467" t="s">
        <v>46</v>
      </c>
      <c r="T467" t="s">
        <v>46</v>
      </c>
      <c r="U467" s="4">
        <v>-1506.9</v>
      </c>
      <c r="V467" t="str">
        <f t="shared" si="7"/>
        <v>-ACE</v>
      </c>
      <c r="W467" t="str">
        <f>VLOOKUP(K467,[1]Info!A$1:B$21,2,0)</f>
        <v>Equipamentos Carbonização</v>
      </c>
      <c r="X467" t="str">
        <f>IF(M467="109595132","Material de Limpeza-Não Avaliar",IF(AND(K467="F20",M467&lt;&gt;109595132),IF(RIGHT(F467,2)="70","Infraestrutura de Planta","Prédios e Instalações"),IF(K467="FPC",VLOOKUP(F467,[1]Info!$E$2:$F$11,2,0),IF(K467="FGP",VLOOKUP(F467,[1]Info!$E$9:$F$10,2,0),IF(K467="F10",VLOOKUP(F467,[1]Info!$E$2:$F$3,2,0),VLOOKUP(K467,[1]Info!$A$1:$B$21,2,0))))))</f>
        <v>Equipamentos Carbonização</v>
      </c>
    </row>
    <row r="468" spans="1:24" x14ac:dyDescent="0.35">
      <c r="A468" t="s">
        <v>41</v>
      </c>
      <c r="B468" t="s">
        <v>65</v>
      </c>
      <c r="C468" t="s">
        <v>66</v>
      </c>
      <c r="D468" t="s">
        <v>100</v>
      </c>
      <c r="E468" t="s">
        <v>65</v>
      </c>
      <c r="F468">
        <v>7097060</v>
      </c>
      <c r="G468" t="s">
        <v>1559</v>
      </c>
      <c r="H468" t="s">
        <v>68</v>
      </c>
      <c r="I468" t="s">
        <v>69</v>
      </c>
      <c r="J468" t="s">
        <v>208</v>
      </c>
      <c r="K468" t="s">
        <v>5</v>
      </c>
      <c r="L468" t="s">
        <v>148</v>
      </c>
      <c r="M468" t="s">
        <v>46</v>
      </c>
      <c r="N468" t="s">
        <v>47</v>
      </c>
      <c r="O468" t="s">
        <v>293</v>
      </c>
      <c r="P468" t="s">
        <v>1292</v>
      </c>
      <c r="Q468" t="s">
        <v>46</v>
      </c>
      <c r="R468" t="s">
        <v>47</v>
      </c>
      <c r="S468" t="s">
        <v>46</v>
      </c>
      <c r="T468" t="s">
        <v>46</v>
      </c>
      <c r="U468" s="4">
        <v>-627.87</v>
      </c>
      <c r="V468" t="str">
        <f t="shared" si="7"/>
        <v>FR19</v>
      </c>
      <c r="W468" t="str">
        <f>VLOOKUP(K468,[1]Info!A$1:B$21,2,0)</f>
        <v>Fornos / Carbonização (Setup)</v>
      </c>
      <c r="X468" t="str">
        <f>IF(M468="109595132","Material de Limpeza-Não Avaliar",IF(AND(K468="F20",M468&lt;&gt;109595132),IF(RIGHT(F468,2)="70","Infraestrutura de Planta","Prédios e Instalações"),IF(K468="FPC",VLOOKUP(F468,[1]Info!$E$2:$F$11,2,0),IF(K468="FGP",VLOOKUP(F468,[1]Info!$E$9:$F$10,2,0),IF(K468="F10",VLOOKUP(F468,[1]Info!$E$2:$F$3,2,0),VLOOKUP(K468,[1]Info!$A$1:$B$21,2,0))))))</f>
        <v>Fornos / Carbonização (Setup)</v>
      </c>
    </row>
    <row r="469" spans="1:24" x14ac:dyDescent="0.35">
      <c r="A469" t="s">
        <v>41</v>
      </c>
      <c r="B469" t="s">
        <v>65</v>
      </c>
      <c r="C469" t="s">
        <v>66</v>
      </c>
      <c r="D469" t="s">
        <v>100</v>
      </c>
      <c r="E469" t="s">
        <v>65</v>
      </c>
      <c r="F469">
        <v>7097060</v>
      </c>
      <c r="G469" t="s">
        <v>1559</v>
      </c>
      <c r="H469" t="s">
        <v>68</v>
      </c>
      <c r="I469" t="s">
        <v>69</v>
      </c>
      <c r="J469" t="s">
        <v>152</v>
      </c>
      <c r="K469" t="s">
        <v>7</v>
      </c>
      <c r="L469" t="s">
        <v>148</v>
      </c>
      <c r="M469" t="s">
        <v>46</v>
      </c>
      <c r="N469" t="s">
        <v>47</v>
      </c>
      <c r="O469" t="s">
        <v>1080</v>
      </c>
      <c r="P469" t="s">
        <v>1292</v>
      </c>
      <c r="Q469" t="s">
        <v>46</v>
      </c>
      <c r="R469" t="s">
        <v>47</v>
      </c>
      <c r="S469" t="s">
        <v>46</v>
      </c>
      <c r="T469" t="s">
        <v>46</v>
      </c>
      <c r="U469" s="4">
        <v>-2162.69</v>
      </c>
      <c r="V469" t="str">
        <f t="shared" si="7"/>
        <v>-030</v>
      </c>
      <c r="W469" t="str">
        <f>VLOOKUP(K469,[1]Info!A$1:B$21,2,0)</f>
        <v>Fornos Retangulares - Engenharia e Obras</v>
      </c>
      <c r="X469" t="str">
        <f>IF(M469="109595132","Material de Limpeza-Não Avaliar",IF(AND(K469="F20",M469&lt;&gt;109595132),IF(RIGHT(F469,2)="70","Infraestrutura de Planta","Prédios e Instalações"),IF(K469="FPC",VLOOKUP(F469,[1]Info!$E$2:$F$11,2,0),IF(K469="FGP",VLOOKUP(F469,[1]Info!$E$9:$F$10,2,0),IF(K469="F10",VLOOKUP(F469,[1]Info!$E$2:$F$3,2,0),VLOOKUP(K469,[1]Info!$A$1:$B$21,2,0))))))</f>
        <v>Fornos Retangulares - Engenharia e Obras</v>
      </c>
    </row>
    <row r="470" spans="1:24" x14ac:dyDescent="0.35">
      <c r="A470" t="s">
        <v>41</v>
      </c>
      <c r="B470" t="s">
        <v>65</v>
      </c>
      <c r="C470" t="s">
        <v>66</v>
      </c>
      <c r="D470" t="s">
        <v>100</v>
      </c>
      <c r="E470" t="s">
        <v>65</v>
      </c>
      <c r="F470">
        <v>7097060</v>
      </c>
      <c r="G470" t="s">
        <v>1559</v>
      </c>
      <c r="H470" t="s">
        <v>68</v>
      </c>
      <c r="I470" t="s">
        <v>69</v>
      </c>
      <c r="J470" t="s">
        <v>152</v>
      </c>
      <c r="K470" t="s">
        <v>7</v>
      </c>
      <c r="L470" t="s">
        <v>148</v>
      </c>
      <c r="M470" t="s">
        <v>46</v>
      </c>
      <c r="N470" t="s">
        <v>47</v>
      </c>
      <c r="O470" t="s">
        <v>1088</v>
      </c>
      <c r="P470" t="s">
        <v>1292</v>
      </c>
      <c r="Q470" t="s">
        <v>46</v>
      </c>
      <c r="R470" t="s">
        <v>47</v>
      </c>
      <c r="S470" t="s">
        <v>46</v>
      </c>
      <c r="T470" t="s">
        <v>46</v>
      </c>
      <c r="U470" s="4">
        <v>-1953.38</v>
      </c>
      <c r="V470" t="str">
        <f t="shared" si="7"/>
        <v>-030</v>
      </c>
      <c r="W470" t="str">
        <f>VLOOKUP(K470,[1]Info!A$1:B$21,2,0)</f>
        <v>Fornos Retangulares - Engenharia e Obras</v>
      </c>
      <c r="X470" t="str">
        <f>IF(M470="109595132","Material de Limpeza-Não Avaliar",IF(AND(K470="F20",M470&lt;&gt;109595132),IF(RIGHT(F470,2)="70","Infraestrutura de Planta","Prédios e Instalações"),IF(K470="FPC",VLOOKUP(F470,[1]Info!$E$2:$F$11,2,0),IF(K470="FGP",VLOOKUP(F470,[1]Info!$E$9:$F$10,2,0),IF(K470="F10",VLOOKUP(F470,[1]Info!$E$2:$F$3,2,0),VLOOKUP(K470,[1]Info!$A$1:$B$21,2,0))))))</f>
        <v>Fornos Retangulares - Engenharia e Obras</v>
      </c>
    </row>
    <row r="471" spans="1:24" x14ac:dyDescent="0.35">
      <c r="A471" t="s">
        <v>41</v>
      </c>
      <c r="B471" t="s">
        <v>65</v>
      </c>
      <c r="C471" t="s">
        <v>66</v>
      </c>
      <c r="D471" t="s">
        <v>100</v>
      </c>
      <c r="E471" t="s">
        <v>65</v>
      </c>
      <c r="F471">
        <v>7097060</v>
      </c>
      <c r="G471" t="s">
        <v>1559</v>
      </c>
      <c r="H471" t="s">
        <v>68</v>
      </c>
      <c r="I471" t="s">
        <v>69</v>
      </c>
      <c r="J471" t="s">
        <v>152</v>
      </c>
      <c r="K471" t="s">
        <v>7</v>
      </c>
      <c r="L471" t="s">
        <v>148</v>
      </c>
      <c r="M471" t="s">
        <v>46</v>
      </c>
      <c r="N471" t="s">
        <v>47</v>
      </c>
      <c r="O471" t="s">
        <v>1085</v>
      </c>
      <c r="P471" t="s">
        <v>1292</v>
      </c>
      <c r="Q471" t="s">
        <v>46</v>
      </c>
      <c r="R471" t="s">
        <v>47</v>
      </c>
      <c r="S471" t="s">
        <v>46</v>
      </c>
      <c r="T471" t="s">
        <v>46</v>
      </c>
      <c r="U471" s="4">
        <v>-1744.1</v>
      </c>
      <c r="V471" t="str">
        <f t="shared" si="7"/>
        <v>-035</v>
      </c>
      <c r="W471" t="str">
        <f>VLOOKUP(K471,[1]Info!A$1:B$21,2,0)</f>
        <v>Fornos Retangulares - Engenharia e Obras</v>
      </c>
      <c r="X471" t="str">
        <f>IF(M471="109595132","Material de Limpeza-Não Avaliar",IF(AND(K471="F20",M471&lt;&gt;109595132),IF(RIGHT(F471,2)="70","Infraestrutura de Planta","Prédios e Instalações"),IF(K471="FPC",VLOOKUP(F471,[1]Info!$E$2:$F$11,2,0),IF(K471="FGP",VLOOKUP(F471,[1]Info!$E$9:$F$10,2,0),IF(K471="F10",VLOOKUP(F471,[1]Info!$E$2:$F$3,2,0),VLOOKUP(K471,[1]Info!$A$1:$B$21,2,0))))))</f>
        <v>Fornos Retangulares - Engenharia e Obras</v>
      </c>
    </row>
    <row r="472" spans="1:24" x14ac:dyDescent="0.35">
      <c r="A472" t="s">
        <v>41</v>
      </c>
      <c r="B472" t="s">
        <v>65</v>
      </c>
      <c r="C472" t="s">
        <v>66</v>
      </c>
      <c r="D472" t="s">
        <v>100</v>
      </c>
      <c r="E472" t="s">
        <v>65</v>
      </c>
      <c r="F472">
        <v>7097060</v>
      </c>
      <c r="G472" t="s">
        <v>1559</v>
      </c>
      <c r="H472" t="s">
        <v>68</v>
      </c>
      <c r="I472" t="s">
        <v>69</v>
      </c>
      <c r="J472" t="s">
        <v>152</v>
      </c>
      <c r="K472" t="s">
        <v>7</v>
      </c>
      <c r="L472" t="s">
        <v>148</v>
      </c>
      <c r="M472" t="s">
        <v>46</v>
      </c>
      <c r="N472" t="s">
        <v>47</v>
      </c>
      <c r="O472" t="s">
        <v>1057</v>
      </c>
      <c r="P472" t="s">
        <v>1292</v>
      </c>
      <c r="Q472" t="s">
        <v>46</v>
      </c>
      <c r="R472" t="s">
        <v>47</v>
      </c>
      <c r="S472" t="s">
        <v>46</v>
      </c>
      <c r="T472" t="s">
        <v>46</v>
      </c>
      <c r="U472" s="4">
        <v>-7980.96</v>
      </c>
      <c r="V472" t="str">
        <f t="shared" si="7"/>
        <v>-030</v>
      </c>
      <c r="W472" t="str">
        <f>VLOOKUP(K472,[1]Info!A$1:B$21,2,0)</f>
        <v>Fornos Retangulares - Engenharia e Obras</v>
      </c>
      <c r="X472" t="str">
        <f>IF(M472="109595132","Material de Limpeza-Não Avaliar",IF(AND(K472="F20",M472&lt;&gt;109595132),IF(RIGHT(F472,2)="70","Infraestrutura de Planta","Prédios e Instalações"),IF(K472="FPC",VLOOKUP(F472,[1]Info!$E$2:$F$11,2,0),IF(K472="FGP",VLOOKUP(F472,[1]Info!$E$9:$F$10,2,0),IF(K472="F10",VLOOKUP(F472,[1]Info!$E$2:$F$3,2,0),VLOOKUP(K472,[1]Info!$A$1:$B$21,2,0))))))</f>
        <v>Fornos Retangulares - Engenharia e Obras</v>
      </c>
    </row>
    <row r="473" spans="1:24" x14ac:dyDescent="0.35">
      <c r="A473" t="s">
        <v>41</v>
      </c>
      <c r="B473" t="s">
        <v>65</v>
      </c>
      <c r="C473" t="s">
        <v>66</v>
      </c>
      <c r="D473" t="s">
        <v>100</v>
      </c>
      <c r="E473" t="s">
        <v>65</v>
      </c>
      <c r="F473">
        <v>7097060</v>
      </c>
      <c r="G473" t="s">
        <v>1559</v>
      </c>
      <c r="H473" t="s">
        <v>68</v>
      </c>
      <c r="I473" t="s">
        <v>69</v>
      </c>
      <c r="J473" t="s">
        <v>152</v>
      </c>
      <c r="K473" t="s">
        <v>7</v>
      </c>
      <c r="L473" t="s">
        <v>148</v>
      </c>
      <c r="M473" t="s">
        <v>46</v>
      </c>
      <c r="N473" t="s">
        <v>47</v>
      </c>
      <c r="O473" t="s">
        <v>153</v>
      </c>
      <c r="P473" t="s">
        <v>1292</v>
      </c>
      <c r="Q473" t="s">
        <v>46</v>
      </c>
      <c r="R473" t="s">
        <v>47</v>
      </c>
      <c r="S473" t="s">
        <v>46</v>
      </c>
      <c r="T473" t="s">
        <v>46</v>
      </c>
      <c r="U473" s="4">
        <v>-1813.85</v>
      </c>
      <c r="V473" t="str">
        <f t="shared" si="7"/>
        <v>FR19</v>
      </c>
      <c r="W473" t="str">
        <f>VLOOKUP(K473,[1]Info!A$1:B$21,2,0)</f>
        <v>Fornos Retangulares - Engenharia e Obras</v>
      </c>
      <c r="X473" t="str">
        <f>IF(M473="109595132","Material de Limpeza-Não Avaliar",IF(AND(K473="F20",M473&lt;&gt;109595132),IF(RIGHT(F473,2)="70","Infraestrutura de Planta","Prédios e Instalações"),IF(K473="FPC",VLOOKUP(F473,[1]Info!$E$2:$F$11,2,0),IF(K473="FGP",VLOOKUP(F473,[1]Info!$E$9:$F$10,2,0),IF(K473="F10",VLOOKUP(F473,[1]Info!$E$2:$F$3,2,0),VLOOKUP(K473,[1]Info!$A$1:$B$21,2,0))))))</f>
        <v>Fornos Retangulares - Engenharia e Obras</v>
      </c>
    </row>
    <row r="474" spans="1:24" x14ac:dyDescent="0.35">
      <c r="A474" t="s">
        <v>41</v>
      </c>
      <c r="B474" t="s">
        <v>65</v>
      </c>
      <c r="C474" t="s">
        <v>66</v>
      </c>
      <c r="D474" t="s">
        <v>100</v>
      </c>
      <c r="E474" t="s">
        <v>65</v>
      </c>
      <c r="F474">
        <v>7097060</v>
      </c>
      <c r="G474" t="s">
        <v>1559</v>
      </c>
      <c r="H474" t="s">
        <v>68</v>
      </c>
      <c r="I474" t="s">
        <v>69</v>
      </c>
      <c r="J474" t="s">
        <v>152</v>
      </c>
      <c r="K474" t="s">
        <v>6</v>
      </c>
      <c r="L474" t="s">
        <v>51</v>
      </c>
      <c r="M474" t="s">
        <v>46</v>
      </c>
      <c r="N474" t="s">
        <v>47</v>
      </c>
      <c r="O474" t="s">
        <v>1590</v>
      </c>
      <c r="P474" t="s">
        <v>1292</v>
      </c>
      <c r="Q474" t="s">
        <v>46</v>
      </c>
      <c r="R474" t="s">
        <v>47</v>
      </c>
      <c r="S474" t="s">
        <v>46</v>
      </c>
      <c r="T474" t="s">
        <v>46</v>
      </c>
      <c r="U474" s="4">
        <v>-1255.74</v>
      </c>
      <c r="V474" t="str">
        <f t="shared" si="7"/>
        <v>EP19</v>
      </c>
      <c r="W474" t="str">
        <f>VLOOKUP(K474,[1]Info!A$1:B$21,2,0)</f>
        <v>Equipamentos Carbonização</v>
      </c>
      <c r="X474" t="str">
        <f>IF(M474="109595132","Material de Limpeza-Não Avaliar",IF(AND(K474="F20",M474&lt;&gt;109595132),IF(RIGHT(F474,2)="70","Infraestrutura de Planta","Prédios e Instalações"),IF(K474="FPC",VLOOKUP(F474,[1]Info!$E$2:$F$11,2,0),IF(K474="FGP",VLOOKUP(F474,[1]Info!$E$9:$F$10,2,0),IF(K474="F10",VLOOKUP(F474,[1]Info!$E$2:$F$3,2,0),VLOOKUP(K474,[1]Info!$A$1:$B$21,2,0))))))</f>
        <v>Equipamentos Carbonização</v>
      </c>
    </row>
    <row r="475" spans="1:24" x14ac:dyDescent="0.35">
      <c r="A475" t="s">
        <v>41</v>
      </c>
      <c r="B475" t="s">
        <v>65</v>
      </c>
      <c r="C475" t="s">
        <v>66</v>
      </c>
      <c r="D475" t="s">
        <v>100</v>
      </c>
      <c r="E475" t="s">
        <v>65</v>
      </c>
      <c r="F475">
        <v>7097060</v>
      </c>
      <c r="G475" t="s">
        <v>1559</v>
      </c>
      <c r="H475" t="s">
        <v>68</v>
      </c>
      <c r="I475" t="s">
        <v>69</v>
      </c>
      <c r="J475" t="s">
        <v>152</v>
      </c>
      <c r="K475" t="s">
        <v>6</v>
      </c>
      <c r="L475" t="s">
        <v>51</v>
      </c>
      <c r="M475" t="s">
        <v>46</v>
      </c>
      <c r="N475" t="s">
        <v>47</v>
      </c>
      <c r="O475" t="s">
        <v>1063</v>
      </c>
      <c r="P475" t="s">
        <v>1292</v>
      </c>
      <c r="Q475" t="s">
        <v>46</v>
      </c>
      <c r="R475" t="s">
        <v>47</v>
      </c>
      <c r="S475" t="s">
        <v>46</v>
      </c>
      <c r="T475" t="s">
        <v>46</v>
      </c>
      <c r="U475" s="4">
        <v>-837.16</v>
      </c>
      <c r="V475" t="str">
        <f t="shared" si="7"/>
        <v>EP39</v>
      </c>
      <c r="W475" t="str">
        <f>VLOOKUP(K475,[1]Info!A$1:B$21,2,0)</f>
        <v>Equipamentos Carbonização</v>
      </c>
      <c r="X475" t="str">
        <f>IF(M475="109595132","Material de Limpeza-Não Avaliar",IF(AND(K475="F20",M475&lt;&gt;109595132),IF(RIGHT(F475,2)="70","Infraestrutura de Planta","Prédios e Instalações"),IF(K475="FPC",VLOOKUP(F475,[1]Info!$E$2:$F$11,2,0),IF(K475="FGP",VLOOKUP(F475,[1]Info!$E$9:$F$10,2,0),IF(K475="F10",VLOOKUP(F475,[1]Info!$E$2:$F$3,2,0),VLOOKUP(K475,[1]Info!$A$1:$B$21,2,0))))))</f>
        <v>Equipamentos Carbonização</v>
      </c>
    </row>
    <row r="476" spans="1:24" x14ac:dyDescent="0.35">
      <c r="A476" t="s">
        <v>41</v>
      </c>
      <c r="B476" t="s">
        <v>65</v>
      </c>
      <c r="C476" t="s">
        <v>66</v>
      </c>
      <c r="D476" t="s">
        <v>100</v>
      </c>
      <c r="E476" t="s">
        <v>65</v>
      </c>
      <c r="F476">
        <v>7097060</v>
      </c>
      <c r="G476" t="s">
        <v>1559</v>
      </c>
      <c r="H476" t="s">
        <v>68</v>
      </c>
      <c r="I476" t="s">
        <v>69</v>
      </c>
      <c r="J476" t="s">
        <v>1274</v>
      </c>
      <c r="K476" t="s">
        <v>6</v>
      </c>
      <c r="L476" t="s">
        <v>62</v>
      </c>
      <c r="M476" t="s">
        <v>46</v>
      </c>
      <c r="N476" t="s">
        <v>47</v>
      </c>
      <c r="O476" t="s">
        <v>1591</v>
      </c>
      <c r="P476" t="s">
        <v>1292</v>
      </c>
      <c r="Q476" t="s">
        <v>46</v>
      </c>
      <c r="R476" t="s">
        <v>47</v>
      </c>
      <c r="S476" t="s">
        <v>46</v>
      </c>
      <c r="T476" t="s">
        <v>46</v>
      </c>
      <c r="U476" s="4">
        <v>-418.58</v>
      </c>
      <c r="V476" t="str">
        <f t="shared" si="7"/>
        <v>BALD</v>
      </c>
      <c r="W476" t="str">
        <f>VLOOKUP(K476,[1]Info!A$1:B$21,2,0)</f>
        <v>Equipamentos Carbonização</v>
      </c>
      <c r="X476" t="str">
        <f>IF(M476="109595132","Material de Limpeza-Não Avaliar",IF(AND(K476="F20",M476&lt;&gt;109595132),IF(RIGHT(F476,2)="70","Infraestrutura de Planta","Prédios e Instalações"),IF(K476="FPC",VLOOKUP(F476,[1]Info!$E$2:$F$11,2,0),IF(K476="FGP",VLOOKUP(F476,[1]Info!$E$9:$F$10,2,0),IF(K476="F10",VLOOKUP(F476,[1]Info!$E$2:$F$3,2,0),VLOOKUP(K476,[1]Info!$A$1:$B$21,2,0))))))</f>
        <v>Equipamentos Carbonização</v>
      </c>
    </row>
    <row r="477" spans="1:24" x14ac:dyDescent="0.35">
      <c r="A477" t="s">
        <v>41</v>
      </c>
      <c r="B477" t="s">
        <v>65</v>
      </c>
      <c r="C477" t="s">
        <v>66</v>
      </c>
      <c r="D477" t="s">
        <v>100</v>
      </c>
      <c r="E477" t="s">
        <v>65</v>
      </c>
      <c r="F477">
        <v>7097060</v>
      </c>
      <c r="G477" t="s">
        <v>1559</v>
      </c>
      <c r="H477" t="s">
        <v>68</v>
      </c>
      <c r="I477" t="s">
        <v>69</v>
      </c>
      <c r="J477" t="s">
        <v>1274</v>
      </c>
      <c r="K477" t="s">
        <v>6</v>
      </c>
      <c r="L477" t="s">
        <v>51</v>
      </c>
      <c r="M477" t="s">
        <v>46</v>
      </c>
      <c r="N477" t="s">
        <v>47</v>
      </c>
      <c r="O477" t="s">
        <v>1592</v>
      </c>
      <c r="P477" t="s">
        <v>1292</v>
      </c>
      <c r="Q477" t="s">
        <v>46</v>
      </c>
      <c r="R477" t="s">
        <v>47</v>
      </c>
      <c r="S477" t="s">
        <v>46</v>
      </c>
      <c r="T477" t="s">
        <v>46</v>
      </c>
      <c r="U477" s="4">
        <v>-1325.51</v>
      </c>
      <c r="V477" t="str">
        <f t="shared" si="7"/>
        <v>EP39</v>
      </c>
      <c r="W477" t="str">
        <f>VLOOKUP(K477,[1]Info!A$1:B$21,2,0)</f>
        <v>Equipamentos Carbonização</v>
      </c>
      <c r="X477" t="str">
        <f>IF(M477="109595132","Material de Limpeza-Não Avaliar",IF(AND(K477="F20",M477&lt;&gt;109595132),IF(RIGHT(F477,2)="70","Infraestrutura de Planta","Prédios e Instalações"),IF(K477="FPC",VLOOKUP(F477,[1]Info!$E$2:$F$11,2,0),IF(K477="FGP",VLOOKUP(F477,[1]Info!$E$9:$F$10,2,0),IF(K477="F10",VLOOKUP(F477,[1]Info!$E$2:$F$3,2,0),VLOOKUP(K477,[1]Info!$A$1:$B$21,2,0))))))</f>
        <v>Equipamentos Carbonização</v>
      </c>
    </row>
    <row r="478" spans="1:24" x14ac:dyDescent="0.35">
      <c r="A478" t="s">
        <v>41</v>
      </c>
      <c r="B478" t="s">
        <v>65</v>
      </c>
      <c r="C478" t="s">
        <v>66</v>
      </c>
      <c r="D478" t="s">
        <v>100</v>
      </c>
      <c r="E478" t="s">
        <v>65</v>
      </c>
      <c r="F478">
        <v>7097052</v>
      </c>
      <c r="G478" t="s">
        <v>215</v>
      </c>
      <c r="H478" t="s">
        <v>68</v>
      </c>
      <c r="I478" t="s">
        <v>69</v>
      </c>
      <c r="J478" t="s">
        <v>50</v>
      </c>
      <c r="K478" t="s">
        <v>16</v>
      </c>
      <c r="L478" t="s">
        <v>51</v>
      </c>
      <c r="M478" t="s">
        <v>46</v>
      </c>
      <c r="N478" t="s">
        <v>47</v>
      </c>
      <c r="O478" t="s">
        <v>1148</v>
      </c>
      <c r="P478" t="s">
        <v>1292</v>
      </c>
      <c r="Q478" t="s">
        <v>46</v>
      </c>
      <c r="R478" t="s">
        <v>47</v>
      </c>
      <c r="S478" t="s">
        <v>46</v>
      </c>
      <c r="T478" t="s">
        <v>46</v>
      </c>
      <c r="U478" s="4">
        <v>-2155.1999999999998</v>
      </c>
      <c r="V478" t="str">
        <f t="shared" si="7"/>
        <v>TP22</v>
      </c>
      <c r="W478" t="str">
        <f>VLOOKUP(K478,[1]Info!A$1:B$21,2,0)</f>
        <v>Trator Pneu</v>
      </c>
      <c r="X478" t="str">
        <f>IF(M478="109595132","Material de Limpeza-Não Avaliar",IF(AND(K478="F20",M478&lt;&gt;109595132),IF(RIGHT(F478,2)="70","Infraestrutura de Planta","Prédios e Instalações"),IF(K478="FPC",VLOOKUP(F478,[1]Info!$E$2:$F$11,2,0),IF(K478="FGP",VLOOKUP(F478,[1]Info!$E$9:$F$10,2,0),IF(K478="F10",VLOOKUP(F478,[1]Info!$E$2:$F$3,2,0),VLOOKUP(K478,[1]Info!$A$1:$B$21,2,0))))))</f>
        <v>Trator Pneu</v>
      </c>
    </row>
    <row r="479" spans="1:24" x14ac:dyDescent="0.35">
      <c r="A479" t="s">
        <v>41</v>
      </c>
      <c r="B479" t="s">
        <v>65</v>
      </c>
      <c r="C479" t="s">
        <v>66</v>
      </c>
      <c r="D479" t="s">
        <v>100</v>
      </c>
      <c r="E479" t="s">
        <v>65</v>
      </c>
      <c r="F479">
        <v>7097052</v>
      </c>
      <c r="G479" t="s">
        <v>215</v>
      </c>
      <c r="H479" t="s">
        <v>68</v>
      </c>
      <c r="I479" t="s">
        <v>69</v>
      </c>
      <c r="J479" t="s">
        <v>50</v>
      </c>
      <c r="K479" t="s">
        <v>16</v>
      </c>
      <c r="L479" t="s">
        <v>51</v>
      </c>
      <c r="M479" t="s">
        <v>46</v>
      </c>
      <c r="N479" t="s">
        <v>47</v>
      </c>
      <c r="O479" t="s">
        <v>277</v>
      </c>
      <c r="P479" t="s">
        <v>1292</v>
      </c>
      <c r="Q479" t="s">
        <v>46</v>
      </c>
      <c r="R479" t="s">
        <v>47</v>
      </c>
      <c r="S479" t="s">
        <v>46</v>
      </c>
      <c r="T479" t="s">
        <v>46</v>
      </c>
      <c r="U479" s="4">
        <v>-4506.34</v>
      </c>
      <c r="V479" t="str">
        <f t="shared" si="7"/>
        <v>TP23</v>
      </c>
      <c r="W479" t="str">
        <f>VLOOKUP(K479,[1]Info!A$1:B$21,2,0)</f>
        <v>Trator Pneu</v>
      </c>
      <c r="X479" t="str">
        <f>IF(M479="109595132","Material de Limpeza-Não Avaliar",IF(AND(K479="F20",M479&lt;&gt;109595132),IF(RIGHT(F479,2)="70","Infraestrutura de Planta","Prédios e Instalações"),IF(K479="FPC",VLOOKUP(F479,[1]Info!$E$2:$F$11,2,0),IF(K479="FGP",VLOOKUP(F479,[1]Info!$E$9:$F$10,2,0),IF(K479="F10",VLOOKUP(F479,[1]Info!$E$2:$F$3,2,0),VLOOKUP(K479,[1]Info!$A$1:$B$21,2,0))))))</f>
        <v>Trator Pneu</v>
      </c>
    </row>
    <row r="480" spans="1:24" x14ac:dyDescent="0.35">
      <c r="A480" t="s">
        <v>41</v>
      </c>
      <c r="B480" t="s">
        <v>65</v>
      </c>
      <c r="C480" t="s">
        <v>66</v>
      </c>
      <c r="D480" t="s">
        <v>100</v>
      </c>
      <c r="E480" t="s">
        <v>65</v>
      </c>
      <c r="F480">
        <v>7097052</v>
      </c>
      <c r="G480" t="s">
        <v>215</v>
      </c>
      <c r="H480" t="s">
        <v>68</v>
      </c>
      <c r="I480" t="s">
        <v>69</v>
      </c>
      <c r="J480" t="s">
        <v>50</v>
      </c>
      <c r="K480" t="s">
        <v>16</v>
      </c>
      <c r="L480" t="s">
        <v>51</v>
      </c>
      <c r="M480" t="s">
        <v>46</v>
      </c>
      <c r="N480" t="s">
        <v>47</v>
      </c>
      <c r="O480" t="s">
        <v>1155</v>
      </c>
      <c r="P480" t="s">
        <v>1292</v>
      </c>
      <c r="Q480" t="s">
        <v>46</v>
      </c>
      <c r="R480" t="s">
        <v>47</v>
      </c>
      <c r="S480" t="s">
        <v>46</v>
      </c>
      <c r="T480" t="s">
        <v>46</v>
      </c>
      <c r="U480" s="4">
        <v>-10580.13</v>
      </c>
      <c r="V480" t="str">
        <f t="shared" si="7"/>
        <v>TP24</v>
      </c>
      <c r="W480" t="str">
        <f>VLOOKUP(K480,[1]Info!A$1:B$21,2,0)</f>
        <v>Trator Pneu</v>
      </c>
      <c r="X480" t="str">
        <f>IF(M480="109595132","Material de Limpeza-Não Avaliar",IF(AND(K480="F20",M480&lt;&gt;109595132),IF(RIGHT(F480,2)="70","Infraestrutura de Planta","Prédios e Instalações"),IF(K480="FPC",VLOOKUP(F480,[1]Info!$E$2:$F$11,2,0),IF(K480="FGP",VLOOKUP(F480,[1]Info!$E$9:$F$10,2,0),IF(K480="F10",VLOOKUP(F480,[1]Info!$E$2:$F$3,2,0),VLOOKUP(K480,[1]Info!$A$1:$B$21,2,0))))))</f>
        <v>Trator Pneu</v>
      </c>
    </row>
    <row r="481" spans="1:24" x14ac:dyDescent="0.35">
      <c r="A481" t="s">
        <v>41</v>
      </c>
      <c r="B481" t="s">
        <v>65</v>
      </c>
      <c r="C481" t="s">
        <v>66</v>
      </c>
      <c r="D481" t="s">
        <v>100</v>
      </c>
      <c r="E481" t="s">
        <v>65</v>
      </c>
      <c r="F481">
        <v>7097052</v>
      </c>
      <c r="G481" t="s">
        <v>215</v>
      </c>
      <c r="H481" t="s">
        <v>68</v>
      </c>
      <c r="I481" t="s">
        <v>69</v>
      </c>
      <c r="J481" t="s">
        <v>50</v>
      </c>
      <c r="K481" t="s">
        <v>16</v>
      </c>
      <c r="L481" t="s">
        <v>51</v>
      </c>
      <c r="M481" t="s">
        <v>46</v>
      </c>
      <c r="N481" t="s">
        <v>47</v>
      </c>
      <c r="O481" t="s">
        <v>76</v>
      </c>
      <c r="P481" t="s">
        <v>1292</v>
      </c>
      <c r="Q481" t="s">
        <v>46</v>
      </c>
      <c r="R481" t="s">
        <v>47</v>
      </c>
      <c r="S481" t="s">
        <v>46</v>
      </c>
      <c r="T481" t="s">
        <v>46</v>
      </c>
      <c r="U481" s="4">
        <v>-4956.99</v>
      </c>
      <c r="V481" t="str">
        <f t="shared" si="7"/>
        <v>TP25</v>
      </c>
      <c r="W481" t="str">
        <f>VLOOKUP(K481,[1]Info!A$1:B$21,2,0)</f>
        <v>Trator Pneu</v>
      </c>
      <c r="X481" t="str">
        <f>IF(M481="109595132","Material de Limpeza-Não Avaliar",IF(AND(K481="F20",M481&lt;&gt;109595132),IF(RIGHT(F481,2)="70","Infraestrutura de Planta","Prédios e Instalações"),IF(K481="FPC",VLOOKUP(F481,[1]Info!$E$2:$F$11,2,0),IF(K481="FGP",VLOOKUP(F481,[1]Info!$E$9:$F$10,2,0),IF(K481="F10",VLOOKUP(F481,[1]Info!$E$2:$F$3,2,0),VLOOKUP(K481,[1]Info!$A$1:$B$21,2,0))))))</f>
        <v>Trator Pneu</v>
      </c>
    </row>
    <row r="482" spans="1:24" x14ac:dyDescent="0.35">
      <c r="A482" t="s">
        <v>41</v>
      </c>
      <c r="B482" t="s">
        <v>65</v>
      </c>
      <c r="C482" t="s">
        <v>66</v>
      </c>
      <c r="D482" t="s">
        <v>100</v>
      </c>
      <c r="E482" t="s">
        <v>65</v>
      </c>
      <c r="F482">
        <v>7097052</v>
      </c>
      <c r="G482" t="s">
        <v>215</v>
      </c>
      <c r="H482" t="s">
        <v>68</v>
      </c>
      <c r="I482" t="s">
        <v>69</v>
      </c>
      <c r="J482" t="s">
        <v>50</v>
      </c>
      <c r="K482" t="s">
        <v>16</v>
      </c>
      <c r="L482" t="s">
        <v>51</v>
      </c>
      <c r="M482" t="s">
        <v>46</v>
      </c>
      <c r="N482" t="s">
        <v>47</v>
      </c>
      <c r="O482" t="s">
        <v>910</v>
      </c>
      <c r="P482" t="s">
        <v>1292</v>
      </c>
      <c r="Q482" t="s">
        <v>46</v>
      </c>
      <c r="R482" t="s">
        <v>47</v>
      </c>
      <c r="S482" t="s">
        <v>46</v>
      </c>
      <c r="T482" t="s">
        <v>46</v>
      </c>
      <c r="U482" s="4">
        <v>-7876.3</v>
      </c>
      <c r="V482" t="str">
        <f t="shared" si="7"/>
        <v>TP26</v>
      </c>
      <c r="W482" t="str">
        <f>VLOOKUP(K482,[1]Info!A$1:B$21,2,0)</f>
        <v>Trator Pneu</v>
      </c>
      <c r="X482" t="str">
        <f>IF(M482="109595132","Material de Limpeza-Não Avaliar",IF(AND(K482="F20",M482&lt;&gt;109595132),IF(RIGHT(F482,2)="70","Infraestrutura de Planta","Prédios e Instalações"),IF(K482="FPC",VLOOKUP(F482,[1]Info!$E$2:$F$11,2,0),IF(K482="FGP",VLOOKUP(F482,[1]Info!$E$9:$F$10,2,0),IF(K482="F10",VLOOKUP(F482,[1]Info!$E$2:$F$3,2,0),VLOOKUP(K482,[1]Info!$A$1:$B$21,2,0))))))</f>
        <v>Trator Pneu</v>
      </c>
    </row>
    <row r="483" spans="1:24" x14ac:dyDescent="0.35">
      <c r="A483" t="s">
        <v>41</v>
      </c>
      <c r="B483" t="s">
        <v>65</v>
      </c>
      <c r="C483" t="s">
        <v>66</v>
      </c>
      <c r="D483" t="s">
        <v>100</v>
      </c>
      <c r="E483" t="s">
        <v>65</v>
      </c>
      <c r="F483">
        <v>7097052</v>
      </c>
      <c r="G483" t="s">
        <v>215</v>
      </c>
      <c r="H483" t="s">
        <v>68</v>
      </c>
      <c r="I483" t="s">
        <v>69</v>
      </c>
      <c r="J483" t="s">
        <v>50</v>
      </c>
      <c r="K483" t="s">
        <v>16</v>
      </c>
      <c r="L483" t="s">
        <v>51</v>
      </c>
      <c r="M483" t="s">
        <v>46</v>
      </c>
      <c r="N483" t="s">
        <v>47</v>
      </c>
      <c r="O483" t="s">
        <v>284</v>
      </c>
      <c r="P483" t="s">
        <v>1292</v>
      </c>
      <c r="Q483" t="s">
        <v>46</v>
      </c>
      <c r="R483" t="s">
        <v>47</v>
      </c>
      <c r="S483" t="s">
        <v>46</v>
      </c>
      <c r="T483" t="s">
        <v>46</v>
      </c>
      <c r="U483" s="4">
        <v>-1959.28</v>
      </c>
      <c r="V483" t="str">
        <f t="shared" si="7"/>
        <v>TP27</v>
      </c>
      <c r="W483" t="str">
        <f>VLOOKUP(K483,[1]Info!A$1:B$21,2,0)</f>
        <v>Trator Pneu</v>
      </c>
      <c r="X483" t="str">
        <f>IF(M483="109595132","Material de Limpeza-Não Avaliar",IF(AND(K483="F20",M483&lt;&gt;109595132),IF(RIGHT(F483,2)="70","Infraestrutura de Planta","Prédios e Instalações"),IF(K483="FPC",VLOOKUP(F483,[1]Info!$E$2:$F$11,2,0),IF(K483="FGP",VLOOKUP(F483,[1]Info!$E$9:$F$10,2,0),IF(K483="F10",VLOOKUP(F483,[1]Info!$E$2:$F$3,2,0),VLOOKUP(K483,[1]Info!$A$1:$B$21,2,0))))))</f>
        <v>Trator Pneu</v>
      </c>
    </row>
    <row r="484" spans="1:24" x14ac:dyDescent="0.35">
      <c r="A484" t="s">
        <v>41</v>
      </c>
      <c r="B484" t="s">
        <v>65</v>
      </c>
      <c r="C484" t="s">
        <v>66</v>
      </c>
      <c r="D484" t="s">
        <v>100</v>
      </c>
      <c r="E484" t="s">
        <v>65</v>
      </c>
      <c r="F484">
        <v>7097052</v>
      </c>
      <c r="G484" t="s">
        <v>215</v>
      </c>
      <c r="H484" t="s">
        <v>68</v>
      </c>
      <c r="I484" t="s">
        <v>69</v>
      </c>
      <c r="J484" t="s">
        <v>50</v>
      </c>
      <c r="K484" t="s">
        <v>16</v>
      </c>
      <c r="L484" t="s">
        <v>51</v>
      </c>
      <c r="M484" t="s">
        <v>46</v>
      </c>
      <c r="N484" t="s">
        <v>47</v>
      </c>
      <c r="O484" t="s">
        <v>285</v>
      </c>
      <c r="P484" t="s">
        <v>1292</v>
      </c>
      <c r="Q484" t="s">
        <v>46</v>
      </c>
      <c r="R484" t="s">
        <v>47</v>
      </c>
      <c r="S484" t="s">
        <v>46</v>
      </c>
      <c r="T484" t="s">
        <v>46</v>
      </c>
      <c r="U484" s="4">
        <v>-587.78</v>
      </c>
      <c r="V484" t="str">
        <f t="shared" si="7"/>
        <v>TP29</v>
      </c>
      <c r="W484" t="str">
        <f>VLOOKUP(K484,[1]Info!A$1:B$21,2,0)</f>
        <v>Trator Pneu</v>
      </c>
      <c r="X484" t="str">
        <f>IF(M484="109595132","Material de Limpeza-Não Avaliar",IF(AND(K484="F20",M484&lt;&gt;109595132),IF(RIGHT(F484,2)="70","Infraestrutura de Planta","Prédios e Instalações"),IF(K484="FPC",VLOOKUP(F484,[1]Info!$E$2:$F$11,2,0),IF(K484="FGP",VLOOKUP(F484,[1]Info!$E$9:$F$10,2,0),IF(K484="F10",VLOOKUP(F484,[1]Info!$E$2:$F$3,2,0),VLOOKUP(K484,[1]Info!$A$1:$B$21,2,0))))))</f>
        <v>Trator Pneu</v>
      </c>
    </row>
    <row r="485" spans="1:24" x14ac:dyDescent="0.35">
      <c r="A485" t="s">
        <v>41</v>
      </c>
      <c r="B485" t="s">
        <v>65</v>
      </c>
      <c r="C485" t="s">
        <v>66</v>
      </c>
      <c r="D485" t="s">
        <v>100</v>
      </c>
      <c r="E485" t="s">
        <v>65</v>
      </c>
      <c r="F485">
        <v>7097052</v>
      </c>
      <c r="G485" t="s">
        <v>215</v>
      </c>
      <c r="H485" t="s">
        <v>68</v>
      </c>
      <c r="I485" t="s">
        <v>69</v>
      </c>
      <c r="J485" t="s">
        <v>50</v>
      </c>
      <c r="K485" t="s">
        <v>16</v>
      </c>
      <c r="L485" t="s">
        <v>51</v>
      </c>
      <c r="M485" t="s">
        <v>46</v>
      </c>
      <c r="N485" t="s">
        <v>47</v>
      </c>
      <c r="O485" t="s">
        <v>886</v>
      </c>
      <c r="P485" t="s">
        <v>1292</v>
      </c>
      <c r="Q485" t="s">
        <v>46</v>
      </c>
      <c r="R485" t="s">
        <v>47</v>
      </c>
      <c r="S485" t="s">
        <v>46</v>
      </c>
      <c r="T485" t="s">
        <v>46</v>
      </c>
      <c r="U485" s="4">
        <v>-12206.31</v>
      </c>
      <c r="V485" t="str">
        <f t="shared" si="7"/>
        <v>TP30</v>
      </c>
      <c r="W485" t="str">
        <f>VLOOKUP(K485,[1]Info!A$1:B$21,2,0)</f>
        <v>Trator Pneu</v>
      </c>
      <c r="X485" t="str">
        <f>IF(M485="109595132","Material de Limpeza-Não Avaliar",IF(AND(K485="F20",M485&lt;&gt;109595132),IF(RIGHT(F485,2)="70","Infraestrutura de Planta","Prédios e Instalações"),IF(K485="FPC",VLOOKUP(F485,[1]Info!$E$2:$F$11,2,0),IF(K485="FGP",VLOOKUP(F485,[1]Info!$E$9:$F$10,2,0),IF(K485="F10",VLOOKUP(F485,[1]Info!$E$2:$F$3,2,0),VLOOKUP(K485,[1]Info!$A$1:$B$21,2,0))))))</f>
        <v>Trator Pneu</v>
      </c>
    </row>
    <row r="486" spans="1:24" x14ac:dyDescent="0.35">
      <c r="A486" t="s">
        <v>41</v>
      </c>
      <c r="B486" t="s">
        <v>65</v>
      </c>
      <c r="C486" t="s">
        <v>66</v>
      </c>
      <c r="D486" t="s">
        <v>100</v>
      </c>
      <c r="E486" t="s">
        <v>65</v>
      </c>
      <c r="F486">
        <v>7097052</v>
      </c>
      <c r="G486" t="s">
        <v>215</v>
      </c>
      <c r="H486" t="s">
        <v>68</v>
      </c>
      <c r="I486" t="s">
        <v>69</v>
      </c>
      <c r="J486" t="s">
        <v>50</v>
      </c>
      <c r="K486" t="s">
        <v>16</v>
      </c>
      <c r="L486" t="s">
        <v>51</v>
      </c>
      <c r="M486" t="s">
        <v>46</v>
      </c>
      <c r="N486" t="s">
        <v>47</v>
      </c>
      <c r="O486" t="s">
        <v>864</v>
      </c>
      <c r="P486" t="s">
        <v>1292</v>
      </c>
      <c r="Q486" t="s">
        <v>46</v>
      </c>
      <c r="R486" t="s">
        <v>47</v>
      </c>
      <c r="S486" t="s">
        <v>46</v>
      </c>
      <c r="T486" t="s">
        <v>46</v>
      </c>
      <c r="U486" s="4">
        <v>-1175.56</v>
      </c>
      <c r="V486" t="str">
        <f t="shared" si="7"/>
        <v>TP31</v>
      </c>
      <c r="W486" t="str">
        <f>VLOOKUP(K486,[1]Info!A$1:B$21,2,0)</f>
        <v>Trator Pneu</v>
      </c>
      <c r="X486" t="str">
        <f>IF(M486="109595132","Material de Limpeza-Não Avaliar",IF(AND(K486="F20",M486&lt;&gt;109595132),IF(RIGHT(F486,2)="70","Infraestrutura de Planta","Prédios e Instalações"),IF(K486="FPC",VLOOKUP(F486,[1]Info!$E$2:$F$11,2,0),IF(K486="FGP",VLOOKUP(F486,[1]Info!$E$9:$F$10,2,0),IF(K486="F10",VLOOKUP(F486,[1]Info!$E$2:$F$3,2,0),VLOOKUP(K486,[1]Info!$A$1:$B$21,2,0))))))</f>
        <v>Trator Pneu</v>
      </c>
    </row>
    <row r="487" spans="1:24" x14ac:dyDescent="0.35">
      <c r="A487" t="s">
        <v>41</v>
      </c>
      <c r="B487" t="s">
        <v>65</v>
      </c>
      <c r="C487" t="s">
        <v>66</v>
      </c>
      <c r="D487" t="s">
        <v>100</v>
      </c>
      <c r="E487" t="s">
        <v>65</v>
      </c>
      <c r="F487">
        <v>7097052</v>
      </c>
      <c r="G487" t="s">
        <v>215</v>
      </c>
      <c r="H487" t="s">
        <v>68</v>
      </c>
      <c r="I487" t="s">
        <v>69</v>
      </c>
      <c r="J487" t="s">
        <v>50</v>
      </c>
      <c r="K487" t="s">
        <v>16</v>
      </c>
      <c r="L487" t="s">
        <v>51</v>
      </c>
      <c r="M487" t="s">
        <v>46</v>
      </c>
      <c r="N487" t="s">
        <v>47</v>
      </c>
      <c r="O487" t="s">
        <v>227</v>
      </c>
      <c r="P487" t="s">
        <v>1292</v>
      </c>
      <c r="Q487" t="s">
        <v>46</v>
      </c>
      <c r="R487" t="s">
        <v>47</v>
      </c>
      <c r="S487" t="s">
        <v>46</v>
      </c>
      <c r="T487" t="s">
        <v>46</v>
      </c>
      <c r="U487" s="4">
        <v>-2057.25</v>
      </c>
      <c r="V487" t="str">
        <f t="shared" si="7"/>
        <v>TP32</v>
      </c>
      <c r="W487" t="str">
        <f>VLOOKUP(K487,[1]Info!A$1:B$21,2,0)</f>
        <v>Trator Pneu</v>
      </c>
      <c r="X487" t="str">
        <f>IF(M487="109595132","Material de Limpeza-Não Avaliar",IF(AND(K487="F20",M487&lt;&gt;109595132),IF(RIGHT(F487,2)="70","Infraestrutura de Planta","Prédios e Instalações"),IF(K487="FPC",VLOOKUP(F487,[1]Info!$E$2:$F$11,2,0),IF(K487="FGP",VLOOKUP(F487,[1]Info!$E$9:$F$10,2,0),IF(K487="F10",VLOOKUP(F487,[1]Info!$E$2:$F$3,2,0),VLOOKUP(K487,[1]Info!$A$1:$B$21,2,0))))))</f>
        <v>Trator Pneu</v>
      </c>
    </row>
    <row r="488" spans="1:24" x14ac:dyDescent="0.35">
      <c r="A488" t="s">
        <v>41</v>
      </c>
      <c r="B488" t="s">
        <v>65</v>
      </c>
      <c r="C488" t="s">
        <v>66</v>
      </c>
      <c r="D488" t="s">
        <v>100</v>
      </c>
      <c r="E488" t="s">
        <v>65</v>
      </c>
      <c r="F488">
        <v>7097052</v>
      </c>
      <c r="G488" t="s">
        <v>215</v>
      </c>
      <c r="H488" t="s">
        <v>68</v>
      </c>
      <c r="I488" t="s">
        <v>69</v>
      </c>
      <c r="J488" t="s">
        <v>50</v>
      </c>
      <c r="K488" t="s">
        <v>16</v>
      </c>
      <c r="L488" t="s">
        <v>51</v>
      </c>
      <c r="M488" t="s">
        <v>46</v>
      </c>
      <c r="N488" t="s">
        <v>47</v>
      </c>
      <c r="O488" t="s">
        <v>1158</v>
      </c>
      <c r="P488" t="s">
        <v>1292</v>
      </c>
      <c r="Q488" t="s">
        <v>46</v>
      </c>
      <c r="R488" t="s">
        <v>47</v>
      </c>
      <c r="S488" t="s">
        <v>46</v>
      </c>
      <c r="T488" t="s">
        <v>46</v>
      </c>
      <c r="U488" s="4">
        <v>-1959.28</v>
      </c>
      <c r="V488" t="str">
        <f t="shared" si="7"/>
        <v>TP33</v>
      </c>
      <c r="W488" t="str">
        <f>VLOOKUP(K488,[1]Info!A$1:B$21,2,0)</f>
        <v>Trator Pneu</v>
      </c>
      <c r="X488" t="str">
        <f>IF(M488="109595132","Material de Limpeza-Não Avaliar",IF(AND(K488="F20",M488&lt;&gt;109595132),IF(RIGHT(F488,2)="70","Infraestrutura de Planta","Prédios e Instalações"),IF(K488="FPC",VLOOKUP(F488,[1]Info!$E$2:$F$11,2,0),IF(K488="FGP",VLOOKUP(F488,[1]Info!$E$9:$F$10,2,0),IF(K488="F10",VLOOKUP(F488,[1]Info!$E$2:$F$3,2,0),VLOOKUP(K488,[1]Info!$A$1:$B$21,2,0))))))</f>
        <v>Trator Pneu</v>
      </c>
    </row>
    <row r="489" spans="1:24" x14ac:dyDescent="0.35">
      <c r="A489" t="s">
        <v>41</v>
      </c>
      <c r="B489" t="s">
        <v>65</v>
      </c>
      <c r="C489" t="s">
        <v>66</v>
      </c>
      <c r="D489" t="s">
        <v>100</v>
      </c>
      <c r="E489" t="s">
        <v>65</v>
      </c>
      <c r="F489">
        <v>7097052</v>
      </c>
      <c r="G489" t="s">
        <v>215</v>
      </c>
      <c r="H489" t="s">
        <v>68</v>
      </c>
      <c r="I489" t="s">
        <v>69</v>
      </c>
      <c r="J489" t="s">
        <v>50</v>
      </c>
      <c r="K489" t="s">
        <v>16</v>
      </c>
      <c r="L489" t="s">
        <v>51</v>
      </c>
      <c r="M489" t="s">
        <v>46</v>
      </c>
      <c r="N489" t="s">
        <v>47</v>
      </c>
      <c r="O489" t="s">
        <v>1145</v>
      </c>
      <c r="P489" t="s">
        <v>1292</v>
      </c>
      <c r="Q489" t="s">
        <v>46</v>
      </c>
      <c r="R489" t="s">
        <v>47</v>
      </c>
      <c r="S489" t="s">
        <v>46</v>
      </c>
      <c r="T489" t="s">
        <v>46</v>
      </c>
      <c r="U489" s="4">
        <v>-17437.599999999999</v>
      </c>
      <c r="V489" t="str">
        <f t="shared" si="7"/>
        <v>TP34</v>
      </c>
      <c r="W489" t="str">
        <f>VLOOKUP(K489,[1]Info!A$1:B$21,2,0)</f>
        <v>Trator Pneu</v>
      </c>
      <c r="X489" t="str">
        <f>IF(M489="109595132","Material de Limpeza-Não Avaliar",IF(AND(K489="F20",M489&lt;&gt;109595132),IF(RIGHT(F489,2)="70","Infraestrutura de Planta","Prédios e Instalações"),IF(K489="FPC",VLOOKUP(F489,[1]Info!$E$2:$F$11,2,0),IF(K489="FGP",VLOOKUP(F489,[1]Info!$E$9:$F$10,2,0),IF(K489="F10",VLOOKUP(F489,[1]Info!$E$2:$F$3,2,0),VLOOKUP(K489,[1]Info!$A$1:$B$21,2,0))))))</f>
        <v>Trator Pneu</v>
      </c>
    </row>
    <row r="490" spans="1:24" x14ac:dyDescent="0.35">
      <c r="A490" t="s">
        <v>41</v>
      </c>
      <c r="B490" t="s">
        <v>65</v>
      </c>
      <c r="C490" t="s">
        <v>66</v>
      </c>
      <c r="D490" t="s">
        <v>100</v>
      </c>
      <c r="E490" t="s">
        <v>65</v>
      </c>
      <c r="F490">
        <v>7097052</v>
      </c>
      <c r="G490" t="s">
        <v>215</v>
      </c>
      <c r="H490" t="s">
        <v>68</v>
      </c>
      <c r="I490" t="s">
        <v>69</v>
      </c>
      <c r="J490" t="s">
        <v>50</v>
      </c>
      <c r="K490" t="s">
        <v>16</v>
      </c>
      <c r="L490" t="s">
        <v>51</v>
      </c>
      <c r="M490" t="s">
        <v>46</v>
      </c>
      <c r="N490" t="s">
        <v>47</v>
      </c>
      <c r="O490" t="s">
        <v>276</v>
      </c>
      <c r="P490" t="s">
        <v>1292</v>
      </c>
      <c r="Q490" t="s">
        <v>46</v>
      </c>
      <c r="R490" t="s">
        <v>47</v>
      </c>
      <c r="S490" t="s">
        <v>46</v>
      </c>
      <c r="T490" t="s">
        <v>46</v>
      </c>
      <c r="U490" s="4">
        <v>-5779.87</v>
      </c>
      <c r="V490" t="str">
        <f t="shared" si="7"/>
        <v>TP35</v>
      </c>
      <c r="W490" t="str">
        <f>VLOOKUP(K490,[1]Info!A$1:B$21,2,0)</f>
        <v>Trator Pneu</v>
      </c>
      <c r="X490" t="str">
        <f>IF(M490="109595132","Material de Limpeza-Não Avaliar",IF(AND(K490="F20",M490&lt;&gt;109595132),IF(RIGHT(F490,2)="70","Infraestrutura de Planta","Prédios e Instalações"),IF(K490="FPC",VLOOKUP(F490,[1]Info!$E$2:$F$11,2,0),IF(K490="FGP",VLOOKUP(F490,[1]Info!$E$9:$F$10,2,0),IF(K490="F10",VLOOKUP(F490,[1]Info!$E$2:$F$3,2,0),VLOOKUP(K490,[1]Info!$A$1:$B$21,2,0))))))</f>
        <v>Trator Pneu</v>
      </c>
    </row>
    <row r="491" spans="1:24" x14ac:dyDescent="0.35">
      <c r="A491" t="s">
        <v>41</v>
      </c>
      <c r="B491" t="s">
        <v>65</v>
      </c>
      <c r="C491" t="s">
        <v>66</v>
      </c>
      <c r="D491" t="s">
        <v>100</v>
      </c>
      <c r="E491" t="s">
        <v>65</v>
      </c>
      <c r="F491">
        <v>7097052</v>
      </c>
      <c r="G491" t="s">
        <v>215</v>
      </c>
      <c r="H491" t="s">
        <v>68</v>
      </c>
      <c r="I491" t="s">
        <v>69</v>
      </c>
      <c r="J491" t="s">
        <v>50</v>
      </c>
      <c r="K491" t="s">
        <v>16</v>
      </c>
      <c r="L491" t="s">
        <v>51</v>
      </c>
      <c r="M491" t="s">
        <v>46</v>
      </c>
      <c r="N491" t="s">
        <v>47</v>
      </c>
      <c r="O491" t="s">
        <v>1593</v>
      </c>
      <c r="P491" t="s">
        <v>1292</v>
      </c>
      <c r="Q491" t="s">
        <v>46</v>
      </c>
      <c r="R491" t="s">
        <v>47</v>
      </c>
      <c r="S491" t="s">
        <v>46</v>
      </c>
      <c r="T491" t="s">
        <v>46</v>
      </c>
      <c r="U491" s="4">
        <v>-3918.56</v>
      </c>
      <c r="V491" t="str">
        <f t="shared" si="7"/>
        <v>TP36</v>
      </c>
      <c r="W491" t="str">
        <f>VLOOKUP(K491,[1]Info!A$1:B$21,2,0)</f>
        <v>Trator Pneu</v>
      </c>
      <c r="X491" t="str">
        <f>IF(M491="109595132","Material de Limpeza-Não Avaliar",IF(AND(K491="F20",M491&lt;&gt;109595132),IF(RIGHT(F491,2)="70","Infraestrutura de Planta","Prédios e Instalações"),IF(K491="FPC",VLOOKUP(F491,[1]Info!$E$2:$F$11,2,0),IF(K491="FGP",VLOOKUP(F491,[1]Info!$E$9:$F$10,2,0),IF(K491="F10",VLOOKUP(F491,[1]Info!$E$2:$F$3,2,0),VLOOKUP(K491,[1]Info!$A$1:$B$21,2,0))))))</f>
        <v>Trator Pneu</v>
      </c>
    </row>
    <row r="492" spans="1:24" x14ac:dyDescent="0.35">
      <c r="A492" t="s">
        <v>41</v>
      </c>
      <c r="B492" t="s">
        <v>65</v>
      </c>
      <c r="C492" t="s">
        <v>66</v>
      </c>
      <c r="D492" t="s">
        <v>100</v>
      </c>
      <c r="E492" t="s">
        <v>65</v>
      </c>
      <c r="F492">
        <v>7097052</v>
      </c>
      <c r="G492" t="s">
        <v>215</v>
      </c>
      <c r="H492" t="s">
        <v>68</v>
      </c>
      <c r="I492" t="s">
        <v>69</v>
      </c>
      <c r="J492" t="s">
        <v>50</v>
      </c>
      <c r="K492" t="s">
        <v>16</v>
      </c>
      <c r="L492" t="s">
        <v>51</v>
      </c>
      <c r="M492" t="s">
        <v>46</v>
      </c>
      <c r="N492" t="s">
        <v>47</v>
      </c>
      <c r="O492" t="s">
        <v>1594</v>
      </c>
      <c r="P492" t="s">
        <v>1292</v>
      </c>
      <c r="Q492" t="s">
        <v>46</v>
      </c>
      <c r="R492" t="s">
        <v>47</v>
      </c>
      <c r="S492" t="s">
        <v>46</v>
      </c>
      <c r="T492" t="s">
        <v>46</v>
      </c>
      <c r="U492" s="4">
        <v>-783.72</v>
      </c>
      <c r="V492" t="str">
        <f t="shared" si="7"/>
        <v>TP37</v>
      </c>
      <c r="W492" t="str">
        <f>VLOOKUP(K492,[1]Info!A$1:B$21,2,0)</f>
        <v>Trator Pneu</v>
      </c>
      <c r="X492" t="str">
        <f>IF(M492="109595132","Material de Limpeza-Não Avaliar",IF(AND(K492="F20",M492&lt;&gt;109595132),IF(RIGHT(F492,2)="70","Infraestrutura de Planta","Prédios e Instalações"),IF(K492="FPC",VLOOKUP(F492,[1]Info!$E$2:$F$11,2,0),IF(K492="FGP",VLOOKUP(F492,[1]Info!$E$9:$F$10,2,0),IF(K492="F10",VLOOKUP(F492,[1]Info!$E$2:$F$3,2,0),VLOOKUP(K492,[1]Info!$A$1:$B$21,2,0))))))</f>
        <v>Trator Pneu</v>
      </c>
    </row>
    <row r="493" spans="1:24" x14ac:dyDescent="0.35">
      <c r="A493" t="s">
        <v>41</v>
      </c>
      <c r="B493" t="s">
        <v>65</v>
      </c>
      <c r="C493" t="s">
        <v>66</v>
      </c>
      <c r="D493" t="s">
        <v>100</v>
      </c>
      <c r="E493" t="s">
        <v>65</v>
      </c>
      <c r="F493">
        <v>7097052</v>
      </c>
      <c r="G493" t="s">
        <v>215</v>
      </c>
      <c r="H493" t="s">
        <v>68</v>
      </c>
      <c r="I493" t="s">
        <v>69</v>
      </c>
      <c r="J493" t="s">
        <v>50</v>
      </c>
      <c r="K493" t="s">
        <v>15</v>
      </c>
      <c r="L493" t="s">
        <v>51</v>
      </c>
      <c r="M493" t="s">
        <v>46</v>
      </c>
      <c r="N493" t="s">
        <v>47</v>
      </c>
      <c r="O493" t="s">
        <v>251</v>
      </c>
      <c r="P493" t="s">
        <v>1292</v>
      </c>
      <c r="Q493" t="s">
        <v>46</v>
      </c>
      <c r="R493" t="s">
        <v>47</v>
      </c>
      <c r="S493" t="s">
        <v>46</v>
      </c>
      <c r="T493" t="s">
        <v>46</v>
      </c>
      <c r="U493" s="4">
        <v>-40557.050000000003</v>
      </c>
      <c r="V493" t="str">
        <f t="shared" si="7"/>
        <v>SK13</v>
      </c>
      <c r="W493" t="str">
        <f>VLOOKUP(K493,[1]Info!A$1:B$21,2,0)</f>
        <v>Skidder</v>
      </c>
      <c r="X493" t="str">
        <f>IF(M493="109595132","Material de Limpeza-Não Avaliar",IF(AND(K493="F20",M493&lt;&gt;109595132),IF(RIGHT(F493,2)="70","Infraestrutura de Planta","Prédios e Instalações"),IF(K493="FPC",VLOOKUP(F493,[1]Info!$E$2:$F$11,2,0),IF(K493="FGP",VLOOKUP(F493,[1]Info!$E$9:$F$10,2,0),IF(K493="F10",VLOOKUP(F493,[1]Info!$E$2:$F$3,2,0),VLOOKUP(K493,[1]Info!$A$1:$B$21,2,0))))))</f>
        <v>Skidder</v>
      </c>
    </row>
    <row r="494" spans="1:24" x14ac:dyDescent="0.35">
      <c r="A494" t="s">
        <v>41</v>
      </c>
      <c r="B494" t="s">
        <v>65</v>
      </c>
      <c r="C494" t="s">
        <v>66</v>
      </c>
      <c r="D494" t="s">
        <v>100</v>
      </c>
      <c r="E494" t="s">
        <v>65</v>
      </c>
      <c r="F494">
        <v>7097052</v>
      </c>
      <c r="G494" t="s">
        <v>215</v>
      </c>
      <c r="H494" t="s">
        <v>68</v>
      </c>
      <c r="I494" t="s">
        <v>69</v>
      </c>
      <c r="J494" t="s">
        <v>50</v>
      </c>
      <c r="K494" t="s">
        <v>15</v>
      </c>
      <c r="L494" t="s">
        <v>51</v>
      </c>
      <c r="M494" t="s">
        <v>46</v>
      </c>
      <c r="N494" t="s">
        <v>47</v>
      </c>
      <c r="O494" t="s">
        <v>99</v>
      </c>
      <c r="P494" t="s">
        <v>1292</v>
      </c>
      <c r="Q494" t="s">
        <v>46</v>
      </c>
      <c r="R494" t="s">
        <v>47</v>
      </c>
      <c r="S494" t="s">
        <v>46</v>
      </c>
      <c r="T494" t="s">
        <v>46</v>
      </c>
      <c r="U494" s="4">
        <v>-40557.050000000003</v>
      </c>
      <c r="V494" t="str">
        <f t="shared" si="7"/>
        <v>SK14</v>
      </c>
      <c r="W494" t="str">
        <f>VLOOKUP(K494,[1]Info!A$1:B$21,2,0)</f>
        <v>Skidder</v>
      </c>
      <c r="X494" t="str">
        <f>IF(M494="109595132","Material de Limpeza-Não Avaliar",IF(AND(K494="F20",M494&lt;&gt;109595132),IF(RIGHT(F494,2)="70","Infraestrutura de Planta","Prédios e Instalações"),IF(K494="FPC",VLOOKUP(F494,[1]Info!$E$2:$F$11,2,0),IF(K494="FGP",VLOOKUP(F494,[1]Info!$E$9:$F$10,2,0),IF(K494="F10",VLOOKUP(F494,[1]Info!$E$2:$F$3,2,0),VLOOKUP(K494,[1]Info!$A$1:$B$21,2,0))))))</f>
        <v>Skidder</v>
      </c>
    </row>
    <row r="495" spans="1:24" x14ac:dyDescent="0.35">
      <c r="A495" t="s">
        <v>41</v>
      </c>
      <c r="B495" t="s">
        <v>65</v>
      </c>
      <c r="C495" t="s">
        <v>66</v>
      </c>
      <c r="D495" t="s">
        <v>100</v>
      </c>
      <c r="E495" t="s">
        <v>65</v>
      </c>
      <c r="F495">
        <v>7097052</v>
      </c>
      <c r="G495" t="s">
        <v>215</v>
      </c>
      <c r="H495" t="s">
        <v>68</v>
      </c>
      <c r="I495" t="s">
        <v>69</v>
      </c>
      <c r="J495" t="s">
        <v>50</v>
      </c>
      <c r="K495" t="s">
        <v>15</v>
      </c>
      <c r="L495" t="s">
        <v>51</v>
      </c>
      <c r="M495" t="s">
        <v>46</v>
      </c>
      <c r="N495" t="s">
        <v>47</v>
      </c>
      <c r="O495" t="s">
        <v>165</v>
      </c>
      <c r="P495" t="s">
        <v>1292</v>
      </c>
      <c r="Q495" t="s">
        <v>46</v>
      </c>
      <c r="R495" t="s">
        <v>47</v>
      </c>
      <c r="S495" t="s">
        <v>46</v>
      </c>
      <c r="T495" t="s">
        <v>46</v>
      </c>
      <c r="U495" s="4">
        <v>-24686.9</v>
      </c>
      <c r="V495" t="str">
        <f t="shared" si="7"/>
        <v>SK15</v>
      </c>
      <c r="W495" t="str">
        <f>VLOOKUP(K495,[1]Info!A$1:B$21,2,0)</f>
        <v>Skidder</v>
      </c>
      <c r="X495" t="str">
        <f>IF(M495="109595132","Material de Limpeza-Não Avaliar",IF(AND(K495="F20",M495&lt;&gt;109595132),IF(RIGHT(F495,2)="70","Infraestrutura de Planta","Prédios e Instalações"),IF(K495="FPC",VLOOKUP(F495,[1]Info!$E$2:$F$11,2,0),IF(K495="FGP",VLOOKUP(F495,[1]Info!$E$9:$F$10,2,0),IF(K495="F10",VLOOKUP(F495,[1]Info!$E$2:$F$3,2,0),VLOOKUP(K495,[1]Info!$A$1:$B$21,2,0))))))</f>
        <v>Skidder</v>
      </c>
    </row>
    <row r="496" spans="1:24" x14ac:dyDescent="0.35">
      <c r="A496" t="s">
        <v>41</v>
      </c>
      <c r="B496" t="s">
        <v>65</v>
      </c>
      <c r="C496" t="s">
        <v>66</v>
      </c>
      <c r="D496" t="s">
        <v>100</v>
      </c>
      <c r="E496" t="s">
        <v>65</v>
      </c>
      <c r="F496">
        <v>7097052</v>
      </c>
      <c r="G496" t="s">
        <v>215</v>
      </c>
      <c r="H496" t="s">
        <v>68</v>
      </c>
      <c r="I496" t="s">
        <v>69</v>
      </c>
      <c r="J496" t="s">
        <v>50</v>
      </c>
      <c r="K496" t="s">
        <v>15</v>
      </c>
      <c r="L496" t="s">
        <v>51</v>
      </c>
      <c r="M496" t="s">
        <v>46</v>
      </c>
      <c r="N496" t="s">
        <v>47</v>
      </c>
      <c r="O496" t="s">
        <v>141</v>
      </c>
      <c r="P496" t="s">
        <v>1292</v>
      </c>
      <c r="Q496" t="s">
        <v>46</v>
      </c>
      <c r="R496" t="s">
        <v>47</v>
      </c>
      <c r="S496" t="s">
        <v>46</v>
      </c>
      <c r="T496" t="s">
        <v>46</v>
      </c>
      <c r="U496" s="4">
        <v>-19396.849999999999</v>
      </c>
      <c r="V496" t="str">
        <f t="shared" si="7"/>
        <v>SK16</v>
      </c>
      <c r="W496" t="str">
        <f>VLOOKUP(K496,[1]Info!A$1:B$21,2,0)</f>
        <v>Skidder</v>
      </c>
      <c r="X496" t="str">
        <f>IF(M496="109595132","Material de Limpeza-Não Avaliar",IF(AND(K496="F20",M496&lt;&gt;109595132),IF(RIGHT(F496,2)="70","Infraestrutura de Planta","Prédios e Instalações"),IF(K496="FPC",VLOOKUP(F496,[1]Info!$E$2:$F$11,2,0),IF(K496="FGP",VLOOKUP(F496,[1]Info!$E$9:$F$10,2,0),IF(K496="F10",VLOOKUP(F496,[1]Info!$E$2:$F$3,2,0),VLOOKUP(K496,[1]Info!$A$1:$B$21,2,0))))))</f>
        <v>Skidder</v>
      </c>
    </row>
    <row r="497" spans="1:24" x14ac:dyDescent="0.35">
      <c r="A497" t="s">
        <v>41</v>
      </c>
      <c r="B497" t="s">
        <v>65</v>
      </c>
      <c r="C497" t="s">
        <v>66</v>
      </c>
      <c r="D497" t="s">
        <v>100</v>
      </c>
      <c r="E497" t="s">
        <v>65</v>
      </c>
      <c r="F497">
        <v>7097052</v>
      </c>
      <c r="G497" t="s">
        <v>215</v>
      </c>
      <c r="H497" t="s">
        <v>68</v>
      </c>
      <c r="I497" t="s">
        <v>69</v>
      </c>
      <c r="J497" t="s">
        <v>50</v>
      </c>
      <c r="K497" t="s">
        <v>4</v>
      </c>
      <c r="L497" t="s">
        <v>51</v>
      </c>
      <c r="M497" t="s">
        <v>46</v>
      </c>
      <c r="N497" t="s">
        <v>47</v>
      </c>
      <c r="O497" t="s">
        <v>546</v>
      </c>
      <c r="P497" t="s">
        <v>1292</v>
      </c>
      <c r="Q497" t="s">
        <v>46</v>
      </c>
      <c r="R497" t="s">
        <v>47</v>
      </c>
      <c r="S497" t="s">
        <v>46</v>
      </c>
      <c r="T497" t="s">
        <v>46</v>
      </c>
      <c r="U497" s="4">
        <v>-783.72</v>
      </c>
      <c r="V497" t="str">
        <f t="shared" si="7"/>
        <v>GP01</v>
      </c>
      <c r="W497" t="str">
        <f>VLOOKUP(K497,[1]Info!A$1:B$21,2,0)</f>
        <v>Garra Picadora</v>
      </c>
      <c r="X497" t="e">
        <f>IF(M497="109595132","Material de Limpeza-Não Avaliar",IF(AND(K497="F20",M497&lt;&gt;109595132),IF(RIGHT(F497,2)="70","Infraestrutura de Planta","Prédios e Instalações"),IF(K497="FPC",VLOOKUP(F497,[1]Info!$E$2:$F$11,2,0),IF(K497="FGP",VLOOKUP(F497,[1]Info!$E$9:$F$10,2,0),IF(K497="F10",VLOOKUP(F497,[1]Info!$E$2:$F$3,2,0),VLOOKUP(K497,[1]Info!$A$1:$B$21,2,0))))))</f>
        <v>#N/A</v>
      </c>
    </row>
    <row r="498" spans="1:24" x14ac:dyDescent="0.35">
      <c r="A498" t="s">
        <v>41</v>
      </c>
      <c r="B498" t="s">
        <v>65</v>
      </c>
      <c r="C498" t="s">
        <v>66</v>
      </c>
      <c r="D498" t="s">
        <v>100</v>
      </c>
      <c r="E498" t="s">
        <v>65</v>
      </c>
      <c r="F498">
        <v>7097052</v>
      </c>
      <c r="G498" t="s">
        <v>215</v>
      </c>
      <c r="H498" t="s">
        <v>68</v>
      </c>
      <c r="I498" t="s">
        <v>69</v>
      </c>
      <c r="J498" t="s">
        <v>50</v>
      </c>
      <c r="K498" t="s">
        <v>4</v>
      </c>
      <c r="L498" t="s">
        <v>51</v>
      </c>
      <c r="M498" t="s">
        <v>46</v>
      </c>
      <c r="N498" t="s">
        <v>47</v>
      </c>
      <c r="O498" t="s">
        <v>173</v>
      </c>
      <c r="P498" t="s">
        <v>1292</v>
      </c>
      <c r="Q498" t="s">
        <v>46</v>
      </c>
      <c r="R498" t="s">
        <v>47</v>
      </c>
      <c r="S498" t="s">
        <v>46</v>
      </c>
      <c r="T498" t="s">
        <v>46</v>
      </c>
      <c r="U498" s="4">
        <v>-10580.1</v>
      </c>
      <c r="V498" t="str">
        <f t="shared" si="7"/>
        <v>GP02</v>
      </c>
      <c r="W498" t="str">
        <f>VLOOKUP(K498,[1]Info!A$1:B$21,2,0)</f>
        <v>Garra Picadora</v>
      </c>
      <c r="X498" t="e">
        <f>IF(M498="109595132","Material de Limpeza-Não Avaliar",IF(AND(K498="F20",M498&lt;&gt;109595132),IF(RIGHT(F498,2)="70","Infraestrutura de Planta","Prédios e Instalações"),IF(K498="FPC",VLOOKUP(F498,[1]Info!$E$2:$F$11,2,0),IF(K498="FGP",VLOOKUP(F498,[1]Info!$E$9:$F$10,2,0),IF(K498="F10",VLOOKUP(F498,[1]Info!$E$2:$F$3,2,0),VLOOKUP(K498,[1]Info!$A$1:$B$21,2,0))))))</f>
        <v>#N/A</v>
      </c>
    </row>
    <row r="499" spans="1:24" x14ac:dyDescent="0.35">
      <c r="A499" t="s">
        <v>41</v>
      </c>
      <c r="B499" t="s">
        <v>65</v>
      </c>
      <c r="C499" t="s">
        <v>66</v>
      </c>
      <c r="D499" t="s">
        <v>100</v>
      </c>
      <c r="E499" t="s">
        <v>65</v>
      </c>
      <c r="F499">
        <v>7097052</v>
      </c>
      <c r="G499" t="s">
        <v>215</v>
      </c>
      <c r="H499" t="s">
        <v>68</v>
      </c>
      <c r="I499" t="s">
        <v>69</v>
      </c>
      <c r="J499" t="s">
        <v>50</v>
      </c>
      <c r="K499" t="s">
        <v>12</v>
      </c>
      <c r="L499" t="s">
        <v>51</v>
      </c>
      <c r="M499" t="s">
        <v>46</v>
      </c>
      <c r="N499" t="s">
        <v>47</v>
      </c>
      <c r="O499" t="s">
        <v>169</v>
      </c>
      <c r="P499" t="s">
        <v>1292</v>
      </c>
      <c r="Q499" t="s">
        <v>46</v>
      </c>
      <c r="R499" t="s">
        <v>47</v>
      </c>
      <c r="S499" t="s">
        <v>46</v>
      </c>
      <c r="T499" t="s">
        <v>46</v>
      </c>
      <c r="U499" s="4">
        <v>-31740.3</v>
      </c>
      <c r="V499" t="str">
        <f t="shared" si="7"/>
        <v>GT14</v>
      </c>
      <c r="W499" t="str">
        <f>VLOOKUP(K499,[1]Info!A$1:B$21,2,0)</f>
        <v>Garra Traçadora</v>
      </c>
      <c r="X499" t="str">
        <f>IF(M499="109595132","Material de Limpeza-Não Avaliar",IF(AND(K499="F20",M499&lt;&gt;109595132),IF(RIGHT(F499,2)="70","Infraestrutura de Planta","Prédios e Instalações"),IF(K499="FPC",VLOOKUP(F499,[1]Info!$E$2:$F$11,2,0),IF(K499="FGP",VLOOKUP(F499,[1]Info!$E$9:$F$10,2,0),IF(K499="F10",VLOOKUP(F499,[1]Info!$E$2:$F$3,2,0),VLOOKUP(K499,[1]Info!$A$1:$B$21,2,0))))))</f>
        <v>Garra Traçadora</v>
      </c>
    </row>
    <row r="500" spans="1:24" x14ac:dyDescent="0.35">
      <c r="A500" t="s">
        <v>41</v>
      </c>
      <c r="B500" t="s">
        <v>65</v>
      </c>
      <c r="C500" t="s">
        <v>66</v>
      </c>
      <c r="D500" t="s">
        <v>100</v>
      </c>
      <c r="E500" t="s">
        <v>65</v>
      </c>
      <c r="F500">
        <v>7097052</v>
      </c>
      <c r="G500" t="s">
        <v>215</v>
      </c>
      <c r="H500" t="s">
        <v>68</v>
      </c>
      <c r="I500" t="s">
        <v>69</v>
      </c>
      <c r="J500" t="s">
        <v>50</v>
      </c>
      <c r="K500" t="s">
        <v>12</v>
      </c>
      <c r="L500" t="s">
        <v>51</v>
      </c>
      <c r="M500" t="s">
        <v>46</v>
      </c>
      <c r="N500" t="s">
        <v>47</v>
      </c>
      <c r="O500" t="s">
        <v>209</v>
      </c>
      <c r="P500" t="s">
        <v>1292</v>
      </c>
      <c r="Q500" t="s">
        <v>46</v>
      </c>
      <c r="R500" t="s">
        <v>47</v>
      </c>
      <c r="S500" t="s">
        <v>46</v>
      </c>
      <c r="T500" t="s">
        <v>46</v>
      </c>
      <c r="U500" s="4">
        <v>-28213.599999999999</v>
      </c>
      <c r="V500" t="str">
        <f t="shared" si="7"/>
        <v>GT15</v>
      </c>
      <c r="W500" t="str">
        <f>VLOOKUP(K500,[1]Info!A$1:B$21,2,0)</f>
        <v>Garra Traçadora</v>
      </c>
      <c r="X500" t="str">
        <f>IF(M500="109595132","Material de Limpeza-Não Avaliar",IF(AND(K500="F20",M500&lt;&gt;109595132),IF(RIGHT(F500,2)="70","Infraestrutura de Planta","Prédios e Instalações"),IF(K500="FPC",VLOOKUP(F500,[1]Info!$E$2:$F$11,2,0),IF(K500="FGP",VLOOKUP(F500,[1]Info!$E$9:$F$10,2,0),IF(K500="F10",VLOOKUP(F500,[1]Info!$E$2:$F$3,2,0),VLOOKUP(K500,[1]Info!$A$1:$B$21,2,0))))))</f>
        <v>Garra Traçadora</v>
      </c>
    </row>
    <row r="501" spans="1:24" x14ac:dyDescent="0.35">
      <c r="A501" t="s">
        <v>41</v>
      </c>
      <c r="B501" t="s">
        <v>65</v>
      </c>
      <c r="C501" t="s">
        <v>66</v>
      </c>
      <c r="D501" t="s">
        <v>100</v>
      </c>
      <c r="E501" t="s">
        <v>65</v>
      </c>
      <c r="F501">
        <v>7097052</v>
      </c>
      <c r="G501" t="s">
        <v>215</v>
      </c>
      <c r="H501" t="s">
        <v>68</v>
      </c>
      <c r="I501" t="s">
        <v>69</v>
      </c>
      <c r="J501" t="s">
        <v>50</v>
      </c>
      <c r="K501" t="s">
        <v>12</v>
      </c>
      <c r="L501" t="s">
        <v>51</v>
      </c>
      <c r="M501" t="s">
        <v>46</v>
      </c>
      <c r="N501" t="s">
        <v>47</v>
      </c>
      <c r="O501" t="s">
        <v>85</v>
      </c>
      <c r="P501" t="s">
        <v>1292</v>
      </c>
      <c r="Q501" t="s">
        <v>46</v>
      </c>
      <c r="R501" t="s">
        <v>47</v>
      </c>
      <c r="S501" t="s">
        <v>46</v>
      </c>
      <c r="T501" t="s">
        <v>46</v>
      </c>
      <c r="U501" s="4">
        <v>-29976.95</v>
      </c>
      <c r="V501" t="str">
        <f t="shared" si="7"/>
        <v>GT16</v>
      </c>
      <c r="W501" t="str">
        <f>VLOOKUP(K501,[1]Info!A$1:B$21,2,0)</f>
        <v>Garra Traçadora</v>
      </c>
      <c r="X501" t="str">
        <f>IF(M501="109595132","Material de Limpeza-Não Avaliar",IF(AND(K501="F20",M501&lt;&gt;109595132),IF(RIGHT(F501,2)="70","Infraestrutura de Planta","Prédios e Instalações"),IF(K501="FPC",VLOOKUP(F501,[1]Info!$E$2:$F$11,2,0),IF(K501="FGP",VLOOKUP(F501,[1]Info!$E$9:$F$10,2,0),IF(K501="F10",VLOOKUP(F501,[1]Info!$E$2:$F$3,2,0),VLOOKUP(K501,[1]Info!$A$1:$B$21,2,0))))))</f>
        <v>Garra Traçadora</v>
      </c>
    </row>
    <row r="502" spans="1:24" x14ac:dyDescent="0.35">
      <c r="A502" t="s">
        <v>41</v>
      </c>
      <c r="B502" t="s">
        <v>65</v>
      </c>
      <c r="C502" t="s">
        <v>66</v>
      </c>
      <c r="D502" t="s">
        <v>100</v>
      </c>
      <c r="E502" t="s">
        <v>65</v>
      </c>
      <c r="F502">
        <v>7097052</v>
      </c>
      <c r="G502" t="s">
        <v>215</v>
      </c>
      <c r="H502" t="s">
        <v>68</v>
      </c>
      <c r="I502" t="s">
        <v>69</v>
      </c>
      <c r="J502" t="s">
        <v>50</v>
      </c>
      <c r="K502" t="s">
        <v>12</v>
      </c>
      <c r="L502" t="s">
        <v>51</v>
      </c>
      <c r="M502" t="s">
        <v>46</v>
      </c>
      <c r="N502" t="s">
        <v>47</v>
      </c>
      <c r="O502" t="s">
        <v>1415</v>
      </c>
      <c r="P502" t="s">
        <v>1292</v>
      </c>
      <c r="Q502" t="s">
        <v>46</v>
      </c>
      <c r="R502" t="s">
        <v>47</v>
      </c>
      <c r="S502" t="s">
        <v>46</v>
      </c>
      <c r="T502" t="s">
        <v>46</v>
      </c>
      <c r="U502" s="4">
        <v>-28213.599999999999</v>
      </c>
      <c r="V502" t="str">
        <f t="shared" si="7"/>
        <v>GT17</v>
      </c>
      <c r="W502" t="str">
        <f>VLOOKUP(K502,[1]Info!A$1:B$21,2,0)</f>
        <v>Garra Traçadora</v>
      </c>
      <c r="X502" t="str">
        <f>IF(M502="109595132","Material de Limpeza-Não Avaliar",IF(AND(K502="F20",M502&lt;&gt;109595132),IF(RIGHT(F502,2)="70","Infraestrutura de Planta","Prédios e Instalações"),IF(K502="FPC",VLOOKUP(F502,[1]Info!$E$2:$F$11,2,0),IF(K502="FGP",VLOOKUP(F502,[1]Info!$E$9:$F$10,2,0),IF(K502="F10",VLOOKUP(F502,[1]Info!$E$2:$F$3,2,0),VLOOKUP(K502,[1]Info!$A$1:$B$21,2,0))))))</f>
        <v>Garra Traçadora</v>
      </c>
    </row>
    <row r="503" spans="1:24" x14ac:dyDescent="0.35">
      <c r="A503" t="s">
        <v>41</v>
      </c>
      <c r="B503" t="s">
        <v>65</v>
      </c>
      <c r="C503" t="s">
        <v>66</v>
      </c>
      <c r="D503" t="s">
        <v>100</v>
      </c>
      <c r="E503" t="s">
        <v>65</v>
      </c>
      <c r="F503">
        <v>7097052</v>
      </c>
      <c r="G503" t="s">
        <v>215</v>
      </c>
      <c r="H503" t="s">
        <v>68</v>
      </c>
      <c r="I503" t="s">
        <v>69</v>
      </c>
      <c r="J503" t="s">
        <v>50</v>
      </c>
      <c r="K503" t="s">
        <v>12</v>
      </c>
      <c r="L503" t="s">
        <v>51</v>
      </c>
      <c r="M503" t="s">
        <v>46</v>
      </c>
      <c r="N503" t="s">
        <v>47</v>
      </c>
      <c r="O503" t="s">
        <v>60</v>
      </c>
      <c r="P503" t="s">
        <v>1292</v>
      </c>
      <c r="Q503" t="s">
        <v>46</v>
      </c>
      <c r="R503" t="s">
        <v>47</v>
      </c>
      <c r="S503" t="s">
        <v>46</v>
      </c>
      <c r="T503" t="s">
        <v>46</v>
      </c>
      <c r="U503" s="4">
        <v>-10580.1</v>
      </c>
      <c r="V503" t="str">
        <f t="shared" si="7"/>
        <v>GT18</v>
      </c>
      <c r="W503" t="str">
        <f>VLOOKUP(K503,[1]Info!A$1:B$21,2,0)</f>
        <v>Garra Traçadora</v>
      </c>
      <c r="X503" t="str">
        <f>IF(M503="109595132","Material de Limpeza-Não Avaliar",IF(AND(K503="F20",M503&lt;&gt;109595132),IF(RIGHT(F503,2)="70","Infraestrutura de Planta","Prédios e Instalações"),IF(K503="FPC",VLOOKUP(F503,[1]Info!$E$2:$F$11,2,0),IF(K503="FGP",VLOOKUP(F503,[1]Info!$E$9:$F$10,2,0),IF(K503="F10",VLOOKUP(F503,[1]Info!$E$2:$F$3,2,0),VLOOKUP(K503,[1]Info!$A$1:$B$21,2,0))))))</f>
        <v>Garra Traçadora</v>
      </c>
    </row>
    <row r="504" spans="1:24" x14ac:dyDescent="0.35">
      <c r="A504" t="s">
        <v>41</v>
      </c>
      <c r="B504" t="s">
        <v>65</v>
      </c>
      <c r="C504" t="s">
        <v>66</v>
      </c>
      <c r="D504" t="s">
        <v>100</v>
      </c>
      <c r="E504" t="s">
        <v>65</v>
      </c>
      <c r="F504">
        <v>7097052</v>
      </c>
      <c r="G504" t="s">
        <v>215</v>
      </c>
      <c r="H504" t="s">
        <v>68</v>
      </c>
      <c r="I504" t="s">
        <v>69</v>
      </c>
      <c r="J504" t="s">
        <v>50</v>
      </c>
      <c r="K504" t="s">
        <v>11</v>
      </c>
      <c r="L504" t="s">
        <v>51</v>
      </c>
      <c r="M504" t="s">
        <v>46</v>
      </c>
      <c r="N504" t="s">
        <v>47</v>
      </c>
      <c r="O504" t="s">
        <v>149</v>
      </c>
      <c r="P504" t="s">
        <v>1292</v>
      </c>
      <c r="Q504" t="s">
        <v>46</v>
      </c>
      <c r="R504" t="s">
        <v>47</v>
      </c>
      <c r="S504" t="s">
        <v>46</v>
      </c>
      <c r="T504" t="s">
        <v>46</v>
      </c>
      <c r="U504" s="4">
        <v>-29976.95</v>
      </c>
      <c r="V504" t="str">
        <f t="shared" si="7"/>
        <v>FF12</v>
      </c>
      <c r="W504" t="str">
        <f>VLOOKUP(K504,[1]Info!A$1:B$21,2,0)</f>
        <v>Feller</v>
      </c>
      <c r="X504" t="str">
        <f>IF(M504="109595132","Material de Limpeza-Não Avaliar",IF(AND(K504="F20",M504&lt;&gt;109595132),IF(RIGHT(F504,2)="70","Infraestrutura de Planta","Prédios e Instalações"),IF(K504="FPC",VLOOKUP(F504,[1]Info!$E$2:$F$11,2,0),IF(K504="FGP",VLOOKUP(F504,[1]Info!$E$9:$F$10,2,0),IF(K504="F10",VLOOKUP(F504,[1]Info!$E$2:$F$3,2,0),VLOOKUP(K504,[1]Info!$A$1:$B$21,2,0))))))</f>
        <v>Feller</v>
      </c>
    </row>
    <row r="505" spans="1:24" x14ac:dyDescent="0.35">
      <c r="A505" t="s">
        <v>41</v>
      </c>
      <c r="B505" t="s">
        <v>65</v>
      </c>
      <c r="C505" t="s">
        <v>66</v>
      </c>
      <c r="D505" t="s">
        <v>100</v>
      </c>
      <c r="E505" t="s">
        <v>65</v>
      </c>
      <c r="F505">
        <v>7097052</v>
      </c>
      <c r="G505" t="s">
        <v>215</v>
      </c>
      <c r="H505" t="s">
        <v>68</v>
      </c>
      <c r="I505" t="s">
        <v>69</v>
      </c>
      <c r="J505" t="s">
        <v>50</v>
      </c>
      <c r="K505" t="s">
        <v>11</v>
      </c>
      <c r="L505" t="s">
        <v>51</v>
      </c>
      <c r="M505" t="s">
        <v>46</v>
      </c>
      <c r="N505" t="s">
        <v>47</v>
      </c>
      <c r="O505" t="s">
        <v>488</v>
      </c>
      <c r="P505" t="s">
        <v>1292</v>
      </c>
      <c r="Q505" t="s">
        <v>46</v>
      </c>
      <c r="R505" t="s">
        <v>47</v>
      </c>
      <c r="S505" t="s">
        <v>46</v>
      </c>
      <c r="T505" t="s">
        <v>46</v>
      </c>
      <c r="U505" s="4">
        <v>-29976.95</v>
      </c>
      <c r="V505" t="str">
        <f t="shared" si="7"/>
        <v>FF13</v>
      </c>
      <c r="W505" t="str">
        <f>VLOOKUP(K505,[1]Info!A$1:B$21,2,0)</f>
        <v>Feller</v>
      </c>
      <c r="X505" t="str">
        <f>IF(M505="109595132","Material de Limpeza-Não Avaliar",IF(AND(K505="F20",M505&lt;&gt;109595132),IF(RIGHT(F505,2)="70","Infraestrutura de Planta","Prédios e Instalações"),IF(K505="FPC",VLOOKUP(F505,[1]Info!$E$2:$F$11,2,0),IF(K505="FGP",VLOOKUP(F505,[1]Info!$E$9:$F$10,2,0),IF(K505="F10",VLOOKUP(F505,[1]Info!$E$2:$F$3,2,0),VLOOKUP(K505,[1]Info!$A$1:$B$21,2,0))))))</f>
        <v>Feller</v>
      </c>
    </row>
    <row r="506" spans="1:24" x14ac:dyDescent="0.35">
      <c r="A506" t="s">
        <v>41</v>
      </c>
      <c r="B506" t="s">
        <v>65</v>
      </c>
      <c r="C506" t="s">
        <v>66</v>
      </c>
      <c r="D506" t="s">
        <v>100</v>
      </c>
      <c r="E506" t="s">
        <v>65</v>
      </c>
      <c r="F506">
        <v>7097052</v>
      </c>
      <c r="G506" t="s">
        <v>215</v>
      </c>
      <c r="H506" t="s">
        <v>68</v>
      </c>
      <c r="I506" t="s">
        <v>69</v>
      </c>
      <c r="J506" t="s">
        <v>50</v>
      </c>
      <c r="K506" t="s">
        <v>11</v>
      </c>
      <c r="L506" t="s">
        <v>51</v>
      </c>
      <c r="M506" t="s">
        <v>46</v>
      </c>
      <c r="N506" t="s">
        <v>47</v>
      </c>
      <c r="O506" t="s">
        <v>140</v>
      </c>
      <c r="P506" t="s">
        <v>1292</v>
      </c>
      <c r="Q506" t="s">
        <v>46</v>
      </c>
      <c r="R506" t="s">
        <v>47</v>
      </c>
      <c r="S506" t="s">
        <v>46</v>
      </c>
      <c r="T506" t="s">
        <v>46</v>
      </c>
      <c r="U506" s="4">
        <v>-45847.1</v>
      </c>
      <c r="V506" t="str">
        <f t="shared" si="7"/>
        <v>FF14</v>
      </c>
      <c r="W506" t="str">
        <f>VLOOKUP(K506,[1]Info!A$1:B$21,2,0)</f>
        <v>Feller</v>
      </c>
      <c r="X506" t="str">
        <f>IF(M506="109595132","Material de Limpeza-Não Avaliar",IF(AND(K506="F20",M506&lt;&gt;109595132),IF(RIGHT(F506,2)="70","Infraestrutura de Planta","Prédios e Instalações"),IF(K506="FPC",VLOOKUP(F506,[1]Info!$E$2:$F$11,2,0),IF(K506="FGP",VLOOKUP(F506,[1]Info!$E$9:$F$10,2,0),IF(K506="F10",VLOOKUP(F506,[1]Info!$E$2:$F$3,2,0),VLOOKUP(K506,[1]Info!$A$1:$B$21,2,0))))))</f>
        <v>Feller</v>
      </c>
    </row>
    <row r="507" spans="1:24" x14ac:dyDescent="0.35">
      <c r="A507" t="s">
        <v>41</v>
      </c>
      <c r="B507" t="s">
        <v>65</v>
      </c>
      <c r="C507" t="s">
        <v>66</v>
      </c>
      <c r="D507" t="s">
        <v>100</v>
      </c>
      <c r="E507" t="s">
        <v>65</v>
      </c>
      <c r="F507">
        <v>7097052</v>
      </c>
      <c r="G507" t="s">
        <v>215</v>
      </c>
      <c r="H507" t="s">
        <v>68</v>
      </c>
      <c r="I507" t="s">
        <v>69</v>
      </c>
      <c r="J507" t="s">
        <v>50</v>
      </c>
      <c r="K507" t="s">
        <v>11</v>
      </c>
      <c r="L507" t="s">
        <v>51</v>
      </c>
      <c r="M507" t="s">
        <v>46</v>
      </c>
      <c r="N507" t="s">
        <v>47</v>
      </c>
      <c r="O507" t="s">
        <v>63</v>
      </c>
      <c r="P507" t="s">
        <v>1292</v>
      </c>
      <c r="Q507" t="s">
        <v>46</v>
      </c>
      <c r="R507" t="s">
        <v>47</v>
      </c>
      <c r="S507" t="s">
        <v>46</v>
      </c>
      <c r="T507" t="s">
        <v>46</v>
      </c>
      <c r="U507" s="4">
        <v>-26450.25</v>
      </c>
      <c r="V507" t="str">
        <f t="shared" si="7"/>
        <v>FF15</v>
      </c>
      <c r="W507" t="str">
        <f>VLOOKUP(K507,[1]Info!A$1:B$21,2,0)</f>
        <v>Feller</v>
      </c>
      <c r="X507" t="str">
        <f>IF(M507="109595132","Material de Limpeza-Não Avaliar",IF(AND(K507="F20",M507&lt;&gt;109595132),IF(RIGHT(F507,2)="70","Infraestrutura de Planta","Prédios e Instalações"),IF(K507="FPC",VLOOKUP(F507,[1]Info!$E$2:$F$11,2,0),IF(K507="FGP",VLOOKUP(F507,[1]Info!$E$9:$F$10,2,0),IF(K507="F10",VLOOKUP(F507,[1]Info!$E$2:$F$3,2,0),VLOOKUP(K507,[1]Info!$A$1:$B$21,2,0))))))</f>
        <v>Feller</v>
      </c>
    </row>
    <row r="508" spans="1:24" x14ac:dyDescent="0.35">
      <c r="A508" t="s">
        <v>41</v>
      </c>
      <c r="B508" t="s">
        <v>65</v>
      </c>
      <c r="C508" t="s">
        <v>66</v>
      </c>
      <c r="D508" t="s">
        <v>100</v>
      </c>
      <c r="E508" t="s">
        <v>65</v>
      </c>
      <c r="F508">
        <v>7097052</v>
      </c>
      <c r="G508" t="s">
        <v>215</v>
      </c>
      <c r="H508" t="s">
        <v>68</v>
      </c>
      <c r="I508" t="s">
        <v>69</v>
      </c>
      <c r="J508" t="s">
        <v>50</v>
      </c>
      <c r="K508" t="s">
        <v>3</v>
      </c>
      <c r="L508" t="s">
        <v>51</v>
      </c>
      <c r="M508" t="s">
        <v>46</v>
      </c>
      <c r="N508" t="s">
        <v>47</v>
      </c>
      <c r="O508" t="s">
        <v>1595</v>
      </c>
      <c r="P508" t="s">
        <v>1292</v>
      </c>
      <c r="Q508" t="s">
        <v>46</v>
      </c>
      <c r="R508" t="s">
        <v>47</v>
      </c>
      <c r="S508" t="s">
        <v>46</v>
      </c>
      <c r="T508" t="s">
        <v>46</v>
      </c>
      <c r="U508" s="4">
        <v>-6837.89</v>
      </c>
      <c r="V508" t="str">
        <f t="shared" si="7"/>
        <v>C017</v>
      </c>
      <c r="W508" t="str">
        <f>VLOOKUP(K508,[1]Info!A$1:B$21,2,0)</f>
        <v>Carregadeira</v>
      </c>
      <c r="X508" t="e">
        <f>IF(M508="109595132","Material de Limpeza-Não Avaliar",IF(AND(K508="F20",M508&lt;&gt;109595132),IF(RIGHT(F508,2)="70","Infraestrutura de Planta","Prédios e Instalações"),IF(K508="FPC",VLOOKUP(F508,[1]Info!$E$2:$F$11,2,0),IF(K508="FGP",VLOOKUP(F508,[1]Info!$E$9:$F$10,2,0),IF(K508="F10",VLOOKUP(F508,[1]Info!$E$2:$F$3,2,0),VLOOKUP(K508,[1]Info!$A$1:$B$21,2,0))))))</f>
        <v>#N/A</v>
      </c>
    </row>
    <row r="509" spans="1:24" x14ac:dyDescent="0.35">
      <c r="A509" t="s">
        <v>41</v>
      </c>
      <c r="B509" t="s">
        <v>65</v>
      </c>
      <c r="C509" t="s">
        <v>66</v>
      </c>
      <c r="D509" t="s">
        <v>100</v>
      </c>
      <c r="E509" t="s">
        <v>65</v>
      </c>
      <c r="F509">
        <v>7097052</v>
      </c>
      <c r="G509" t="s">
        <v>215</v>
      </c>
      <c r="H509" t="s">
        <v>68</v>
      </c>
      <c r="I509" t="s">
        <v>69</v>
      </c>
      <c r="J509" t="s">
        <v>50</v>
      </c>
      <c r="K509" t="s">
        <v>3</v>
      </c>
      <c r="L509" t="s">
        <v>51</v>
      </c>
      <c r="M509" t="s">
        <v>46</v>
      </c>
      <c r="N509" t="s">
        <v>47</v>
      </c>
      <c r="O509" t="s">
        <v>854</v>
      </c>
      <c r="P509" t="s">
        <v>1292</v>
      </c>
      <c r="Q509" t="s">
        <v>46</v>
      </c>
      <c r="R509" t="s">
        <v>47</v>
      </c>
      <c r="S509" t="s">
        <v>46</v>
      </c>
      <c r="T509" t="s">
        <v>46</v>
      </c>
      <c r="U509" s="4">
        <v>-1959.28</v>
      </c>
      <c r="V509" t="str">
        <f t="shared" si="7"/>
        <v>C020</v>
      </c>
      <c r="W509" t="str">
        <f>VLOOKUP(K509,[1]Info!A$1:B$21,2,0)</f>
        <v>Carregadeira</v>
      </c>
      <c r="X509" t="e">
        <f>IF(M509="109595132","Material de Limpeza-Não Avaliar",IF(AND(K509="F20",M509&lt;&gt;109595132),IF(RIGHT(F509,2)="70","Infraestrutura de Planta","Prédios e Instalações"),IF(K509="FPC",VLOOKUP(F509,[1]Info!$E$2:$F$11,2,0),IF(K509="FGP",VLOOKUP(F509,[1]Info!$E$9:$F$10,2,0),IF(K509="F10",VLOOKUP(F509,[1]Info!$E$2:$F$3,2,0),VLOOKUP(K509,[1]Info!$A$1:$B$21,2,0))))))</f>
        <v>#N/A</v>
      </c>
    </row>
    <row r="510" spans="1:24" x14ac:dyDescent="0.35">
      <c r="A510" t="s">
        <v>41</v>
      </c>
      <c r="B510" t="s">
        <v>65</v>
      </c>
      <c r="C510" t="s">
        <v>66</v>
      </c>
      <c r="D510" t="s">
        <v>100</v>
      </c>
      <c r="E510" t="s">
        <v>65</v>
      </c>
      <c r="F510">
        <v>7097052</v>
      </c>
      <c r="G510" t="s">
        <v>215</v>
      </c>
      <c r="H510" t="s">
        <v>68</v>
      </c>
      <c r="I510" t="s">
        <v>69</v>
      </c>
      <c r="J510" t="s">
        <v>50</v>
      </c>
      <c r="K510" t="s">
        <v>3</v>
      </c>
      <c r="L510" t="s">
        <v>51</v>
      </c>
      <c r="M510" t="s">
        <v>46</v>
      </c>
      <c r="N510" t="s">
        <v>47</v>
      </c>
      <c r="O510" t="s">
        <v>142</v>
      </c>
      <c r="P510" t="s">
        <v>1292</v>
      </c>
      <c r="Q510" t="s">
        <v>46</v>
      </c>
      <c r="R510" t="s">
        <v>47</v>
      </c>
      <c r="S510" t="s">
        <v>46</v>
      </c>
      <c r="T510" t="s">
        <v>46</v>
      </c>
      <c r="U510" s="4">
        <v>-5583.95</v>
      </c>
      <c r="V510" t="str">
        <f t="shared" si="7"/>
        <v>C027</v>
      </c>
      <c r="W510" t="str">
        <f>VLOOKUP(K510,[1]Info!A$1:B$21,2,0)</f>
        <v>Carregadeira</v>
      </c>
      <c r="X510" t="e">
        <f>IF(M510="109595132","Material de Limpeza-Não Avaliar",IF(AND(K510="F20",M510&lt;&gt;109595132),IF(RIGHT(F510,2)="70","Infraestrutura de Planta","Prédios e Instalações"),IF(K510="FPC",VLOOKUP(F510,[1]Info!$E$2:$F$11,2,0),IF(K510="FGP",VLOOKUP(F510,[1]Info!$E$9:$F$10,2,0),IF(K510="F10",VLOOKUP(F510,[1]Info!$E$2:$F$3,2,0),VLOOKUP(K510,[1]Info!$A$1:$B$21,2,0))))))</f>
        <v>#N/A</v>
      </c>
    </row>
    <row r="511" spans="1:24" x14ac:dyDescent="0.35">
      <c r="A511" t="s">
        <v>41</v>
      </c>
      <c r="B511" t="s">
        <v>65</v>
      </c>
      <c r="C511" t="s">
        <v>66</v>
      </c>
      <c r="D511" t="s">
        <v>100</v>
      </c>
      <c r="E511" t="s">
        <v>65</v>
      </c>
      <c r="F511">
        <v>7097052</v>
      </c>
      <c r="G511" t="s">
        <v>215</v>
      </c>
      <c r="H511" t="s">
        <v>68</v>
      </c>
      <c r="I511" t="s">
        <v>69</v>
      </c>
      <c r="J511" t="s">
        <v>50</v>
      </c>
      <c r="K511" t="s">
        <v>3</v>
      </c>
      <c r="L511" t="s">
        <v>51</v>
      </c>
      <c r="M511" t="s">
        <v>46</v>
      </c>
      <c r="N511" t="s">
        <v>47</v>
      </c>
      <c r="O511" t="s">
        <v>286</v>
      </c>
      <c r="P511" t="s">
        <v>1292</v>
      </c>
      <c r="Q511" t="s">
        <v>46</v>
      </c>
      <c r="R511" t="s">
        <v>47</v>
      </c>
      <c r="S511" t="s">
        <v>46</v>
      </c>
      <c r="T511" t="s">
        <v>46</v>
      </c>
      <c r="U511" s="4">
        <v>-7719.59</v>
      </c>
      <c r="V511" t="str">
        <f t="shared" si="7"/>
        <v>C028</v>
      </c>
      <c r="W511" t="str">
        <f>VLOOKUP(K511,[1]Info!A$1:B$21,2,0)</f>
        <v>Carregadeira</v>
      </c>
      <c r="X511" t="e">
        <f>IF(M511="109595132","Material de Limpeza-Não Avaliar",IF(AND(K511="F20",M511&lt;&gt;109595132),IF(RIGHT(F511,2)="70","Infraestrutura de Planta","Prédios e Instalações"),IF(K511="FPC",VLOOKUP(F511,[1]Info!$E$2:$F$11,2,0),IF(K511="FGP",VLOOKUP(F511,[1]Info!$E$9:$F$10,2,0),IF(K511="F10",VLOOKUP(F511,[1]Info!$E$2:$F$3,2,0),VLOOKUP(K511,[1]Info!$A$1:$B$21,2,0))))))</f>
        <v>#N/A</v>
      </c>
    </row>
    <row r="512" spans="1:24" x14ac:dyDescent="0.35">
      <c r="A512" t="s">
        <v>41</v>
      </c>
      <c r="B512" t="s">
        <v>65</v>
      </c>
      <c r="C512" t="s">
        <v>66</v>
      </c>
      <c r="D512" t="s">
        <v>100</v>
      </c>
      <c r="E512" t="s">
        <v>65</v>
      </c>
      <c r="F512">
        <v>7097052</v>
      </c>
      <c r="G512" t="s">
        <v>215</v>
      </c>
      <c r="H512" t="s">
        <v>68</v>
      </c>
      <c r="I512" t="s">
        <v>69</v>
      </c>
      <c r="J512" t="s">
        <v>50</v>
      </c>
      <c r="K512" t="s">
        <v>3</v>
      </c>
      <c r="L512" t="s">
        <v>51</v>
      </c>
      <c r="M512" t="s">
        <v>46</v>
      </c>
      <c r="N512" t="s">
        <v>47</v>
      </c>
      <c r="O512" t="s">
        <v>1171</v>
      </c>
      <c r="P512" t="s">
        <v>1292</v>
      </c>
      <c r="Q512" t="s">
        <v>46</v>
      </c>
      <c r="R512" t="s">
        <v>47</v>
      </c>
      <c r="S512" t="s">
        <v>46</v>
      </c>
      <c r="T512" t="s">
        <v>46</v>
      </c>
      <c r="U512" s="4">
        <v>-4114.4799999999996</v>
      </c>
      <c r="V512" t="str">
        <f t="shared" si="7"/>
        <v>C029</v>
      </c>
      <c r="W512" t="str">
        <f>VLOOKUP(K512,[1]Info!A$1:B$21,2,0)</f>
        <v>Carregadeira</v>
      </c>
      <c r="X512" t="e">
        <f>IF(M512="109595132","Material de Limpeza-Não Avaliar",IF(AND(K512="F20",M512&lt;&gt;109595132),IF(RIGHT(F512,2)="70","Infraestrutura de Planta","Prédios e Instalações"),IF(K512="FPC",VLOOKUP(F512,[1]Info!$E$2:$F$11,2,0),IF(K512="FGP",VLOOKUP(F512,[1]Info!$E$9:$F$10,2,0),IF(K512="F10",VLOOKUP(F512,[1]Info!$E$2:$F$3,2,0),VLOOKUP(K512,[1]Info!$A$1:$B$21,2,0))))))</f>
        <v>#N/A</v>
      </c>
    </row>
    <row r="513" spans="1:24" x14ac:dyDescent="0.35">
      <c r="A513" t="s">
        <v>41</v>
      </c>
      <c r="B513" t="s">
        <v>65</v>
      </c>
      <c r="C513" t="s">
        <v>66</v>
      </c>
      <c r="D513" t="s">
        <v>100</v>
      </c>
      <c r="E513" t="s">
        <v>65</v>
      </c>
      <c r="F513">
        <v>7097052</v>
      </c>
      <c r="G513" t="s">
        <v>215</v>
      </c>
      <c r="H513" t="s">
        <v>68</v>
      </c>
      <c r="I513" t="s">
        <v>69</v>
      </c>
      <c r="J513" t="s">
        <v>50</v>
      </c>
      <c r="K513" t="s">
        <v>3</v>
      </c>
      <c r="L513" t="s">
        <v>51</v>
      </c>
      <c r="M513" t="s">
        <v>46</v>
      </c>
      <c r="N513" t="s">
        <v>47</v>
      </c>
      <c r="O513" t="s">
        <v>98</v>
      </c>
      <c r="P513" t="s">
        <v>1292</v>
      </c>
      <c r="Q513" t="s">
        <v>46</v>
      </c>
      <c r="R513" t="s">
        <v>47</v>
      </c>
      <c r="S513" t="s">
        <v>46</v>
      </c>
      <c r="T513" t="s">
        <v>46</v>
      </c>
      <c r="U513" s="4">
        <v>-10188.27</v>
      </c>
      <c r="V513" t="str">
        <f t="shared" si="7"/>
        <v>C030</v>
      </c>
      <c r="W513" t="str">
        <f>VLOOKUP(K513,[1]Info!A$1:B$21,2,0)</f>
        <v>Carregadeira</v>
      </c>
      <c r="X513" t="e">
        <f>IF(M513="109595132","Material de Limpeza-Não Avaliar",IF(AND(K513="F20",M513&lt;&gt;109595132),IF(RIGHT(F513,2)="70","Infraestrutura de Planta","Prédios e Instalações"),IF(K513="FPC",VLOOKUP(F513,[1]Info!$E$2:$F$11,2,0),IF(K513="FGP",VLOOKUP(F513,[1]Info!$E$9:$F$10,2,0),IF(K513="F10",VLOOKUP(F513,[1]Info!$E$2:$F$3,2,0),VLOOKUP(K513,[1]Info!$A$1:$B$21,2,0))))))</f>
        <v>#N/A</v>
      </c>
    </row>
    <row r="514" spans="1:24" x14ac:dyDescent="0.35">
      <c r="A514" t="s">
        <v>41</v>
      </c>
      <c r="B514" t="s">
        <v>65</v>
      </c>
      <c r="C514" t="s">
        <v>66</v>
      </c>
      <c r="D514" t="s">
        <v>100</v>
      </c>
      <c r="E514" t="s">
        <v>65</v>
      </c>
      <c r="F514">
        <v>7097052</v>
      </c>
      <c r="G514" t="s">
        <v>215</v>
      </c>
      <c r="H514" t="s">
        <v>68</v>
      </c>
      <c r="I514" t="s">
        <v>69</v>
      </c>
      <c r="J514" t="s">
        <v>50</v>
      </c>
      <c r="K514" t="s">
        <v>3</v>
      </c>
      <c r="L514" t="s">
        <v>51</v>
      </c>
      <c r="M514" t="s">
        <v>46</v>
      </c>
      <c r="N514" t="s">
        <v>47</v>
      </c>
      <c r="O514" t="s">
        <v>101</v>
      </c>
      <c r="P514" t="s">
        <v>1292</v>
      </c>
      <c r="Q514" t="s">
        <v>46</v>
      </c>
      <c r="R514" t="s">
        <v>47</v>
      </c>
      <c r="S514" t="s">
        <v>46</v>
      </c>
      <c r="T514" t="s">
        <v>46</v>
      </c>
      <c r="U514" s="4">
        <v>-20239.41</v>
      </c>
      <c r="V514" t="str">
        <f t="shared" si="7"/>
        <v>C031</v>
      </c>
      <c r="W514" t="str">
        <f>VLOOKUP(K514,[1]Info!A$1:B$21,2,0)</f>
        <v>Carregadeira</v>
      </c>
      <c r="X514" t="e">
        <f>IF(M514="109595132","Material de Limpeza-Não Avaliar",IF(AND(K514="F20",M514&lt;&gt;109595132),IF(RIGHT(F514,2)="70","Infraestrutura de Planta","Prédios e Instalações"),IF(K514="FPC",VLOOKUP(F514,[1]Info!$E$2:$F$11,2,0),IF(K514="FGP",VLOOKUP(F514,[1]Info!$E$9:$F$10,2,0),IF(K514="F10",VLOOKUP(F514,[1]Info!$E$2:$F$3,2,0),VLOOKUP(K514,[1]Info!$A$1:$B$21,2,0))))))</f>
        <v>#N/A</v>
      </c>
    </row>
    <row r="515" spans="1:24" x14ac:dyDescent="0.35">
      <c r="A515" t="s">
        <v>41</v>
      </c>
      <c r="B515" t="s">
        <v>65</v>
      </c>
      <c r="C515" t="s">
        <v>66</v>
      </c>
      <c r="D515" t="s">
        <v>100</v>
      </c>
      <c r="E515" t="s">
        <v>65</v>
      </c>
      <c r="F515">
        <v>7097052</v>
      </c>
      <c r="G515" t="s">
        <v>215</v>
      </c>
      <c r="H515" t="s">
        <v>68</v>
      </c>
      <c r="I515" t="s">
        <v>69</v>
      </c>
      <c r="J515" t="s">
        <v>50</v>
      </c>
      <c r="K515" t="s">
        <v>3</v>
      </c>
      <c r="L515" t="s">
        <v>51</v>
      </c>
      <c r="M515" t="s">
        <v>46</v>
      </c>
      <c r="N515" t="s">
        <v>47</v>
      </c>
      <c r="O515" t="s">
        <v>170</v>
      </c>
      <c r="P515" t="s">
        <v>1292</v>
      </c>
      <c r="Q515" t="s">
        <v>46</v>
      </c>
      <c r="R515" t="s">
        <v>47</v>
      </c>
      <c r="S515" t="s">
        <v>46</v>
      </c>
      <c r="T515" t="s">
        <v>46</v>
      </c>
      <c r="U515" s="4">
        <v>-3134.85</v>
      </c>
      <c r="V515" t="str">
        <f t="shared" si="7"/>
        <v>C032</v>
      </c>
      <c r="W515" t="str">
        <f>VLOOKUP(K515,[1]Info!A$1:B$21,2,0)</f>
        <v>Carregadeira</v>
      </c>
      <c r="X515" t="e">
        <f>IF(M515="109595132","Material de Limpeza-Não Avaliar",IF(AND(K515="F20",M515&lt;&gt;109595132),IF(RIGHT(F515,2)="70","Infraestrutura de Planta","Prédios e Instalações"),IF(K515="FPC",VLOOKUP(F515,[1]Info!$E$2:$F$11,2,0),IF(K515="FGP",VLOOKUP(F515,[1]Info!$E$9:$F$10,2,0),IF(K515="F10",VLOOKUP(F515,[1]Info!$E$2:$F$3,2,0),VLOOKUP(K515,[1]Info!$A$1:$B$21,2,0))))))</f>
        <v>#N/A</v>
      </c>
    </row>
    <row r="516" spans="1:24" x14ac:dyDescent="0.35">
      <c r="A516" t="s">
        <v>41</v>
      </c>
      <c r="B516" t="s">
        <v>65</v>
      </c>
      <c r="C516" t="s">
        <v>66</v>
      </c>
      <c r="D516" t="s">
        <v>100</v>
      </c>
      <c r="E516" t="s">
        <v>65</v>
      </c>
      <c r="F516">
        <v>7097052</v>
      </c>
      <c r="G516" t="s">
        <v>215</v>
      </c>
      <c r="H516" t="s">
        <v>68</v>
      </c>
      <c r="I516" t="s">
        <v>69</v>
      </c>
      <c r="J516" t="s">
        <v>50</v>
      </c>
      <c r="K516" t="s">
        <v>3</v>
      </c>
      <c r="L516" t="s">
        <v>51</v>
      </c>
      <c r="M516" t="s">
        <v>46</v>
      </c>
      <c r="N516" t="s">
        <v>47</v>
      </c>
      <c r="O516" t="s">
        <v>287</v>
      </c>
      <c r="P516" t="s">
        <v>1292</v>
      </c>
      <c r="Q516" t="s">
        <v>46</v>
      </c>
      <c r="R516" t="s">
        <v>47</v>
      </c>
      <c r="S516" t="s">
        <v>46</v>
      </c>
      <c r="T516" t="s">
        <v>46</v>
      </c>
      <c r="U516" s="4">
        <v>-2547.06</v>
      </c>
      <c r="V516" t="str">
        <f t="shared" ref="V516:V579" si="8">RIGHT(O516,4)</f>
        <v>C033</v>
      </c>
      <c r="W516" t="str">
        <f>VLOOKUP(K516,[1]Info!A$1:B$21,2,0)</f>
        <v>Carregadeira</v>
      </c>
      <c r="X516" t="e">
        <f>IF(M516="109595132","Material de Limpeza-Não Avaliar",IF(AND(K516="F20",M516&lt;&gt;109595132),IF(RIGHT(F516,2)="70","Infraestrutura de Planta","Prédios e Instalações"),IF(K516="FPC",VLOOKUP(F516,[1]Info!$E$2:$F$11,2,0),IF(K516="FGP",VLOOKUP(F516,[1]Info!$E$9:$F$10,2,0),IF(K516="F10",VLOOKUP(F516,[1]Info!$E$2:$F$3,2,0),VLOOKUP(K516,[1]Info!$A$1:$B$21,2,0))))))</f>
        <v>#N/A</v>
      </c>
    </row>
    <row r="517" spans="1:24" x14ac:dyDescent="0.35">
      <c r="A517" t="s">
        <v>41</v>
      </c>
      <c r="B517" t="s">
        <v>65</v>
      </c>
      <c r="C517" t="s">
        <v>66</v>
      </c>
      <c r="D517" t="s">
        <v>100</v>
      </c>
      <c r="E517" t="s">
        <v>65</v>
      </c>
      <c r="F517">
        <v>7097052</v>
      </c>
      <c r="G517" t="s">
        <v>215</v>
      </c>
      <c r="H517" t="s">
        <v>68</v>
      </c>
      <c r="I517" t="s">
        <v>69</v>
      </c>
      <c r="J517" t="s">
        <v>50</v>
      </c>
      <c r="K517" t="s">
        <v>3</v>
      </c>
      <c r="L517" t="s">
        <v>51</v>
      </c>
      <c r="M517" t="s">
        <v>46</v>
      </c>
      <c r="N517" t="s">
        <v>47</v>
      </c>
      <c r="O517" t="s">
        <v>1558</v>
      </c>
      <c r="P517" t="s">
        <v>1292</v>
      </c>
      <c r="Q517" t="s">
        <v>46</v>
      </c>
      <c r="R517" t="s">
        <v>47</v>
      </c>
      <c r="S517" t="s">
        <v>46</v>
      </c>
      <c r="T517" t="s">
        <v>46</v>
      </c>
      <c r="U517" s="4">
        <v>-3134.85</v>
      </c>
      <c r="V517" t="str">
        <f t="shared" si="8"/>
        <v>C034</v>
      </c>
      <c r="W517" t="str">
        <f>VLOOKUP(K517,[1]Info!A$1:B$21,2,0)</f>
        <v>Carregadeira</v>
      </c>
      <c r="X517" t="e">
        <f>IF(M517="109595132","Material de Limpeza-Não Avaliar",IF(AND(K517="F20",M517&lt;&gt;109595132),IF(RIGHT(F517,2)="70","Infraestrutura de Planta","Prédios e Instalações"),IF(K517="FPC",VLOOKUP(F517,[1]Info!$E$2:$F$11,2,0),IF(K517="FGP",VLOOKUP(F517,[1]Info!$E$9:$F$10,2,0),IF(K517="F10",VLOOKUP(F517,[1]Info!$E$2:$F$3,2,0),VLOOKUP(K517,[1]Info!$A$1:$B$21,2,0))))))</f>
        <v>#N/A</v>
      </c>
    </row>
    <row r="518" spans="1:24" x14ac:dyDescent="0.35">
      <c r="A518" t="s">
        <v>41</v>
      </c>
      <c r="B518" t="s">
        <v>65</v>
      </c>
      <c r="C518" t="s">
        <v>66</v>
      </c>
      <c r="D518" t="s">
        <v>100</v>
      </c>
      <c r="E518" t="s">
        <v>65</v>
      </c>
      <c r="F518">
        <v>7097052</v>
      </c>
      <c r="G518" t="s">
        <v>215</v>
      </c>
      <c r="H518" t="s">
        <v>68</v>
      </c>
      <c r="I518" t="s">
        <v>69</v>
      </c>
      <c r="J518" t="s">
        <v>50</v>
      </c>
      <c r="K518" t="s">
        <v>3</v>
      </c>
      <c r="L518" t="s">
        <v>51</v>
      </c>
      <c r="M518" t="s">
        <v>46</v>
      </c>
      <c r="N518" t="s">
        <v>47</v>
      </c>
      <c r="O518" t="s">
        <v>945</v>
      </c>
      <c r="P518" t="s">
        <v>1292</v>
      </c>
      <c r="Q518" t="s">
        <v>46</v>
      </c>
      <c r="R518" t="s">
        <v>47</v>
      </c>
      <c r="S518" t="s">
        <v>46</v>
      </c>
      <c r="T518" t="s">
        <v>46</v>
      </c>
      <c r="U518" s="4">
        <v>-22727.66</v>
      </c>
      <c r="V518" t="str">
        <f t="shared" si="8"/>
        <v>C035</v>
      </c>
      <c r="W518" t="str">
        <f>VLOOKUP(K518,[1]Info!A$1:B$21,2,0)</f>
        <v>Carregadeira</v>
      </c>
      <c r="X518" t="e">
        <f>IF(M518="109595132","Material de Limpeza-Não Avaliar",IF(AND(K518="F20",M518&lt;&gt;109595132),IF(RIGHT(F518,2)="70","Infraestrutura de Planta","Prédios e Instalações"),IF(K518="FPC",VLOOKUP(F518,[1]Info!$E$2:$F$11,2,0),IF(K518="FGP",VLOOKUP(F518,[1]Info!$E$9:$F$10,2,0),IF(K518="F10",VLOOKUP(F518,[1]Info!$E$2:$F$3,2,0),VLOOKUP(K518,[1]Info!$A$1:$B$21,2,0))))))</f>
        <v>#N/A</v>
      </c>
    </row>
    <row r="519" spans="1:24" x14ac:dyDescent="0.35">
      <c r="A519" t="s">
        <v>41</v>
      </c>
      <c r="B519" t="s">
        <v>65</v>
      </c>
      <c r="C519" t="s">
        <v>66</v>
      </c>
      <c r="D519" t="s">
        <v>100</v>
      </c>
      <c r="E519" t="s">
        <v>65</v>
      </c>
      <c r="F519">
        <v>7097052</v>
      </c>
      <c r="G519" t="s">
        <v>215</v>
      </c>
      <c r="H519" t="s">
        <v>68</v>
      </c>
      <c r="I519" t="s">
        <v>69</v>
      </c>
      <c r="J519" t="s">
        <v>50</v>
      </c>
      <c r="K519" t="s">
        <v>3</v>
      </c>
      <c r="L519" t="s">
        <v>51</v>
      </c>
      <c r="M519" t="s">
        <v>46</v>
      </c>
      <c r="N519" t="s">
        <v>47</v>
      </c>
      <c r="O519" t="s">
        <v>204</v>
      </c>
      <c r="P519" t="s">
        <v>1292</v>
      </c>
      <c r="Q519" t="s">
        <v>46</v>
      </c>
      <c r="R519" t="s">
        <v>47</v>
      </c>
      <c r="S519" t="s">
        <v>46</v>
      </c>
      <c r="T519" t="s">
        <v>46</v>
      </c>
      <c r="U519" s="4">
        <v>-3918.56</v>
      </c>
      <c r="V519" t="str">
        <f t="shared" si="8"/>
        <v>C038</v>
      </c>
      <c r="W519" t="str">
        <f>VLOOKUP(K519,[1]Info!A$1:B$21,2,0)</f>
        <v>Carregadeira</v>
      </c>
      <c r="X519" t="e">
        <f>IF(M519="109595132","Material de Limpeza-Não Avaliar",IF(AND(K519="F20",M519&lt;&gt;109595132),IF(RIGHT(F519,2)="70","Infraestrutura de Planta","Prédios e Instalações"),IF(K519="FPC",VLOOKUP(F519,[1]Info!$E$2:$F$11,2,0),IF(K519="FGP",VLOOKUP(F519,[1]Info!$E$9:$F$10,2,0),IF(K519="F10",VLOOKUP(F519,[1]Info!$E$2:$F$3,2,0),VLOOKUP(K519,[1]Info!$A$1:$B$21,2,0))))))</f>
        <v>#N/A</v>
      </c>
    </row>
    <row r="520" spans="1:24" x14ac:dyDescent="0.35">
      <c r="A520" t="s">
        <v>41</v>
      </c>
      <c r="B520" t="s">
        <v>65</v>
      </c>
      <c r="C520" t="s">
        <v>66</v>
      </c>
      <c r="D520" t="s">
        <v>100</v>
      </c>
      <c r="E520" t="s">
        <v>65</v>
      </c>
      <c r="F520">
        <v>7097052</v>
      </c>
      <c r="G520" t="s">
        <v>215</v>
      </c>
      <c r="H520" t="s">
        <v>68</v>
      </c>
      <c r="I520" t="s">
        <v>69</v>
      </c>
      <c r="J520" t="s">
        <v>50</v>
      </c>
      <c r="K520" t="s">
        <v>3</v>
      </c>
      <c r="L520" t="s">
        <v>51</v>
      </c>
      <c r="M520" t="s">
        <v>46</v>
      </c>
      <c r="N520" t="s">
        <v>47</v>
      </c>
      <c r="O520" t="s">
        <v>1562</v>
      </c>
      <c r="P520" t="s">
        <v>1292</v>
      </c>
      <c r="Q520" t="s">
        <v>46</v>
      </c>
      <c r="R520" t="s">
        <v>47</v>
      </c>
      <c r="S520" t="s">
        <v>46</v>
      </c>
      <c r="T520" t="s">
        <v>46</v>
      </c>
      <c r="U520" s="4">
        <v>-685.75</v>
      </c>
      <c r="V520" t="str">
        <f t="shared" si="8"/>
        <v>C039</v>
      </c>
      <c r="W520" t="str">
        <f>VLOOKUP(K520,[1]Info!A$1:B$21,2,0)</f>
        <v>Carregadeira</v>
      </c>
      <c r="X520" t="e">
        <f>IF(M520="109595132","Material de Limpeza-Não Avaliar",IF(AND(K520="F20",M520&lt;&gt;109595132),IF(RIGHT(F520,2)="70","Infraestrutura de Planta","Prédios e Instalações"),IF(K520="FPC",VLOOKUP(F520,[1]Info!$E$2:$F$11,2,0),IF(K520="FGP",VLOOKUP(F520,[1]Info!$E$9:$F$10,2,0),IF(K520="F10",VLOOKUP(F520,[1]Info!$E$2:$F$3,2,0),VLOOKUP(K520,[1]Info!$A$1:$B$21,2,0))))))</f>
        <v>#N/A</v>
      </c>
    </row>
    <row r="521" spans="1:24" x14ac:dyDescent="0.35">
      <c r="A521" t="s">
        <v>41</v>
      </c>
      <c r="B521" t="s">
        <v>65</v>
      </c>
      <c r="C521" t="s">
        <v>66</v>
      </c>
      <c r="D521" t="s">
        <v>100</v>
      </c>
      <c r="E521" t="s">
        <v>65</v>
      </c>
      <c r="F521">
        <v>7097052</v>
      </c>
      <c r="G521" t="s">
        <v>215</v>
      </c>
      <c r="H521" t="s">
        <v>68</v>
      </c>
      <c r="I521" t="s">
        <v>69</v>
      </c>
      <c r="J521" t="s">
        <v>50</v>
      </c>
      <c r="K521" t="s">
        <v>3</v>
      </c>
      <c r="L521" t="s">
        <v>51</v>
      </c>
      <c r="M521" t="s">
        <v>46</v>
      </c>
      <c r="N521" t="s">
        <v>47</v>
      </c>
      <c r="O521" t="s">
        <v>1070</v>
      </c>
      <c r="P521" t="s">
        <v>1292</v>
      </c>
      <c r="Q521" t="s">
        <v>46</v>
      </c>
      <c r="R521" t="s">
        <v>47</v>
      </c>
      <c r="S521" t="s">
        <v>46</v>
      </c>
      <c r="T521" t="s">
        <v>46</v>
      </c>
      <c r="U521" s="4">
        <v>-10384.200000000001</v>
      </c>
      <c r="V521" t="str">
        <f t="shared" si="8"/>
        <v>C041</v>
      </c>
      <c r="W521" t="str">
        <f>VLOOKUP(K521,[1]Info!A$1:B$21,2,0)</f>
        <v>Carregadeira</v>
      </c>
      <c r="X521" t="e">
        <f>IF(M521="109595132","Material de Limpeza-Não Avaliar",IF(AND(K521="F20",M521&lt;&gt;109595132),IF(RIGHT(F521,2)="70","Infraestrutura de Planta","Prédios e Instalações"),IF(K521="FPC",VLOOKUP(F521,[1]Info!$E$2:$F$11,2,0),IF(K521="FGP",VLOOKUP(F521,[1]Info!$E$9:$F$10,2,0),IF(K521="F10",VLOOKUP(F521,[1]Info!$E$2:$F$3,2,0),VLOOKUP(K521,[1]Info!$A$1:$B$21,2,0))))))</f>
        <v>#N/A</v>
      </c>
    </row>
    <row r="522" spans="1:24" x14ac:dyDescent="0.35">
      <c r="A522" t="s">
        <v>41</v>
      </c>
      <c r="B522" t="s">
        <v>65</v>
      </c>
      <c r="C522" t="s">
        <v>66</v>
      </c>
      <c r="D522" t="s">
        <v>100</v>
      </c>
      <c r="E522" t="s">
        <v>65</v>
      </c>
      <c r="F522">
        <v>7097052</v>
      </c>
      <c r="G522" t="s">
        <v>215</v>
      </c>
      <c r="H522" t="s">
        <v>68</v>
      </c>
      <c r="I522" t="s">
        <v>69</v>
      </c>
      <c r="J522" t="s">
        <v>50</v>
      </c>
      <c r="K522" t="s">
        <v>3</v>
      </c>
      <c r="L522" t="s">
        <v>51</v>
      </c>
      <c r="M522" t="s">
        <v>46</v>
      </c>
      <c r="N522" t="s">
        <v>47</v>
      </c>
      <c r="O522" t="s">
        <v>1073</v>
      </c>
      <c r="P522" t="s">
        <v>1292</v>
      </c>
      <c r="Q522" t="s">
        <v>46</v>
      </c>
      <c r="R522" t="s">
        <v>47</v>
      </c>
      <c r="S522" t="s">
        <v>46</v>
      </c>
      <c r="T522" t="s">
        <v>46</v>
      </c>
      <c r="U522" s="4">
        <v>-8914.74</v>
      </c>
      <c r="V522" t="str">
        <f t="shared" si="8"/>
        <v>C042</v>
      </c>
      <c r="W522" t="str">
        <f>VLOOKUP(K522,[1]Info!A$1:B$21,2,0)</f>
        <v>Carregadeira</v>
      </c>
      <c r="X522" t="e">
        <f>IF(M522="109595132","Material de Limpeza-Não Avaliar",IF(AND(K522="F20",M522&lt;&gt;109595132),IF(RIGHT(F522,2)="70","Infraestrutura de Planta","Prédios e Instalações"),IF(K522="FPC",VLOOKUP(F522,[1]Info!$E$2:$F$11,2,0),IF(K522="FGP",VLOOKUP(F522,[1]Info!$E$9:$F$10,2,0),IF(K522="F10",VLOOKUP(F522,[1]Info!$E$2:$F$3,2,0),VLOOKUP(K522,[1]Info!$A$1:$B$21,2,0))))))</f>
        <v>#N/A</v>
      </c>
    </row>
    <row r="523" spans="1:24" x14ac:dyDescent="0.35">
      <c r="A523" t="s">
        <v>41</v>
      </c>
      <c r="B523" t="s">
        <v>65</v>
      </c>
      <c r="C523" t="s">
        <v>66</v>
      </c>
      <c r="D523" t="s">
        <v>100</v>
      </c>
      <c r="E523" t="s">
        <v>65</v>
      </c>
      <c r="F523">
        <v>7097052</v>
      </c>
      <c r="G523" t="s">
        <v>215</v>
      </c>
      <c r="H523" t="s">
        <v>68</v>
      </c>
      <c r="I523" t="s">
        <v>69</v>
      </c>
      <c r="J523" t="s">
        <v>50</v>
      </c>
      <c r="K523" t="s">
        <v>3</v>
      </c>
      <c r="L523" t="s">
        <v>51</v>
      </c>
      <c r="M523" t="s">
        <v>46</v>
      </c>
      <c r="N523" t="s">
        <v>47</v>
      </c>
      <c r="O523" t="s">
        <v>82</v>
      </c>
      <c r="P523" t="s">
        <v>1292</v>
      </c>
      <c r="Q523" t="s">
        <v>46</v>
      </c>
      <c r="R523" t="s">
        <v>47</v>
      </c>
      <c r="S523" t="s">
        <v>46</v>
      </c>
      <c r="T523" t="s">
        <v>46</v>
      </c>
      <c r="U523" s="4">
        <v>-4016.53</v>
      </c>
      <c r="V523" t="str">
        <f t="shared" si="8"/>
        <v>C043</v>
      </c>
      <c r="W523" t="str">
        <f>VLOOKUP(K523,[1]Info!A$1:B$21,2,0)</f>
        <v>Carregadeira</v>
      </c>
      <c r="X523" t="e">
        <f>IF(M523="109595132","Material de Limpeza-Não Avaliar",IF(AND(K523="F20",M523&lt;&gt;109595132),IF(RIGHT(F523,2)="70","Infraestrutura de Planta","Prédios e Instalações"),IF(K523="FPC",VLOOKUP(F523,[1]Info!$E$2:$F$11,2,0),IF(K523="FGP",VLOOKUP(F523,[1]Info!$E$9:$F$10,2,0),IF(K523="F10",VLOOKUP(F523,[1]Info!$E$2:$F$3,2,0),VLOOKUP(K523,[1]Info!$A$1:$B$21,2,0))))))</f>
        <v>#N/A</v>
      </c>
    </row>
    <row r="524" spans="1:24" x14ac:dyDescent="0.35">
      <c r="A524" t="s">
        <v>41</v>
      </c>
      <c r="B524" t="s">
        <v>65</v>
      </c>
      <c r="C524" t="s">
        <v>66</v>
      </c>
      <c r="D524" t="s">
        <v>100</v>
      </c>
      <c r="E524" t="s">
        <v>65</v>
      </c>
      <c r="F524">
        <v>7097052</v>
      </c>
      <c r="G524" t="s">
        <v>215</v>
      </c>
      <c r="H524" t="s">
        <v>68</v>
      </c>
      <c r="I524" t="s">
        <v>69</v>
      </c>
      <c r="J524" t="s">
        <v>50</v>
      </c>
      <c r="K524" t="s">
        <v>3</v>
      </c>
      <c r="L524" t="s">
        <v>51</v>
      </c>
      <c r="M524" t="s">
        <v>46</v>
      </c>
      <c r="N524" t="s">
        <v>47</v>
      </c>
      <c r="O524" t="s">
        <v>121</v>
      </c>
      <c r="P524" t="s">
        <v>1292</v>
      </c>
      <c r="Q524" t="s">
        <v>46</v>
      </c>
      <c r="R524" t="s">
        <v>47</v>
      </c>
      <c r="S524" t="s">
        <v>46</v>
      </c>
      <c r="T524" t="s">
        <v>46</v>
      </c>
      <c r="U524" s="4">
        <v>-15674.25</v>
      </c>
      <c r="V524" t="str">
        <f t="shared" si="8"/>
        <v>C044</v>
      </c>
      <c r="W524" t="str">
        <f>VLOOKUP(K524,[1]Info!A$1:B$21,2,0)</f>
        <v>Carregadeira</v>
      </c>
      <c r="X524" t="e">
        <f>IF(M524="109595132","Material de Limpeza-Não Avaliar",IF(AND(K524="F20",M524&lt;&gt;109595132),IF(RIGHT(F524,2)="70","Infraestrutura de Planta","Prédios e Instalações"),IF(K524="FPC",VLOOKUP(F524,[1]Info!$E$2:$F$11,2,0),IF(K524="FGP",VLOOKUP(F524,[1]Info!$E$9:$F$10,2,0),IF(K524="F10",VLOOKUP(F524,[1]Info!$E$2:$F$3,2,0),VLOOKUP(K524,[1]Info!$A$1:$B$21,2,0))))))</f>
        <v>#N/A</v>
      </c>
    </row>
    <row r="525" spans="1:24" x14ac:dyDescent="0.35">
      <c r="A525" t="s">
        <v>41</v>
      </c>
      <c r="B525" t="s">
        <v>65</v>
      </c>
      <c r="C525" t="s">
        <v>66</v>
      </c>
      <c r="D525" t="s">
        <v>100</v>
      </c>
      <c r="E525" t="s">
        <v>65</v>
      </c>
      <c r="F525">
        <v>7097052</v>
      </c>
      <c r="G525" t="s">
        <v>215</v>
      </c>
      <c r="H525" t="s">
        <v>68</v>
      </c>
      <c r="I525" t="s">
        <v>69</v>
      </c>
      <c r="J525" t="s">
        <v>50</v>
      </c>
      <c r="K525" t="s">
        <v>3</v>
      </c>
      <c r="L525" t="s">
        <v>51</v>
      </c>
      <c r="M525" t="s">
        <v>46</v>
      </c>
      <c r="N525" t="s">
        <v>47</v>
      </c>
      <c r="O525" t="s">
        <v>288</v>
      </c>
      <c r="P525" t="s">
        <v>1292</v>
      </c>
      <c r="Q525" t="s">
        <v>46</v>
      </c>
      <c r="R525" t="s">
        <v>47</v>
      </c>
      <c r="S525" t="s">
        <v>46</v>
      </c>
      <c r="T525" t="s">
        <v>46</v>
      </c>
      <c r="U525" s="4">
        <v>-2938.92</v>
      </c>
      <c r="V525" t="str">
        <f t="shared" si="8"/>
        <v>C045</v>
      </c>
      <c r="W525" t="str">
        <f>VLOOKUP(K525,[1]Info!A$1:B$21,2,0)</f>
        <v>Carregadeira</v>
      </c>
      <c r="X525" t="e">
        <f>IF(M525="109595132","Material de Limpeza-Não Avaliar",IF(AND(K525="F20",M525&lt;&gt;109595132),IF(RIGHT(F525,2)="70","Infraestrutura de Planta","Prédios e Instalações"),IF(K525="FPC",VLOOKUP(F525,[1]Info!$E$2:$F$11,2,0),IF(K525="FGP",VLOOKUP(F525,[1]Info!$E$9:$F$10,2,0),IF(K525="F10",VLOOKUP(F525,[1]Info!$E$2:$F$3,2,0),VLOOKUP(K525,[1]Info!$A$1:$B$21,2,0))))))</f>
        <v>#N/A</v>
      </c>
    </row>
    <row r="526" spans="1:24" x14ac:dyDescent="0.35">
      <c r="A526" t="s">
        <v>41</v>
      </c>
      <c r="B526" t="s">
        <v>65</v>
      </c>
      <c r="C526" t="s">
        <v>66</v>
      </c>
      <c r="D526" t="s">
        <v>100</v>
      </c>
      <c r="E526" t="s">
        <v>65</v>
      </c>
      <c r="F526">
        <v>7097052</v>
      </c>
      <c r="G526" t="s">
        <v>215</v>
      </c>
      <c r="H526" t="s">
        <v>68</v>
      </c>
      <c r="I526" t="s">
        <v>69</v>
      </c>
      <c r="J526" t="s">
        <v>50</v>
      </c>
      <c r="K526" t="s">
        <v>3</v>
      </c>
      <c r="L526" t="s">
        <v>51</v>
      </c>
      <c r="M526" t="s">
        <v>46</v>
      </c>
      <c r="N526" t="s">
        <v>47</v>
      </c>
      <c r="O526" t="s">
        <v>89</v>
      </c>
      <c r="P526" t="s">
        <v>1292</v>
      </c>
      <c r="Q526" t="s">
        <v>46</v>
      </c>
      <c r="R526" t="s">
        <v>47</v>
      </c>
      <c r="S526" t="s">
        <v>46</v>
      </c>
      <c r="T526" t="s">
        <v>46</v>
      </c>
      <c r="U526" s="4">
        <v>-15321.56</v>
      </c>
      <c r="V526" t="str">
        <f t="shared" si="8"/>
        <v>C046</v>
      </c>
      <c r="W526" t="str">
        <f>VLOOKUP(K526,[1]Info!A$1:B$21,2,0)</f>
        <v>Carregadeira</v>
      </c>
      <c r="X526" t="e">
        <f>IF(M526="109595132","Material de Limpeza-Não Avaliar",IF(AND(K526="F20",M526&lt;&gt;109595132),IF(RIGHT(F526,2)="70","Infraestrutura de Planta","Prédios e Instalações"),IF(K526="FPC",VLOOKUP(F526,[1]Info!$E$2:$F$11,2,0),IF(K526="FGP",VLOOKUP(F526,[1]Info!$E$9:$F$10,2,0),IF(K526="F10",VLOOKUP(F526,[1]Info!$E$2:$F$3,2,0),VLOOKUP(K526,[1]Info!$A$1:$B$21,2,0))))))</f>
        <v>#N/A</v>
      </c>
    </row>
    <row r="527" spans="1:24" x14ac:dyDescent="0.35">
      <c r="A527" t="s">
        <v>41</v>
      </c>
      <c r="B527" t="s">
        <v>65</v>
      </c>
      <c r="C527" t="s">
        <v>66</v>
      </c>
      <c r="D527" t="s">
        <v>100</v>
      </c>
      <c r="E527" t="s">
        <v>65</v>
      </c>
      <c r="F527">
        <v>7097052</v>
      </c>
      <c r="G527" t="s">
        <v>215</v>
      </c>
      <c r="H527" t="s">
        <v>68</v>
      </c>
      <c r="I527" t="s">
        <v>69</v>
      </c>
      <c r="J527" t="s">
        <v>50</v>
      </c>
      <c r="K527" t="s">
        <v>3</v>
      </c>
      <c r="L527" t="s">
        <v>51</v>
      </c>
      <c r="M527" t="s">
        <v>46</v>
      </c>
      <c r="N527" t="s">
        <v>47</v>
      </c>
      <c r="O527" t="s">
        <v>97</v>
      </c>
      <c r="P527" t="s">
        <v>1292</v>
      </c>
      <c r="Q527" t="s">
        <v>46</v>
      </c>
      <c r="R527" t="s">
        <v>47</v>
      </c>
      <c r="S527" t="s">
        <v>46</v>
      </c>
      <c r="T527" t="s">
        <v>46</v>
      </c>
      <c r="U527" s="4">
        <v>-15674.24</v>
      </c>
      <c r="V527" t="str">
        <f t="shared" si="8"/>
        <v>C047</v>
      </c>
      <c r="W527" t="str">
        <f>VLOOKUP(K527,[1]Info!A$1:B$21,2,0)</f>
        <v>Carregadeira</v>
      </c>
      <c r="X527" t="e">
        <f>IF(M527="109595132","Material de Limpeza-Não Avaliar",IF(AND(K527="F20",M527&lt;&gt;109595132),IF(RIGHT(F527,2)="70","Infraestrutura de Planta","Prédios e Instalações"),IF(K527="FPC",VLOOKUP(F527,[1]Info!$E$2:$F$11,2,0),IF(K527="FGP",VLOOKUP(F527,[1]Info!$E$9:$F$10,2,0),IF(K527="F10",VLOOKUP(F527,[1]Info!$E$2:$F$3,2,0),VLOOKUP(K527,[1]Info!$A$1:$B$21,2,0))))))</f>
        <v>#N/A</v>
      </c>
    </row>
    <row r="528" spans="1:24" x14ac:dyDescent="0.35">
      <c r="A528" t="s">
        <v>41</v>
      </c>
      <c r="B528" t="s">
        <v>65</v>
      </c>
      <c r="C528" t="s">
        <v>66</v>
      </c>
      <c r="D528" t="s">
        <v>100</v>
      </c>
      <c r="E528" t="s">
        <v>65</v>
      </c>
      <c r="F528">
        <v>7097052</v>
      </c>
      <c r="G528" t="s">
        <v>215</v>
      </c>
      <c r="H528" t="s">
        <v>68</v>
      </c>
      <c r="I528" t="s">
        <v>69</v>
      </c>
      <c r="J528" t="s">
        <v>50</v>
      </c>
      <c r="K528" t="s">
        <v>3</v>
      </c>
      <c r="L528" t="s">
        <v>51</v>
      </c>
      <c r="M528" t="s">
        <v>46</v>
      </c>
      <c r="N528" t="s">
        <v>47</v>
      </c>
      <c r="O528" t="s">
        <v>143</v>
      </c>
      <c r="P528" t="s">
        <v>1292</v>
      </c>
      <c r="Q528" t="s">
        <v>46</v>
      </c>
      <c r="R528" t="s">
        <v>47</v>
      </c>
      <c r="S528" t="s">
        <v>46</v>
      </c>
      <c r="T528" t="s">
        <v>46</v>
      </c>
      <c r="U528" s="4">
        <v>-8620.83</v>
      </c>
      <c r="V528" t="str">
        <f t="shared" si="8"/>
        <v>C048</v>
      </c>
      <c r="W528" t="str">
        <f>VLOOKUP(K528,[1]Info!A$1:B$21,2,0)</f>
        <v>Carregadeira</v>
      </c>
      <c r="X528" t="e">
        <f>IF(M528="109595132","Material de Limpeza-Não Avaliar",IF(AND(K528="F20",M528&lt;&gt;109595132),IF(RIGHT(F528,2)="70","Infraestrutura de Planta","Prédios e Instalações"),IF(K528="FPC",VLOOKUP(F528,[1]Info!$E$2:$F$11,2,0),IF(K528="FGP",VLOOKUP(F528,[1]Info!$E$9:$F$10,2,0),IF(K528="F10",VLOOKUP(F528,[1]Info!$E$2:$F$3,2,0),VLOOKUP(K528,[1]Info!$A$1:$B$21,2,0))))))</f>
        <v>#N/A</v>
      </c>
    </row>
    <row r="529" spans="1:24" x14ac:dyDescent="0.35">
      <c r="A529" t="s">
        <v>41</v>
      </c>
      <c r="B529" t="s">
        <v>65</v>
      </c>
      <c r="C529" t="s">
        <v>66</v>
      </c>
      <c r="D529" t="s">
        <v>100</v>
      </c>
      <c r="E529" t="s">
        <v>65</v>
      </c>
      <c r="F529">
        <v>7097052</v>
      </c>
      <c r="G529" t="s">
        <v>215</v>
      </c>
      <c r="H529" t="s">
        <v>68</v>
      </c>
      <c r="I529" t="s">
        <v>69</v>
      </c>
      <c r="J529" t="s">
        <v>50</v>
      </c>
      <c r="K529" t="s">
        <v>3</v>
      </c>
      <c r="L529" t="s">
        <v>51</v>
      </c>
      <c r="M529" t="s">
        <v>46</v>
      </c>
      <c r="N529" t="s">
        <v>47</v>
      </c>
      <c r="O529" t="s">
        <v>1176</v>
      </c>
      <c r="P529" t="s">
        <v>1292</v>
      </c>
      <c r="Q529" t="s">
        <v>46</v>
      </c>
      <c r="R529" t="s">
        <v>47</v>
      </c>
      <c r="S529" t="s">
        <v>46</v>
      </c>
      <c r="T529" t="s">
        <v>46</v>
      </c>
      <c r="U529" s="4">
        <v>-19024.62</v>
      </c>
      <c r="V529" t="str">
        <f t="shared" si="8"/>
        <v>C049</v>
      </c>
      <c r="W529" t="str">
        <f>VLOOKUP(K529,[1]Info!A$1:B$21,2,0)</f>
        <v>Carregadeira</v>
      </c>
      <c r="X529" t="e">
        <f>IF(M529="109595132","Material de Limpeza-Não Avaliar",IF(AND(K529="F20",M529&lt;&gt;109595132),IF(RIGHT(F529,2)="70","Infraestrutura de Planta","Prédios e Instalações"),IF(K529="FPC",VLOOKUP(F529,[1]Info!$E$2:$F$11,2,0),IF(K529="FGP",VLOOKUP(F529,[1]Info!$E$9:$F$10,2,0),IF(K529="F10",VLOOKUP(F529,[1]Info!$E$2:$F$3,2,0),VLOOKUP(K529,[1]Info!$A$1:$B$21,2,0))))))</f>
        <v>#N/A</v>
      </c>
    </row>
    <row r="530" spans="1:24" x14ac:dyDescent="0.35">
      <c r="A530" t="s">
        <v>41</v>
      </c>
      <c r="B530" t="s">
        <v>65</v>
      </c>
      <c r="C530" t="s">
        <v>66</v>
      </c>
      <c r="D530" t="s">
        <v>100</v>
      </c>
      <c r="E530" t="s">
        <v>65</v>
      </c>
      <c r="F530">
        <v>7097052</v>
      </c>
      <c r="G530" t="s">
        <v>215</v>
      </c>
      <c r="H530" t="s">
        <v>68</v>
      </c>
      <c r="I530" t="s">
        <v>69</v>
      </c>
      <c r="J530" t="s">
        <v>50</v>
      </c>
      <c r="K530" t="s">
        <v>3</v>
      </c>
      <c r="L530" t="s">
        <v>51</v>
      </c>
      <c r="M530" t="s">
        <v>46</v>
      </c>
      <c r="N530" t="s">
        <v>47</v>
      </c>
      <c r="O530" t="s">
        <v>257</v>
      </c>
      <c r="P530" t="s">
        <v>1292</v>
      </c>
      <c r="Q530" t="s">
        <v>46</v>
      </c>
      <c r="R530" t="s">
        <v>47</v>
      </c>
      <c r="S530" t="s">
        <v>46</v>
      </c>
      <c r="T530" t="s">
        <v>46</v>
      </c>
      <c r="U530" s="4">
        <v>-1763.36</v>
      </c>
      <c r="V530" t="str">
        <f t="shared" si="8"/>
        <v>C050</v>
      </c>
      <c r="W530" t="str">
        <f>VLOOKUP(K530,[1]Info!A$1:B$21,2,0)</f>
        <v>Carregadeira</v>
      </c>
      <c r="X530" t="e">
        <f>IF(M530="109595132","Material de Limpeza-Não Avaliar",IF(AND(K530="F20",M530&lt;&gt;109595132),IF(RIGHT(F530,2)="70","Infraestrutura de Planta","Prédios e Instalações"),IF(K530="FPC",VLOOKUP(F530,[1]Info!$E$2:$F$11,2,0),IF(K530="FGP",VLOOKUP(F530,[1]Info!$E$9:$F$10,2,0),IF(K530="F10",VLOOKUP(F530,[1]Info!$E$2:$F$3,2,0),VLOOKUP(K530,[1]Info!$A$1:$B$21,2,0))))))</f>
        <v>#N/A</v>
      </c>
    </row>
    <row r="531" spans="1:24" x14ac:dyDescent="0.35">
      <c r="A531" t="s">
        <v>41</v>
      </c>
      <c r="B531" t="s">
        <v>65</v>
      </c>
      <c r="C531" t="s">
        <v>66</v>
      </c>
      <c r="D531" t="s">
        <v>100</v>
      </c>
      <c r="E531" t="s">
        <v>65</v>
      </c>
      <c r="F531">
        <v>7097052</v>
      </c>
      <c r="G531" t="s">
        <v>215</v>
      </c>
      <c r="H531" t="s">
        <v>68</v>
      </c>
      <c r="I531" t="s">
        <v>69</v>
      </c>
      <c r="J531" t="s">
        <v>50</v>
      </c>
      <c r="K531" t="s">
        <v>3</v>
      </c>
      <c r="L531" t="s">
        <v>51</v>
      </c>
      <c r="M531" t="s">
        <v>46</v>
      </c>
      <c r="N531" t="s">
        <v>47</v>
      </c>
      <c r="O531" t="s">
        <v>236</v>
      </c>
      <c r="P531" t="s">
        <v>1292</v>
      </c>
      <c r="Q531" t="s">
        <v>46</v>
      </c>
      <c r="R531" t="s">
        <v>47</v>
      </c>
      <c r="S531" t="s">
        <v>46</v>
      </c>
      <c r="T531" t="s">
        <v>46</v>
      </c>
      <c r="U531" s="4">
        <v>-6661.56</v>
      </c>
      <c r="V531" t="str">
        <f t="shared" si="8"/>
        <v>C051</v>
      </c>
      <c r="W531" t="str">
        <f>VLOOKUP(K531,[1]Info!A$1:B$21,2,0)</f>
        <v>Carregadeira</v>
      </c>
      <c r="X531" t="e">
        <f>IF(M531="109595132","Material de Limpeza-Não Avaliar",IF(AND(K531="F20",M531&lt;&gt;109595132),IF(RIGHT(F531,2)="70","Infraestrutura de Planta","Prédios e Instalações"),IF(K531="FPC",VLOOKUP(F531,[1]Info!$E$2:$F$11,2,0),IF(K531="FGP",VLOOKUP(F531,[1]Info!$E$9:$F$10,2,0),IF(K531="F10",VLOOKUP(F531,[1]Info!$E$2:$F$3,2,0),VLOOKUP(K531,[1]Info!$A$1:$B$21,2,0))))))</f>
        <v>#N/A</v>
      </c>
    </row>
    <row r="532" spans="1:24" x14ac:dyDescent="0.35">
      <c r="A532" t="s">
        <v>41</v>
      </c>
      <c r="B532" t="s">
        <v>65</v>
      </c>
      <c r="C532" t="s">
        <v>66</v>
      </c>
      <c r="D532" t="s">
        <v>100</v>
      </c>
      <c r="E532" t="s">
        <v>65</v>
      </c>
      <c r="F532">
        <v>7097052</v>
      </c>
      <c r="G532" t="s">
        <v>215</v>
      </c>
      <c r="H532" t="s">
        <v>68</v>
      </c>
      <c r="I532" t="s">
        <v>69</v>
      </c>
      <c r="J532" t="s">
        <v>50</v>
      </c>
      <c r="K532" t="s">
        <v>3</v>
      </c>
      <c r="L532" t="s">
        <v>51</v>
      </c>
      <c r="M532" t="s">
        <v>46</v>
      </c>
      <c r="N532" t="s">
        <v>47</v>
      </c>
      <c r="O532" t="s">
        <v>1596</v>
      </c>
      <c r="P532" t="s">
        <v>1292</v>
      </c>
      <c r="Q532" t="s">
        <v>46</v>
      </c>
      <c r="R532" t="s">
        <v>47</v>
      </c>
      <c r="S532" t="s">
        <v>46</v>
      </c>
      <c r="T532" t="s">
        <v>46</v>
      </c>
      <c r="U532" s="4">
        <v>-1273.54</v>
      </c>
      <c r="V532" t="str">
        <f t="shared" si="8"/>
        <v>C052</v>
      </c>
      <c r="W532" t="str">
        <f>VLOOKUP(K532,[1]Info!A$1:B$21,2,0)</f>
        <v>Carregadeira</v>
      </c>
      <c r="X532" t="e">
        <f>IF(M532="109595132","Material de Limpeza-Não Avaliar",IF(AND(K532="F20",M532&lt;&gt;109595132),IF(RIGHT(F532,2)="70","Infraestrutura de Planta","Prédios e Instalações"),IF(K532="FPC",VLOOKUP(F532,[1]Info!$E$2:$F$11,2,0),IF(K532="FGP",VLOOKUP(F532,[1]Info!$E$9:$F$10,2,0),IF(K532="F10",VLOOKUP(F532,[1]Info!$E$2:$F$3,2,0),VLOOKUP(K532,[1]Info!$A$1:$B$21,2,0))))))</f>
        <v>#N/A</v>
      </c>
    </row>
    <row r="533" spans="1:24" x14ac:dyDescent="0.35">
      <c r="A533" t="s">
        <v>41</v>
      </c>
      <c r="B533" t="s">
        <v>65</v>
      </c>
      <c r="C533" t="s">
        <v>66</v>
      </c>
      <c r="D533" t="s">
        <v>100</v>
      </c>
      <c r="E533" t="s">
        <v>65</v>
      </c>
      <c r="F533">
        <v>7097052</v>
      </c>
      <c r="G533" t="s">
        <v>215</v>
      </c>
      <c r="H533" t="s">
        <v>68</v>
      </c>
      <c r="I533" t="s">
        <v>69</v>
      </c>
      <c r="J533" t="s">
        <v>50</v>
      </c>
      <c r="K533" t="s">
        <v>411</v>
      </c>
      <c r="L533" t="s">
        <v>51</v>
      </c>
      <c r="M533" t="s">
        <v>46</v>
      </c>
      <c r="N533" t="s">
        <v>47</v>
      </c>
      <c r="O533" t="s">
        <v>1306</v>
      </c>
      <c r="P533" t="s">
        <v>1292</v>
      </c>
      <c r="Q533" t="s">
        <v>46</v>
      </c>
      <c r="R533" t="s">
        <v>47</v>
      </c>
      <c r="S533" t="s">
        <v>46</v>
      </c>
      <c r="T533" t="s">
        <v>46</v>
      </c>
      <c r="U533" s="4">
        <v>-3918.56</v>
      </c>
      <c r="V533" t="str">
        <f t="shared" si="8"/>
        <v>CP13</v>
      </c>
      <c r="W533" t="str">
        <f>VLOOKUP(K533,[1]Info!A$1:B$21,2,0)</f>
        <v>Caminhão Pipa</v>
      </c>
      <c r="X533" t="str">
        <f>IF(M533="109595132","Material de Limpeza-Não Avaliar",IF(AND(K533="F20",M533&lt;&gt;109595132),IF(RIGHT(F533,2)="70","Infraestrutura de Planta","Prédios e Instalações"),IF(K533="FPC",VLOOKUP(F533,[1]Info!$E$2:$F$11,2,0),IF(K533="FGP",VLOOKUP(F533,[1]Info!$E$9:$F$10,2,0),IF(K533="F10",VLOOKUP(F533,[1]Info!$E$2:$F$3,2,0),VLOOKUP(K533,[1]Info!$A$1:$B$21,2,0))))))</f>
        <v>Caminhão Pipa</v>
      </c>
    </row>
    <row r="534" spans="1:24" x14ac:dyDescent="0.35">
      <c r="A534" t="s">
        <v>41</v>
      </c>
      <c r="B534" t="s">
        <v>65</v>
      </c>
      <c r="C534" t="s">
        <v>66</v>
      </c>
      <c r="D534" t="s">
        <v>100</v>
      </c>
      <c r="E534" t="s">
        <v>65</v>
      </c>
      <c r="F534">
        <v>7097052</v>
      </c>
      <c r="G534" t="s">
        <v>215</v>
      </c>
      <c r="H534" t="s">
        <v>68</v>
      </c>
      <c r="I534" t="s">
        <v>69</v>
      </c>
      <c r="J534" t="s">
        <v>50</v>
      </c>
      <c r="K534" t="s">
        <v>411</v>
      </c>
      <c r="L534" t="s">
        <v>51</v>
      </c>
      <c r="M534" t="s">
        <v>46</v>
      </c>
      <c r="N534" t="s">
        <v>47</v>
      </c>
      <c r="O534" t="s">
        <v>1318</v>
      </c>
      <c r="P534" t="s">
        <v>1292</v>
      </c>
      <c r="Q534" t="s">
        <v>46</v>
      </c>
      <c r="R534" t="s">
        <v>47</v>
      </c>
      <c r="S534" t="s">
        <v>46</v>
      </c>
      <c r="T534" t="s">
        <v>46</v>
      </c>
      <c r="U534" s="4">
        <v>-5877.84</v>
      </c>
      <c r="V534" t="str">
        <f t="shared" si="8"/>
        <v>CP14</v>
      </c>
      <c r="W534" t="str">
        <f>VLOOKUP(K534,[1]Info!A$1:B$21,2,0)</f>
        <v>Caminhão Pipa</v>
      </c>
      <c r="X534" t="str">
        <f>IF(M534="109595132","Material de Limpeza-Não Avaliar",IF(AND(K534="F20",M534&lt;&gt;109595132),IF(RIGHT(F534,2)="70","Infraestrutura de Planta","Prédios e Instalações"),IF(K534="FPC",VLOOKUP(F534,[1]Info!$E$2:$F$11,2,0),IF(K534="FGP",VLOOKUP(F534,[1]Info!$E$9:$F$10,2,0),IF(K534="F10",VLOOKUP(F534,[1]Info!$E$2:$F$3,2,0),VLOOKUP(K534,[1]Info!$A$1:$B$21,2,0))))))</f>
        <v>Caminhão Pipa</v>
      </c>
    </row>
    <row r="535" spans="1:24" x14ac:dyDescent="0.35">
      <c r="A535" t="s">
        <v>41</v>
      </c>
      <c r="B535" t="s">
        <v>65</v>
      </c>
      <c r="C535" t="s">
        <v>66</v>
      </c>
      <c r="D535" t="s">
        <v>100</v>
      </c>
      <c r="E535" t="s">
        <v>65</v>
      </c>
      <c r="F535">
        <v>7097052</v>
      </c>
      <c r="G535" t="s">
        <v>215</v>
      </c>
      <c r="H535" t="s">
        <v>68</v>
      </c>
      <c r="I535" t="s">
        <v>69</v>
      </c>
      <c r="J535" t="s">
        <v>50</v>
      </c>
      <c r="K535" t="s">
        <v>411</v>
      </c>
      <c r="L535" t="s">
        <v>51</v>
      </c>
      <c r="M535" t="s">
        <v>46</v>
      </c>
      <c r="N535" t="s">
        <v>47</v>
      </c>
      <c r="O535" t="s">
        <v>1330</v>
      </c>
      <c r="P535" t="s">
        <v>1292</v>
      </c>
      <c r="Q535" t="s">
        <v>46</v>
      </c>
      <c r="R535" t="s">
        <v>47</v>
      </c>
      <c r="S535" t="s">
        <v>46</v>
      </c>
      <c r="T535" t="s">
        <v>46</v>
      </c>
      <c r="U535" s="4">
        <v>-3918.56</v>
      </c>
      <c r="V535" t="str">
        <f t="shared" si="8"/>
        <v>CP19</v>
      </c>
      <c r="W535" t="str">
        <f>VLOOKUP(K535,[1]Info!A$1:B$21,2,0)</f>
        <v>Caminhão Pipa</v>
      </c>
      <c r="X535" t="str">
        <f>IF(M535="109595132","Material de Limpeza-Não Avaliar",IF(AND(K535="F20",M535&lt;&gt;109595132),IF(RIGHT(F535,2)="70","Infraestrutura de Planta","Prédios e Instalações"),IF(K535="FPC",VLOOKUP(F535,[1]Info!$E$2:$F$11,2,0),IF(K535="FGP",VLOOKUP(F535,[1]Info!$E$9:$F$10,2,0),IF(K535="F10",VLOOKUP(F535,[1]Info!$E$2:$F$3,2,0),VLOOKUP(K535,[1]Info!$A$1:$B$21,2,0))))))</f>
        <v>Caminhão Pipa</v>
      </c>
    </row>
    <row r="536" spans="1:24" x14ac:dyDescent="0.35">
      <c r="A536" t="s">
        <v>41</v>
      </c>
      <c r="B536" t="s">
        <v>65</v>
      </c>
      <c r="C536" t="s">
        <v>66</v>
      </c>
      <c r="D536" t="s">
        <v>100</v>
      </c>
      <c r="E536" t="s">
        <v>65</v>
      </c>
      <c r="F536">
        <v>7097052</v>
      </c>
      <c r="G536" t="s">
        <v>215</v>
      </c>
      <c r="H536" t="s">
        <v>68</v>
      </c>
      <c r="I536" t="s">
        <v>69</v>
      </c>
      <c r="J536" t="s">
        <v>50</v>
      </c>
      <c r="K536" t="s">
        <v>411</v>
      </c>
      <c r="L536" t="s">
        <v>51</v>
      </c>
      <c r="M536" t="s">
        <v>46</v>
      </c>
      <c r="N536" t="s">
        <v>47</v>
      </c>
      <c r="O536" t="s">
        <v>420</v>
      </c>
      <c r="P536" t="s">
        <v>1292</v>
      </c>
      <c r="Q536" t="s">
        <v>46</v>
      </c>
      <c r="R536" t="s">
        <v>47</v>
      </c>
      <c r="S536" t="s">
        <v>46</v>
      </c>
      <c r="T536" t="s">
        <v>46</v>
      </c>
      <c r="U536" s="4">
        <v>-7445.26</v>
      </c>
      <c r="V536" t="str">
        <f t="shared" si="8"/>
        <v>CP22</v>
      </c>
      <c r="W536" t="str">
        <f>VLOOKUP(K536,[1]Info!A$1:B$21,2,0)</f>
        <v>Caminhão Pipa</v>
      </c>
      <c r="X536" t="str">
        <f>IF(M536="109595132","Material de Limpeza-Não Avaliar",IF(AND(K536="F20",M536&lt;&gt;109595132),IF(RIGHT(F536,2)="70","Infraestrutura de Planta","Prédios e Instalações"),IF(K536="FPC",VLOOKUP(F536,[1]Info!$E$2:$F$11,2,0),IF(K536="FGP",VLOOKUP(F536,[1]Info!$E$9:$F$10,2,0),IF(K536="F10",VLOOKUP(F536,[1]Info!$E$2:$F$3,2,0),VLOOKUP(K536,[1]Info!$A$1:$B$21,2,0))))))</f>
        <v>Caminhão Pipa</v>
      </c>
    </row>
    <row r="537" spans="1:24" x14ac:dyDescent="0.35">
      <c r="A537" t="s">
        <v>41</v>
      </c>
      <c r="B537" t="s">
        <v>65</v>
      </c>
      <c r="C537" t="s">
        <v>66</v>
      </c>
      <c r="D537" t="s">
        <v>100</v>
      </c>
      <c r="E537" t="s">
        <v>65</v>
      </c>
      <c r="F537">
        <v>7097052</v>
      </c>
      <c r="G537" t="s">
        <v>215</v>
      </c>
      <c r="H537" t="s">
        <v>68</v>
      </c>
      <c r="I537" t="s">
        <v>69</v>
      </c>
      <c r="J537" t="s">
        <v>50</v>
      </c>
      <c r="K537" t="s">
        <v>411</v>
      </c>
      <c r="L537" t="s">
        <v>51</v>
      </c>
      <c r="M537" t="s">
        <v>46</v>
      </c>
      <c r="N537" t="s">
        <v>47</v>
      </c>
      <c r="O537" t="s">
        <v>423</v>
      </c>
      <c r="P537" t="s">
        <v>1292</v>
      </c>
      <c r="Q537" t="s">
        <v>46</v>
      </c>
      <c r="R537" t="s">
        <v>47</v>
      </c>
      <c r="S537" t="s">
        <v>46</v>
      </c>
      <c r="T537" t="s">
        <v>46</v>
      </c>
      <c r="U537" s="4">
        <v>-11755.68</v>
      </c>
      <c r="V537" t="str">
        <f t="shared" si="8"/>
        <v>CP23</v>
      </c>
      <c r="W537" t="str">
        <f>VLOOKUP(K537,[1]Info!A$1:B$21,2,0)</f>
        <v>Caminhão Pipa</v>
      </c>
      <c r="X537" t="str">
        <f>IF(M537="109595132","Material de Limpeza-Não Avaliar",IF(AND(K537="F20",M537&lt;&gt;109595132),IF(RIGHT(F537,2)="70","Infraestrutura de Planta","Prédios e Instalações"),IF(K537="FPC",VLOOKUP(F537,[1]Info!$E$2:$F$11,2,0),IF(K537="FGP",VLOOKUP(F537,[1]Info!$E$9:$F$10,2,0),IF(K537="F10",VLOOKUP(F537,[1]Info!$E$2:$F$3,2,0),VLOOKUP(K537,[1]Info!$A$1:$B$21,2,0))))))</f>
        <v>Caminhão Pipa</v>
      </c>
    </row>
    <row r="538" spans="1:24" x14ac:dyDescent="0.35">
      <c r="A538" t="s">
        <v>41</v>
      </c>
      <c r="B538" t="s">
        <v>65</v>
      </c>
      <c r="C538" t="s">
        <v>66</v>
      </c>
      <c r="D538" t="s">
        <v>106</v>
      </c>
      <c r="E538" t="s">
        <v>107</v>
      </c>
      <c r="F538">
        <v>7097051</v>
      </c>
      <c r="G538" t="s">
        <v>67</v>
      </c>
      <c r="H538" t="s">
        <v>68</v>
      </c>
      <c r="I538" t="s">
        <v>69</v>
      </c>
      <c r="J538" t="s">
        <v>50</v>
      </c>
      <c r="K538" t="s">
        <v>10</v>
      </c>
      <c r="L538" t="s">
        <v>51</v>
      </c>
      <c r="M538" t="s">
        <v>1597</v>
      </c>
      <c r="N538" t="s">
        <v>1598</v>
      </c>
      <c r="O538" t="s">
        <v>166</v>
      </c>
      <c r="P538" t="s">
        <v>1292</v>
      </c>
      <c r="Q538" t="s">
        <v>46</v>
      </c>
      <c r="R538" t="s">
        <v>47</v>
      </c>
      <c r="S538" t="s">
        <v>1599</v>
      </c>
      <c r="T538" t="s">
        <v>1600</v>
      </c>
      <c r="U538" s="4">
        <v>1969.28</v>
      </c>
      <c r="V538" t="str">
        <f t="shared" si="8"/>
        <v>CC06</v>
      </c>
      <c r="W538" t="str">
        <f>VLOOKUP(K538,[1]Info!A$1:B$21,2,0)</f>
        <v>Comboio e Oficina</v>
      </c>
      <c r="X538" t="str">
        <f>IF(M538="109595132","Material de Limpeza-Não Avaliar",IF(AND(K538="F20",M538&lt;&gt;109595132),IF(RIGHT(F538,2)="70","Infraestrutura de Planta","Prédios e Instalações"),IF(K538="FPC",VLOOKUP(F538,[1]Info!$E$2:$F$11,2,0),IF(K538="FGP",VLOOKUP(F538,[1]Info!$E$9:$F$10,2,0),IF(K538="F10",VLOOKUP(F538,[1]Info!$E$2:$F$3,2,0),VLOOKUP(K538,[1]Info!$A$1:$B$21,2,0))))))</f>
        <v>Comboio e Oficina</v>
      </c>
    </row>
    <row r="539" spans="1:24" x14ac:dyDescent="0.35">
      <c r="A539" t="s">
        <v>41</v>
      </c>
      <c r="B539" t="s">
        <v>65</v>
      </c>
      <c r="C539" t="s">
        <v>66</v>
      </c>
      <c r="D539" t="s">
        <v>106</v>
      </c>
      <c r="E539" t="s">
        <v>107</v>
      </c>
      <c r="F539">
        <v>7097051</v>
      </c>
      <c r="G539" t="s">
        <v>67</v>
      </c>
      <c r="H539" t="s">
        <v>68</v>
      </c>
      <c r="I539" t="s">
        <v>69</v>
      </c>
      <c r="J539" t="s">
        <v>50</v>
      </c>
      <c r="K539" t="s">
        <v>10</v>
      </c>
      <c r="L539" t="s">
        <v>51</v>
      </c>
      <c r="M539" t="s">
        <v>1601</v>
      </c>
      <c r="N539" t="s">
        <v>1602</v>
      </c>
      <c r="O539" t="s">
        <v>1603</v>
      </c>
      <c r="P539" t="s">
        <v>1292</v>
      </c>
      <c r="Q539" t="s">
        <v>46</v>
      </c>
      <c r="R539" t="s">
        <v>47</v>
      </c>
      <c r="S539" t="s">
        <v>1604</v>
      </c>
      <c r="T539" t="s">
        <v>1605</v>
      </c>
      <c r="U539" s="4">
        <v>1602.46</v>
      </c>
      <c r="V539" t="str">
        <f t="shared" si="8"/>
        <v>CO09</v>
      </c>
      <c r="W539" t="str">
        <f>VLOOKUP(K539,[1]Info!A$1:B$21,2,0)</f>
        <v>Comboio e Oficina</v>
      </c>
      <c r="X539" t="str">
        <f>IF(M539="109595132","Material de Limpeza-Não Avaliar",IF(AND(K539="F20",M539&lt;&gt;109595132),IF(RIGHT(F539,2)="70","Infraestrutura de Planta","Prédios e Instalações"),IF(K539="FPC",VLOOKUP(F539,[1]Info!$E$2:$F$11,2,0),IF(K539="FGP",VLOOKUP(F539,[1]Info!$E$9:$F$10,2,0),IF(K539="F10",VLOOKUP(F539,[1]Info!$E$2:$F$3,2,0),VLOOKUP(K539,[1]Info!$A$1:$B$21,2,0))))))</f>
        <v>Comboio e Oficina</v>
      </c>
    </row>
    <row r="540" spans="1:24" x14ac:dyDescent="0.35">
      <c r="A540" t="s">
        <v>41</v>
      </c>
      <c r="B540" t="s">
        <v>1</v>
      </c>
      <c r="C540" t="s">
        <v>70</v>
      </c>
      <c r="D540" t="s">
        <v>92</v>
      </c>
      <c r="E540" t="s">
        <v>71</v>
      </c>
      <c r="F540">
        <v>7090170</v>
      </c>
      <c r="G540" t="s">
        <v>1</v>
      </c>
      <c r="H540" t="s">
        <v>43</v>
      </c>
      <c r="I540" t="s">
        <v>44</v>
      </c>
      <c r="J540" t="s">
        <v>72</v>
      </c>
      <c r="K540" t="s">
        <v>0</v>
      </c>
      <c r="L540" t="s">
        <v>51</v>
      </c>
      <c r="M540" t="s">
        <v>1606</v>
      </c>
      <c r="N540" t="s">
        <v>1607</v>
      </c>
      <c r="O540" t="s">
        <v>211</v>
      </c>
      <c r="P540" t="s">
        <v>1292</v>
      </c>
      <c r="Q540" t="s">
        <v>46</v>
      </c>
      <c r="R540" t="s">
        <v>47</v>
      </c>
      <c r="S540" t="s">
        <v>1604</v>
      </c>
      <c r="T540" t="s">
        <v>1605</v>
      </c>
      <c r="U540" s="4">
        <v>4600</v>
      </c>
      <c r="V540" t="str">
        <f t="shared" si="8"/>
        <v>0300</v>
      </c>
      <c r="W540" t="str">
        <f>VLOOKUP(K540,[1]Info!A$1:B$21,2,0)</f>
        <v>Carboval</v>
      </c>
      <c r="X540" t="str">
        <f>IF(M540="109595132","Material de Limpeza-Não Avaliar",IF(AND(K540="F20",M540&lt;&gt;109595132),IF(RIGHT(F540,2)="70","Infraestrutura de Planta","Prédios e Instalações"),IF(K540="FPC",VLOOKUP(F540,[1]Info!$E$2:$F$11,2,0),IF(K540="FGP",VLOOKUP(F540,[1]Info!$E$9:$F$10,2,0),IF(K540="F10",VLOOKUP(F540,[1]Info!$E$2:$F$3,2,0),VLOOKUP(K540,[1]Info!$A$1:$B$21,2,0))))))</f>
        <v>Carboval Canabrava</v>
      </c>
    </row>
    <row r="541" spans="1:24" x14ac:dyDescent="0.35">
      <c r="A541" t="s">
        <v>41</v>
      </c>
      <c r="B541" t="s">
        <v>1</v>
      </c>
      <c r="C541" t="s">
        <v>70</v>
      </c>
      <c r="D541" t="s">
        <v>93</v>
      </c>
      <c r="E541" t="s">
        <v>56</v>
      </c>
      <c r="F541">
        <v>7090170</v>
      </c>
      <c r="G541" t="s">
        <v>1</v>
      </c>
      <c r="H541" t="s">
        <v>43</v>
      </c>
      <c r="I541" t="s">
        <v>44</v>
      </c>
      <c r="J541" t="s">
        <v>72</v>
      </c>
      <c r="K541" t="s">
        <v>0</v>
      </c>
      <c r="L541" t="s">
        <v>51</v>
      </c>
      <c r="M541" t="s">
        <v>703</v>
      </c>
      <c r="N541" t="s">
        <v>704</v>
      </c>
      <c r="O541" t="s">
        <v>333</v>
      </c>
      <c r="P541" t="s">
        <v>383</v>
      </c>
      <c r="Q541" t="s">
        <v>705</v>
      </c>
      <c r="R541" t="s">
        <v>706</v>
      </c>
      <c r="S541" t="s">
        <v>46</v>
      </c>
      <c r="T541" t="s">
        <v>46</v>
      </c>
      <c r="U541" s="4">
        <v>396.65</v>
      </c>
      <c r="V541" t="str">
        <f t="shared" si="8"/>
        <v>-200</v>
      </c>
      <c r="W541" t="str">
        <f>VLOOKUP(K541,[1]Info!A$1:B$21,2,0)</f>
        <v>Carboval</v>
      </c>
      <c r="X541" t="str">
        <f>IF(M541="109595132","Material de Limpeza-Não Avaliar",IF(AND(K541="F20",M541&lt;&gt;109595132),IF(RIGHT(F541,2)="70","Infraestrutura de Planta","Prédios e Instalações"),IF(K541="FPC",VLOOKUP(F541,[1]Info!$E$2:$F$11,2,0),IF(K541="FGP",VLOOKUP(F541,[1]Info!$E$9:$F$10,2,0),IF(K541="F10",VLOOKUP(F541,[1]Info!$E$2:$F$3,2,0),VLOOKUP(K541,[1]Info!$A$1:$B$21,2,0))))))</f>
        <v>Carboval Canabrava</v>
      </c>
    </row>
    <row r="542" spans="1:24" x14ac:dyDescent="0.35">
      <c r="A542" t="s">
        <v>41</v>
      </c>
      <c r="B542" t="s">
        <v>1</v>
      </c>
      <c r="C542" t="s">
        <v>70</v>
      </c>
      <c r="D542" t="s">
        <v>93</v>
      </c>
      <c r="E542" t="s">
        <v>56</v>
      </c>
      <c r="F542">
        <v>7090170</v>
      </c>
      <c r="G542" t="s">
        <v>1</v>
      </c>
      <c r="H542" t="s">
        <v>43</v>
      </c>
      <c r="I542" t="s">
        <v>44</v>
      </c>
      <c r="J542" t="s">
        <v>72</v>
      </c>
      <c r="K542" t="s">
        <v>0</v>
      </c>
      <c r="L542" t="s">
        <v>51</v>
      </c>
      <c r="M542" t="s">
        <v>703</v>
      </c>
      <c r="N542" t="s">
        <v>704</v>
      </c>
      <c r="O542" t="s">
        <v>333</v>
      </c>
      <c r="P542" t="s">
        <v>383</v>
      </c>
      <c r="Q542" t="s">
        <v>707</v>
      </c>
      <c r="R542" t="s">
        <v>708</v>
      </c>
      <c r="S542" t="s">
        <v>46</v>
      </c>
      <c r="T542" t="s">
        <v>46</v>
      </c>
      <c r="U542" s="4">
        <v>18.100000000000001</v>
      </c>
      <c r="V542" t="str">
        <f t="shared" si="8"/>
        <v>-200</v>
      </c>
      <c r="W542" t="str">
        <f>VLOOKUP(K542,[1]Info!A$1:B$21,2,0)</f>
        <v>Carboval</v>
      </c>
      <c r="X542" t="str">
        <f>IF(M542="109595132","Material de Limpeza-Não Avaliar",IF(AND(K542="F20",M542&lt;&gt;109595132),IF(RIGHT(F542,2)="70","Infraestrutura de Planta","Prédios e Instalações"),IF(K542="FPC",VLOOKUP(F542,[1]Info!$E$2:$F$11,2,0),IF(K542="FGP",VLOOKUP(F542,[1]Info!$E$9:$F$10,2,0),IF(K542="F10",VLOOKUP(F542,[1]Info!$E$2:$F$3,2,0),VLOOKUP(K542,[1]Info!$A$1:$B$21,2,0))))))</f>
        <v>Carboval Canabrava</v>
      </c>
    </row>
    <row r="543" spans="1:24" x14ac:dyDescent="0.35">
      <c r="A543" t="s">
        <v>41</v>
      </c>
      <c r="B543" t="s">
        <v>1</v>
      </c>
      <c r="C543" t="s">
        <v>70</v>
      </c>
      <c r="D543" t="s">
        <v>93</v>
      </c>
      <c r="E543" t="s">
        <v>56</v>
      </c>
      <c r="F543">
        <v>7090170</v>
      </c>
      <c r="G543" t="s">
        <v>1</v>
      </c>
      <c r="H543" t="s">
        <v>43</v>
      </c>
      <c r="I543" t="s">
        <v>44</v>
      </c>
      <c r="J543" t="s">
        <v>72</v>
      </c>
      <c r="K543" t="s">
        <v>0</v>
      </c>
      <c r="L543" t="s">
        <v>51</v>
      </c>
      <c r="M543" t="s">
        <v>703</v>
      </c>
      <c r="N543" t="s">
        <v>704</v>
      </c>
      <c r="O543" t="s">
        <v>333</v>
      </c>
      <c r="P543" t="s">
        <v>383</v>
      </c>
      <c r="Q543" t="s">
        <v>709</v>
      </c>
      <c r="R543" t="s">
        <v>710</v>
      </c>
      <c r="S543" t="s">
        <v>46</v>
      </c>
      <c r="T543" t="s">
        <v>46</v>
      </c>
      <c r="U543" s="4">
        <v>2971.3</v>
      </c>
      <c r="V543" t="str">
        <f t="shared" si="8"/>
        <v>-200</v>
      </c>
      <c r="W543" t="str">
        <f>VLOOKUP(K543,[1]Info!A$1:B$21,2,0)</f>
        <v>Carboval</v>
      </c>
      <c r="X543" t="str">
        <f>IF(M543="109595132","Material de Limpeza-Não Avaliar",IF(AND(K543="F20",M543&lt;&gt;109595132),IF(RIGHT(F543,2)="70","Infraestrutura de Planta","Prédios e Instalações"),IF(K543="FPC",VLOOKUP(F543,[1]Info!$E$2:$F$11,2,0),IF(K543="FGP",VLOOKUP(F543,[1]Info!$E$9:$F$10,2,0),IF(K543="F10",VLOOKUP(F543,[1]Info!$E$2:$F$3,2,0),VLOOKUP(K543,[1]Info!$A$1:$B$21,2,0))))))</f>
        <v>Carboval Canabrava</v>
      </c>
    </row>
    <row r="544" spans="1:24" x14ac:dyDescent="0.35">
      <c r="A544" t="s">
        <v>41</v>
      </c>
      <c r="B544" t="s">
        <v>1</v>
      </c>
      <c r="C544" t="s">
        <v>70</v>
      </c>
      <c r="D544" t="s">
        <v>711</v>
      </c>
      <c r="E544" t="s">
        <v>712</v>
      </c>
      <c r="F544">
        <v>7090170</v>
      </c>
      <c r="G544" t="s">
        <v>1</v>
      </c>
      <c r="H544" t="s">
        <v>43</v>
      </c>
      <c r="I544" t="s">
        <v>44</v>
      </c>
      <c r="J544" t="s">
        <v>72</v>
      </c>
      <c r="K544" t="s">
        <v>0</v>
      </c>
      <c r="L544" t="s">
        <v>51</v>
      </c>
      <c r="M544" t="s">
        <v>713</v>
      </c>
      <c r="N544" t="s">
        <v>714</v>
      </c>
      <c r="O544" t="s">
        <v>715</v>
      </c>
      <c r="P544" t="s">
        <v>383</v>
      </c>
      <c r="Q544" t="s">
        <v>716</v>
      </c>
      <c r="R544" t="s">
        <v>717</v>
      </c>
      <c r="S544" t="s">
        <v>46</v>
      </c>
      <c r="T544" t="s">
        <v>46</v>
      </c>
      <c r="U544" s="4">
        <v>156.5</v>
      </c>
      <c r="V544" t="str">
        <f t="shared" si="8"/>
        <v>0800</v>
      </c>
      <c r="W544" t="str">
        <f>VLOOKUP(K544,[1]Info!A$1:B$21,2,0)</f>
        <v>Carboval</v>
      </c>
      <c r="X544" t="str">
        <f>IF(M544="109595132","Material de Limpeza-Não Avaliar",IF(AND(K544="F20",M544&lt;&gt;109595132),IF(RIGHT(F544,2)="70","Infraestrutura de Planta","Prédios e Instalações"),IF(K544="FPC",VLOOKUP(F544,[1]Info!$E$2:$F$11,2,0),IF(K544="FGP",VLOOKUP(F544,[1]Info!$E$9:$F$10,2,0),IF(K544="F10",VLOOKUP(F544,[1]Info!$E$2:$F$3,2,0),VLOOKUP(K544,[1]Info!$A$1:$B$21,2,0))))))</f>
        <v>Carboval Canabrava</v>
      </c>
    </row>
    <row r="545" spans="1:24" x14ac:dyDescent="0.35">
      <c r="A545" t="s">
        <v>41</v>
      </c>
      <c r="B545" t="s">
        <v>1</v>
      </c>
      <c r="C545" t="s">
        <v>70</v>
      </c>
      <c r="D545" t="s">
        <v>216</v>
      </c>
      <c r="E545" t="s">
        <v>217</v>
      </c>
      <c r="F545">
        <v>7090170</v>
      </c>
      <c r="G545" t="s">
        <v>1</v>
      </c>
      <c r="H545" t="s">
        <v>43</v>
      </c>
      <c r="I545" t="s">
        <v>44</v>
      </c>
      <c r="J545" t="s">
        <v>72</v>
      </c>
      <c r="K545" t="s">
        <v>0</v>
      </c>
      <c r="L545" t="s">
        <v>51</v>
      </c>
      <c r="M545" t="s">
        <v>713</v>
      </c>
      <c r="N545" t="s">
        <v>714</v>
      </c>
      <c r="O545" t="s">
        <v>715</v>
      </c>
      <c r="P545" t="s">
        <v>383</v>
      </c>
      <c r="Q545" t="s">
        <v>218</v>
      </c>
      <c r="R545" t="s">
        <v>219</v>
      </c>
      <c r="S545" t="s">
        <v>46</v>
      </c>
      <c r="T545" t="s">
        <v>46</v>
      </c>
      <c r="U545" s="4">
        <v>227.15</v>
      </c>
      <c r="V545" t="str">
        <f t="shared" si="8"/>
        <v>0800</v>
      </c>
      <c r="W545" t="str">
        <f>VLOOKUP(K545,[1]Info!A$1:B$21,2,0)</f>
        <v>Carboval</v>
      </c>
      <c r="X545" t="str">
        <f>IF(M545="109595132","Material de Limpeza-Não Avaliar",IF(AND(K545="F20",M545&lt;&gt;109595132),IF(RIGHT(F545,2)="70","Infraestrutura de Planta","Prédios e Instalações"),IF(K545="FPC",VLOOKUP(F545,[1]Info!$E$2:$F$11,2,0),IF(K545="FGP",VLOOKUP(F545,[1]Info!$E$9:$F$10,2,0),IF(K545="F10",VLOOKUP(F545,[1]Info!$E$2:$F$3,2,0),VLOOKUP(K545,[1]Info!$A$1:$B$21,2,0))))))</f>
        <v>Carboval Canabrava</v>
      </c>
    </row>
    <row r="546" spans="1:24" x14ac:dyDescent="0.35">
      <c r="A546" t="s">
        <v>41</v>
      </c>
      <c r="B546" t="s">
        <v>1</v>
      </c>
      <c r="C546" t="s">
        <v>70</v>
      </c>
      <c r="D546" t="s">
        <v>216</v>
      </c>
      <c r="E546" t="s">
        <v>217</v>
      </c>
      <c r="F546">
        <v>7090170</v>
      </c>
      <c r="G546" t="s">
        <v>1</v>
      </c>
      <c r="H546" t="s">
        <v>43</v>
      </c>
      <c r="I546" t="s">
        <v>44</v>
      </c>
      <c r="J546" t="s">
        <v>72</v>
      </c>
      <c r="K546" t="s">
        <v>0</v>
      </c>
      <c r="L546" t="s">
        <v>51</v>
      </c>
      <c r="M546" t="s">
        <v>718</v>
      </c>
      <c r="N546" t="s">
        <v>719</v>
      </c>
      <c r="O546" t="s">
        <v>720</v>
      </c>
      <c r="P546" t="s">
        <v>383</v>
      </c>
      <c r="Q546" t="s">
        <v>721</v>
      </c>
      <c r="R546" t="s">
        <v>722</v>
      </c>
      <c r="S546" t="s">
        <v>46</v>
      </c>
      <c r="T546" t="s">
        <v>46</v>
      </c>
      <c r="U546" s="4">
        <v>1385.01</v>
      </c>
      <c r="V546" t="str">
        <f t="shared" si="8"/>
        <v>-100</v>
      </c>
      <c r="W546" t="str">
        <f>VLOOKUP(K546,[1]Info!A$1:B$21,2,0)</f>
        <v>Carboval</v>
      </c>
      <c r="X546" t="str">
        <f>IF(M546="109595132","Material de Limpeza-Não Avaliar",IF(AND(K546="F20",M546&lt;&gt;109595132),IF(RIGHT(F546,2)="70","Infraestrutura de Planta","Prédios e Instalações"),IF(K546="FPC",VLOOKUP(F546,[1]Info!$E$2:$F$11,2,0),IF(K546="FGP",VLOOKUP(F546,[1]Info!$E$9:$F$10,2,0),IF(K546="F10",VLOOKUP(F546,[1]Info!$E$2:$F$3,2,0),VLOOKUP(K546,[1]Info!$A$1:$B$21,2,0))))))</f>
        <v>Carboval Canabrava</v>
      </c>
    </row>
    <row r="547" spans="1:24" x14ac:dyDescent="0.35">
      <c r="A547" t="s">
        <v>41</v>
      </c>
      <c r="B547" t="s">
        <v>1</v>
      </c>
      <c r="C547" t="s">
        <v>70</v>
      </c>
      <c r="D547" t="s">
        <v>91</v>
      </c>
      <c r="E547" t="s">
        <v>42</v>
      </c>
      <c r="F547">
        <v>7098135</v>
      </c>
      <c r="G547" t="s">
        <v>289</v>
      </c>
      <c r="H547" t="s">
        <v>43</v>
      </c>
      <c r="I547" t="s">
        <v>44</v>
      </c>
      <c r="J547" t="s">
        <v>50</v>
      </c>
      <c r="K547" t="s">
        <v>3</v>
      </c>
      <c r="L547" t="s">
        <v>51</v>
      </c>
      <c r="M547" t="s">
        <v>723</v>
      </c>
      <c r="N547" t="s">
        <v>724</v>
      </c>
      <c r="O547" t="s">
        <v>725</v>
      </c>
      <c r="P547" t="s">
        <v>383</v>
      </c>
      <c r="Q547" t="s">
        <v>290</v>
      </c>
      <c r="R547" t="s">
        <v>291</v>
      </c>
      <c r="S547" t="s">
        <v>46</v>
      </c>
      <c r="T547" t="s">
        <v>46</v>
      </c>
      <c r="U547" s="4">
        <v>504.29</v>
      </c>
      <c r="V547" t="str">
        <f t="shared" si="8"/>
        <v>-005</v>
      </c>
      <c r="W547" t="str">
        <f>VLOOKUP(K547,[1]Info!A$1:B$21,2,0)</f>
        <v>Carregadeira</v>
      </c>
      <c r="X547" t="str">
        <f>IF(M547="109595132","Material de Limpeza-Não Avaliar",IF(AND(K547="F20",M547&lt;&gt;109595132),IF(RIGHT(F547,2)="70","Infraestrutura de Planta","Prédios e Instalações"),IF(K547="FPC",VLOOKUP(F547,[1]Info!$E$2:$F$11,2,0),IF(K547="FGP",VLOOKUP(F547,[1]Info!$E$9:$F$10,2,0),IF(K547="F10",VLOOKUP(F547,[1]Info!$E$2:$F$3,2,0),VLOOKUP(K547,[1]Info!$A$1:$B$21,2,0))))))</f>
        <v>Carregadeira Canabrava</v>
      </c>
    </row>
    <row r="548" spans="1:24" x14ac:dyDescent="0.35">
      <c r="A548" t="s">
        <v>41</v>
      </c>
      <c r="B548" t="s">
        <v>1</v>
      </c>
      <c r="C548" t="s">
        <v>70</v>
      </c>
      <c r="D548" t="s">
        <v>91</v>
      </c>
      <c r="E548" t="s">
        <v>42</v>
      </c>
      <c r="F548">
        <v>7090170</v>
      </c>
      <c r="G548" t="s">
        <v>1</v>
      </c>
      <c r="H548" t="s">
        <v>43</v>
      </c>
      <c r="I548" t="s">
        <v>44</v>
      </c>
      <c r="J548" t="s">
        <v>72</v>
      </c>
      <c r="K548" t="s">
        <v>0</v>
      </c>
      <c r="L548" t="s">
        <v>51</v>
      </c>
      <c r="M548" t="s">
        <v>713</v>
      </c>
      <c r="N548" t="s">
        <v>714</v>
      </c>
      <c r="O548" t="s">
        <v>715</v>
      </c>
      <c r="P548" t="s">
        <v>383</v>
      </c>
      <c r="Q548" t="s">
        <v>726</v>
      </c>
      <c r="R548" t="s">
        <v>727</v>
      </c>
      <c r="S548" t="s">
        <v>46</v>
      </c>
      <c r="T548" t="s">
        <v>46</v>
      </c>
      <c r="U548" s="4">
        <v>242.51</v>
      </c>
      <c r="V548" t="str">
        <f t="shared" si="8"/>
        <v>0800</v>
      </c>
      <c r="W548" t="str">
        <f>VLOOKUP(K548,[1]Info!A$1:B$21,2,0)</f>
        <v>Carboval</v>
      </c>
      <c r="X548" t="str">
        <f>IF(M548="109595132","Material de Limpeza-Não Avaliar",IF(AND(K548="F20",M548&lt;&gt;109595132),IF(RIGHT(F548,2)="70","Infraestrutura de Planta","Prédios e Instalações"),IF(K548="FPC",VLOOKUP(F548,[1]Info!$E$2:$F$11,2,0),IF(K548="FGP",VLOOKUP(F548,[1]Info!$E$9:$F$10,2,0),IF(K548="F10",VLOOKUP(F548,[1]Info!$E$2:$F$3,2,0),VLOOKUP(K548,[1]Info!$A$1:$B$21,2,0))))))</f>
        <v>Carboval Canabrava</v>
      </c>
    </row>
    <row r="549" spans="1:24" x14ac:dyDescent="0.35">
      <c r="A549" t="s">
        <v>41</v>
      </c>
      <c r="B549" t="s">
        <v>1</v>
      </c>
      <c r="C549" t="s">
        <v>70</v>
      </c>
      <c r="D549" t="s">
        <v>91</v>
      </c>
      <c r="E549" t="s">
        <v>42</v>
      </c>
      <c r="F549">
        <v>7090170</v>
      </c>
      <c r="G549" t="s">
        <v>1</v>
      </c>
      <c r="H549" t="s">
        <v>43</v>
      </c>
      <c r="I549" t="s">
        <v>44</v>
      </c>
      <c r="J549" t="s">
        <v>72</v>
      </c>
      <c r="K549" t="s">
        <v>0</v>
      </c>
      <c r="L549" t="s">
        <v>51</v>
      </c>
      <c r="M549" t="s">
        <v>713</v>
      </c>
      <c r="N549" t="s">
        <v>714</v>
      </c>
      <c r="O549" t="s">
        <v>715</v>
      </c>
      <c r="P549" t="s">
        <v>383</v>
      </c>
      <c r="Q549" t="s">
        <v>728</v>
      </c>
      <c r="R549" t="s">
        <v>729</v>
      </c>
      <c r="S549" t="s">
        <v>46</v>
      </c>
      <c r="T549" t="s">
        <v>46</v>
      </c>
      <c r="U549" s="4">
        <v>292.68</v>
      </c>
      <c r="V549" t="str">
        <f t="shared" si="8"/>
        <v>0800</v>
      </c>
      <c r="W549" t="str">
        <f>VLOOKUP(K549,[1]Info!A$1:B$21,2,0)</f>
        <v>Carboval</v>
      </c>
      <c r="X549" t="str">
        <f>IF(M549="109595132","Material de Limpeza-Não Avaliar",IF(AND(K549="F20",M549&lt;&gt;109595132),IF(RIGHT(F549,2)="70","Infraestrutura de Planta","Prédios e Instalações"),IF(K549="FPC",VLOOKUP(F549,[1]Info!$E$2:$F$11,2,0),IF(K549="FGP",VLOOKUP(F549,[1]Info!$E$9:$F$10,2,0),IF(K549="F10",VLOOKUP(F549,[1]Info!$E$2:$F$3,2,0),VLOOKUP(K549,[1]Info!$A$1:$B$21,2,0))))))</f>
        <v>Carboval Canabrava</v>
      </c>
    </row>
    <row r="550" spans="1:24" x14ac:dyDescent="0.35">
      <c r="A550" t="s">
        <v>41</v>
      </c>
      <c r="B550" t="s">
        <v>1</v>
      </c>
      <c r="C550" t="s">
        <v>70</v>
      </c>
      <c r="D550" t="s">
        <v>91</v>
      </c>
      <c r="E550" t="s">
        <v>42</v>
      </c>
      <c r="F550">
        <v>7090170</v>
      </c>
      <c r="G550" t="s">
        <v>1</v>
      </c>
      <c r="H550" t="s">
        <v>43</v>
      </c>
      <c r="I550" t="s">
        <v>44</v>
      </c>
      <c r="J550" t="s">
        <v>72</v>
      </c>
      <c r="K550" t="s">
        <v>0</v>
      </c>
      <c r="L550" t="s">
        <v>51</v>
      </c>
      <c r="M550" t="s">
        <v>730</v>
      </c>
      <c r="N550" t="s">
        <v>731</v>
      </c>
      <c r="O550" t="s">
        <v>211</v>
      </c>
      <c r="P550" t="s">
        <v>383</v>
      </c>
      <c r="Q550" t="s">
        <v>732</v>
      </c>
      <c r="R550" t="s">
        <v>733</v>
      </c>
      <c r="S550" t="s">
        <v>46</v>
      </c>
      <c r="T550" t="s">
        <v>46</v>
      </c>
      <c r="U550" s="4">
        <v>522.82000000000005</v>
      </c>
      <c r="V550" t="str">
        <f t="shared" si="8"/>
        <v>0300</v>
      </c>
      <c r="W550" t="str">
        <f>VLOOKUP(K550,[1]Info!A$1:B$21,2,0)</f>
        <v>Carboval</v>
      </c>
      <c r="X550" t="str">
        <f>IF(M550="109595132","Material de Limpeza-Não Avaliar",IF(AND(K550="F20",M550&lt;&gt;109595132),IF(RIGHT(F550,2)="70","Infraestrutura de Planta","Prédios e Instalações"),IF(K550="FPC",VLOOKUP(F550,[1]Info!$E$2:$F$11,2,0),IF(K550="FGP",VLOOKUP(F550,[1]Info!$E$9:$F$10,2,0),IF(K550="F10",VLOOKUP(F550,[1]Info!$E$2:$F$3,2,0),VLOOKUP(K550,[1]Info!$A$1:$B$21,2,0))))))</f>
        <v>Carboval Canabrava</v>
      </c>
    </row>
    <row r="551" spans="1:24" x14ac:dyDescent="0.35">
      <c r="A551" t="s">
        <v>41</v>
      </c>
      <c r="B551" t="s">
        <v>1</v>
      </c>
      <c r="C551" t="s">
        <v>70</v>
      </c>
      <c r="D551" t="s">
        <v>96</v>
      </c>
      <c r="E551" t="s">
        <v>64</v>
      </c>
      <c r="F551">
        <v>7098135</v>
      </c>
      <c r="G551" t="s">
        <v>289</v>
      </c>
      <c r="H551" t="s">
        <v>43</v>
      </c>
      <c r="I551" t="s">
        <v>44</v>
      </c>
      <c r="J551" t="s">
        <v>50</v>
      </c>
      <c r="K551" t="s">
        <v>3</v>
      </c>
      <c r="L551" t="s">
        <v>51</v>
      </c>
      <c r="M551" t="s">
        <v>734</v>
      </c>
      <c r="N551" t="s">
        <v>735</v>
      </c>
      <c r="O551" t="s">
        <v>170</v>
      </c>
      <c r="P551" t="s">
        <v>383</v>
      </c>
      <c r="Q551" t="s">
        <v>736</v>
      </c>
      <c r="R551" t="s">
        <v>737</v>
      </c>
      <c r="S551" t="s">
        <v>46</v>
      </c>
      <c r="T551" t="s">
        <v>46</v>
      </c>
      <c r="U551" s="4">
        <v>99.23</v>
      </c>
      <c r="V551" t="str">
        <f t="shared" si="8"/>
        <v>C032</v>
      </c>
      <c r="W551" t="str">
        <f>VLOOKUP(K551,[1]Info!A$1:B$21,2,0)</f>
        <v>Carregadeira</v>
      </c>
      <c r="X551" t="str">
        <f>IF(M551="109595132","Material de Limpeza-Não Avaliar",IF(AND(K551="F20",M551&lt;&gt;109595132),IF(RIGHT(F551,2)="70","Infraestrutura de Planta","Prédios e Instalações"),IF(K551="FPC",VLOOKUP(F551,[1]Info!$E$2:$F$11,2,0),IF(K551="FGP",VLOOKUP(F551,[1]Info!$E$9:$F$10,2,0),IF(K551="F10",VLOOKUP(F551,[1]Info!$E$2:$F$3,2,0),VLOOKUP(K551,[1]Info!$A$1:$B$21,2,0))))))</f>
        <v>Carregadeira Canabrava</v>
      </c>
    </row>
    <row r="552" spans="1:24" x14ac:dyDescent="0.35">
      <c r="A552" t="s">
        <v>41</v>
      </c>
      <c r="B552" t="s">
        <v>1</v>
      </c>
      <c r="C552" t="s">
        <v>70</v>
      </c>
      <c r="D552" t="s">
        <v>96</v>
      </c>
      <c r="E552" t="s">
        <v>64</v>
      </c>
      <c r="F552">
        <v>7090170</v>
      </c>
      <c r="G552" t="s">
        <v>1</v>
      </c>
      <c r="H552" t="s">
        <v>43</v>
      </c>
      <c r="I552" t="s">
        <v>44</v>
      </c>
      <c r="J552" t="s">
        <v>72</v>
      </c>
      <c r="K552" t="s">
        <v>0</v>
      </c>
      <c r="L552" t="s">
        <v>51</v>
      </c>
      <c r="M552" t="s">
        <v>738</v>
      </c>
      <c r="N552" t="s">
        <v>739</v>
      </c>
      <c r="O552" t="s">
        <v>740</v>
      </c>
      <c r="P552" t="s">
        <v>383</v>
      </c>
      <c r="Q552" t="s">
        <v>741</v>
      </c>
      <c r="R552" t="s">
        <v>742</v>
      </c>
      <c r="S552" t="s">
        <v>46</v>
      </c>
      <c r="T552" t="s">
        <v>46</v>
      </c>
      <c r="U552" s="4">
        <v>186.09</v>
      </c>
      <c r="V552" t="str">
        <f t="shared" si="8"/>
        <v>-100</v>
      </c>
      <c r="W552" t="str">
        <f>VLOOKUP(K552,[1]Info!A$1:B$21,2,0)</f>
        <v>Carboval</v>
      </c>
      <c r="X552" t="str">
        <f>IF(M552="109595132","Material de Limpeza-Não Avaliar",IF(AND(K552="F20",M552&lt;&gt;109595132),IF(RIGHT(F552,2)="70","Infraestrutura de Planta","Prédios e Instalações"),IF(K552="FPC",VLOOKUP(F552,[1]Info!$E$2:$F$11,2,0),IF(K552="FGP",VLOOKUP(F552,[1]Info!$E$9:$F$10,2,0),IF(K552="F10",VLOOKUP(F552,[1]Info!$E$2:$F$3,2,0),VLOOKUP(K552,[1]Info!$A$1:$B$21,2,0))))))</f>
        <v>Carboval Canabrava</v>
      </c>
    </row>
    <row r="553" spans="1:24" x14ac:dyDescent="0.35">
      <c r="A553" t="s">
        <v>41</v>
      </c>
      <c r="B553" t="s">
        <v>1</v>
      </c>
      <c r="C553" t="s">
        <v>70</v>
      </c>
      <c r="D553" t="s">
        <v>96</v>
      </c>
      <c r="E553" t="s">
        <v>64</v>
      </c>
      <c r="F553">
        <v>7090170</v>
      </c>
      <c r="G553" t="s">
        <v>1</v>
      </c>
      <c r="H553" t="s">
        <v>43</v>
      </c>
      <c r="I553" t="s">
        <v>44</v>
      </c>
      <c r="J553" t="s">
        <v>72</v>
      </c>
      <c r="K553" t="s">
        <v>0</v>
      </c>
      <c r="L553" t="s">
        <v>51</v>
      </c>
      <c r="M553" t="s">
        <v>743</v>
      </c>
      <c r="N553" t="s">
        <v>744</v>
      </c>
      <c r="O553" t="s">
        <v>745</v>
      </c>
      <c r="P553" t="s">
        <v>383</v>
      </c>
      <c r="Q553" t="s">
        <v>746</v>
      </c>
      <c r="R553" t="s">
        <v>747</v>
      </c>
      <c r="S553" t="s">
        <v>46</v>
      </c>
      <c r="T553" t="s">
        <v>46</v>
      </c>
      <c r="U553" s="4">
        <v>380.02</v>
      </c>
      <c r="V553" t="str">
        <f t="shared" si="8"/>
        <v>0100</v>
      </c>
      <c r="W553" t="str">
        <f>VLOOKUP(K553,[1]Info!A$1:B$21,2,0)</f>
        <v>Carboval</v>
      </c>
      <c r="X553" t="str">
        <f>IF(M553="109595132","Material de Limpeza-Não Avaliar",IF(AND(K553="F20",M553&lt;&gt;109595132),IF(RIGHT(F553,2)="70","Infraestrutura de Planta","Prédios e Instalações"),IF(K553="FPC",VLOOKUP(F553,[1]Info!$E$2:$F$11,2,0),IF(K553="FGP",VLOOKUP(F553,[1]Info!$E$9:$F$10,2,0),IF(K553="F10",VLOOKUP(F553,[1]Info!$E$2:$F$3,2,0),VLOOKUP(K553,[1]Info!$A$1:$B$21,2,0))))))</f>
        <v>Carboval Canabrava</v>
      </c>
    </row>
    <row r="554" spans="1:24" x14ac:dyDescent="0.35">
      <c r="A554" t="s">
        <v>41</v>
      </c>
      <c r="B554" t="s">
        <v>1</v>
      </c>
      <c r="C554" t="s">
        <v>70</v>
      </c>
      <c r="D554" t="s">
        <v>96</v>
      </c>
      <c r="E554" t="s">
        <v>64</v>
      </c>
      <c r="F554">
        <v>7090170</v>
      </c>
      <c r="G554" t="s">
        <v>1</v>
      </c>
      <c r="H554" t="s">
        <v>43</v>
      </c>
      <c r="I554" t="s">
        <v>44</v>
      </c>
      <c r="J554" t="s">
        <v>72</v>
      </c>
      <c r="K554" t="s">
        <v>17</v>
      </c>
      <c r="L554" t="s">
        <v>45</v>
      </c>
      <c r="M554" t="s">
        <v>1608</v>
      </c>
      <c r="N554" t="s">
        <v>1609</v>
      </c>
      <c r="O554" t="s">
        <v>1610</v>
      </c>
      <c r="P554" t="s">
        <v>1292</v>
      </c>
      <c r="Q554" t="s">
        <v>46</v>
      </c>
      <c r="R554" t="s">
        <v>47</v>
      </c>
      <c r="S554" t="s">
        <v>46</v>
      </c>
      <c r="T554" t="s">
        <v>46</v>
      </c>
      <c r="U554" s="4">
        <v>358.6</v>
      </c>
      <c r="V554" t="str">
        <f t="shared" si="8"/>
        <v>0200</v>
      </c>
      <c r="W554" t="str">
        <f>VLOOKUP(K554,[1]Info!A$1:B$21,2,0)</f>
        <v>Energia e Utilidades</v>
      </c>
      <c r="X554" t="str">
        <f>IF(M554="109595132","Material de Limpeza-Não Avaliar",IF(AND(K554="F20",M554&lt;&gt;109595132),IF(RIGHT(F554,2)="70","Infraestrutura de Planta","Prédios e Instalações"),IF(K554="FPC",VLOOKUP(F554,[1]Info!$E$2:$F$11,2,0),IF(K554="FGP",VLOOKUP(F554,[1]Info!$E$9:$F$10,2,0),IF(K554="F10",VLOOKUP(F554,[1]Info!$E$2:$F$3,2,0),VLOOKUP(K554,[1]Info!$A$1:$B$21,2,0))))))</f>
        <v>Energia e Utilidades</v>
      </c>
    </row>
    <row r="555" spans="1:24" x14ac:dyDescent="0.35">
      <c r="A555" t="s">
        <v>41</v>
      </c>
      <c r="B555" t="s">
        <v>1</v>
      </c>
      <c r="C555" t="s">
        <v>70</v>
      </c>
      <c r="D555" t="s">
        <v>542</v>
      </c>
      <c r="E555" t="s">
        <v>543</v>
      </c>
      <c r="F555">
        <v>7090170</v>
      </c>
      <c r="G555" t="s">
        <v>1</v>
      </c>
      <c r="H555" t="s">
        <v>43</v>
      </c>
      <c r="I555" t="s">
        <v>44</v>
      </c>
      <c r="J555" t="s">
        <v>72</v>
      </c>
      <c r="K555" t="s">
        <v>0</v>
      </c>
      <c r="L555" t="s">
        <v>51</v>
      </c>
      <c r="M555" t="s">
        <v>748</v>
      </c>
      <c r="N555" t="s">
        <v>749</v>
      </c>
      <c r="O555" t="s">
        <v>750</v>
      </c>
      <c r="P555" t="s">
        <v>383</v>
      </c>
      <c r="Q555" t="s">
        <v>751</v>
      </c>
      <c r="R555" t="s">
        <v>752</v>
      </c>
      <c r="S555" t="s">
        <v>46</v>
      </c>
      <c r="T555" t="s">
        <v>46</v>
      </c>
      <c r="U555" s="4">
        <v>344.51</v>
      </c>
      <c r="V555" t="str">
        <f t="shared" si="8"/>
        <v>5000</v>
      </c>
      <c r="W555" t="str">
        <f>VLOOKUP(K555,[1]Info!A$1:B$21,2,0)</f>
        <v>Carboval</v>
      </c>
      <c r="X555" t="str">
        <f>IF(M555="109595132","Material de Limpeza-Não Avaliar",IF(AND(K555="F20",M555&lt;&gt;109595132),IF(RIGHT(F555,2)="70","Infraestrutura de Planta","Prédios e Instalações"),IF(K555="FPC",VLOOKUP(F555,[1]Info!$E$2:$F$11,2,0),IF(K555="FGP",VLOOKUP(F555,[1]Info!$E$9:$F$10,2,0),IF(K555="F10",VLOOKUP(F555,[1]Info!$E$2:$F$3,2,0),VLOOKUP(K555,[1]Info!$A$1:$B$21,2,0))))))</f>
        <v>Carboval Canabrava</v>
      </c>
    </row>
    <row r="556" spans="1:24" x14ac:dyDescent="0.35">
      <c r="A556" t="s">
        <v>41</v>
      </c>
      <c r="B556" t="s">
        <v>1</v>
      </c>
      <c r="C556" t="s">
        <v>70</v>
      </c>
      <c r="D556" t="s">
        <v>542</v>
      </c>
      <c r="E556" t="s">
        <v>543</v>
      </c>
      <c r="F556">
        <v>7090170</v>
      </c>
      <c r="G556" t="s">
        <v>1</v>
      </c>
      <c r="H556" t="s">
        <v>43</v>
      </c>
      <c r="I556" t="s">
        <v>44</v>
      </c>
      <c r="J556" t="s">
        <v>72</v>
      </c>
      <c r="K556" t="s">
        <v>0</v>
      </c>
      <c r="L556" t="s">
        <v>51</v>
      </c>
      <c r="M556" t="s">
        <v>753</v>
      </c>
      <c r="N556" t="s">
        <v>739</v>
      </c>
      <c r="O556" t="s">
        <v>750</v>
      </c>
      <c r="P556" t="s">
        <v>383</v>
      </c>
      <c r="Q556" t="s">
        <v>754</v>
      </c>
      <c r="R556" t="s">
        <v>755</v>
      </c>
      <c r="S556" t="s">
        <v>46</v>
      </c>
      <c r="T556" t="s">
        <v>46</v>
      </c>
      <c r="U556" s="4">
        <v>878.25</v>
      </c>
      <c r="V556" t="str">
        <f t="shared" si="8"/>
        <v>5000</v>
      </c>
      <c r="W556" t="str">
        <f>VLOOKUP(K556,[1]Info!A$1:B$21,2,0)</f>
        <v>Carboval</v>
      </c>
      <c r="X556" t="str">
        <f>IF(M556="109595132","Material de Limpeza-Não Avaliar",IF(AND(K556="F20",M556&lt;&gt;109595132),IF(RIGHT(F556,2)="70","Infraestrutura de Planta","Prédios e Instalações"),IF(K556="FPC",VLOOKUP(F556,[1]Info!$E$2:$F$11,2,0),IF(K556="FGP",VLOOKUP(F556,[1]Info!$E$9:$F$10,2,0),IF(K556="F10",VLOOKUP(F556,[1]Info!$E$2:$F$3,2,0),VLOOKUP(K556,[1]Info!$A$1:$B$21,2,0))))))</f>
        <v>Carboval Canabrava</v>
      </c>
    </row>
    <row r="557" spans="1:24" x14ac:dyDescent="0.35">
      <c r="A557" t="s">
        <v>41</v>
      </c>
      <c r="B557" t="s">
        <v>1</v>
      </c>
      <c r="C557" t="s">
        <v>70</v>
      </c>
      <c r="D557" t="s">
        <v>542</v>
      </c>
      <c r="E557" t="s">
        <v>543</v>
      </c>
      <c r="F557">
        <v>7090170</v>
      </c>
      <c r="G557" t="s">
        <v>1</v>
      </c>
      <c r="H557" t="s">
        <v>43</v>
      </c>
      <c r="I557" t="s">
        <v>44</v>
      </c>
      <c r="J557" t="s">
        <v>72</v>
      </c>
      <c r="K557" t="s">
        <v>0</v>
      </c>
      <c r="L557" t="s">
        <v>51</v>
      </c>
      <c r="M557" t="s">
        <v>753</v>
      </c>
      <c r="N557" t="s">
        <v>739</v>
      </c>
      <c r="O557" t="s">
        <v>750</v>
      </c>
      <c r="P557" t="s">
        <v>383</v>
      </c>
      <c r="Q557" t="s">
        <v>756</v>
      </c>
      <c r="R557" t="s">
        <v>757</v>
      </c>
      <c r="S557" t="s">
        <v>46</v>
      </c>
      <c r="T557" t="s">
        <v>46</v>
      </c>
      <c r="U557" s="4">
        <v>234.86</v>
      </c>
      <c r="V557" t="str">
        <f t="shared" si="8"/>
        <v>5000</v>
      </c>
      <c r="W557" t="str">
        <f>VLOOKUP(K557,[1]Info!A$1:B$21,2,0)</f>
        <v>Carboval</v>
      </c>
      <c r="X557" t="str">
        <f>IF(M557="109595132","Material de Limpeza-Não Avaliar",IF(AND(K557="F20",M557&lt;&gt;109595132),IF(RIGHT(F557,2)="70","Infraestrutura de Planta","Prédios e Instalações"),IF(K557="FPC",VLOOKUP(F557,[1]Info!$E$2:$F$11,2,0),IF(K557="FGP",VLOOKUP(F557,[1]Info!$E$9:$F$10,2,0),IF(K557="F10",VLOOKUP(F557,[1]Info!$E$2:$F$3,2,0),VLOOKUP(K557,[1]Info!$A$1:$B$21,2,0))))))</f>
        <v>Carboval Canabrava</v>
      </c>
    </row>
    <row r="558" spans="1:24" x14ac:dyDescent="0.35">
      <c r="A558" t="s">
        <v>41</v>
      </c>
      <c r="B558" t="s">
        <v>1</v>
      </c>
      <c r="C558" t="s">
        <v>70</v>
      </c>
      <c r="D558" t="s">
        <v>542</v>
      </c>
      <c r="E558" t="s">
        <v>543</v>
      </c>
      <c r="F558">
        <v>7090170</v>
      </c>
      <c r="G558" t="s">
        <v>1</v>
      </c>
      <c r="H558" t="s">
        <v>43</v>
      </c>
      <c r="I558" t="s">
        <v>44</v>
      </c>
      <c r="J558" t="s">
        <v>72</v>
      </c>
      <c r="K558" t="s">
        <v>0</v>
      </c>
      <c r="L558" t="s">
        <v>51</v>
      </c>
      <c r="M558" t="s">
        <v>753</v>
      </c>
      <c r="N558" t="s">
        <v>739</v>
      </c>
      <c r="O558" t="s">
        <v>750</v>
      </c>
      <c r="P558" t="s">
        <v>383</v>
      </c>
      <c r="Q558" t="s">
        <v>758</v>
      </c>
      <c r="R558" t="s">
        <v>759</v>
      </c>
      <c r="S558" t="s">
        <v>46</v>
      </c>
      <c r="T558" t="s">
        <v>46</v>
      </c>
      <c r="U558" s="4">
        <v>192</v>
      </c>
      <c r="V558" t="str">
        <f t="shared" si="8"/>
        <v>5000</v>
      </c>
      <c r="W558" t="str">
        <f>VLOOKUP(K558,[1]Info!A$1:B$21,2,0)</f>
        <v>Carboval</v>
      </c>
      <c r="X558" t="str">
        <f>IF(M558="109595132","Material de Limpeza-Não Avaliar",IF(AND(K558="F20",M558&lt;&gt;109595132),IF(RIGHT(F558,2)="70","Infraestrutura de Planta","Prédios e Instalações"),IF(K558="FPC",VLOOKUP(F558,[1]Info!$E$2:$F$11,2,0),IF(K558="FGP",VLOOKUP(F558,[1]Info!$E$9:$F$10,2,0),IF(K558="F10",VLOOKUP(F558,[1]Info!$E$2:$F$3,2,0),VLOOKUP(K558,[1]Info!$A$1:$B$21,2,0))))))</f>
        <v>Carboval Canabrava</v>
      </c>
    </row>
    <row r="559" spans="1:24" x14ac:dyDescent="0.35">
      <c r="A559" t="s">
        <v>41</v>
      </c>
      <c r="B559" t="s">
        <v>1</v>
      </c>
      <c r="C559" t="s">
        <v>70</v>
      </c>
      <c r="D559" t="s">
        <v>542</v>
      </c>
      <c r="E559" t="s">
        <v>543</v>
      </c>
      <c r="F559">
        <v>7090170</v>
      </c>
      <c r="G559" t="s">
        <v>1</v>
      </c>
      <c r="H559" t="s">
        <v>43</v>
      </c>
      <c r="I559" t="s">
        <v>44</v>
      </c>
      <c r="J559" t="s">
        <v>72</v>
      </c>
      <c r="K559" t="s">
        <v>0</v>
      </c>
      <c r="L559" t="s">
        <v>51</v>
      </c>
      <c r="M559" t="s">
        <v>738</v>
      </c>
      <c r="N559" t="s">
        <v>739</v>
      </c>
      <c r="O559" t="s">
        <v>740</v>
      </c>
      <c r="P559" t="s">
        <v>383</v>
      </c>
      <c r="Q559" t="s">
        <v>756</v>
      </c>
      <c r="R559" t="s">
        <v>757</v>
      </c>
      <c r="S559" t="s">
        <v>46</v>
      </c>
      <c r="T559" t="s">
        <v>46</v>
      </c>
      <c r="U559" s="4">
        <v>100.65</v>
      </c>
      <c r="V559" t="str">
        <f t="shared" si="8"/>
        <v>-100</v>
      </c>
      <c r="W559" t="str">
        <f>VLOOKUP(K559,[1]Info!A$1:B$21,2,0)</f>
        <v>Carboval</v>
      </c>
      <c r="X559" t="str">
        <f>IF(M559="109595132","Material de Limpeza-Não Avaliar",IF(AND(K559="F20",M559&lt;&gt;109595132),IF(RIGHT(F559,2)="70","Infraestrutura de Planta","Prédios e Instalações"),IF(K559="FPC",VLOOKUP(F559,[1]Info!$E$2:$F$11,2,0),IF(K559="FGP",VLOOKUP(F559,[1]Info!$E$9:$F$10,2,0),IF(K559="F10",VLOOKUP(F559,[1]Info!$E$2:$F$3,2,0),VLOOKUP(K559,[1]Info!$A$1:$B$21,2,0))))))</f>
        <v>Carboval Canabrava</v>
      </c>
    </row>
    <row r="560" spans="1:24" x14ac:dyDescent="0.35">
      <c r="A560" t="s">
        <v>41</v>
      </c>
      <c r="B560" t="s">
        <v>1</v>
      </c>
      <c r="C560" t="s">
        <v>70</v>
      </c>
      <c r="D560" t="s">
        <v>542</v>
      </c>
      <c r="E560" t="s">
        <v>543</v>
      </c>
      <c r="F560">
        <v>7090170</v>
      </c>
      <c r="G560" t="s">
        <v>1</v>
      </c>
      <c r="H560" t="s">
        <v>43</v>
      </c>
      <c r="I560" t="s">
        <v>44</v>
      </c>
      <c r="J560" t="s">
        <v>72</v>
      </c>
      <c r="K560" t="s">
        <v>0</v>
      </c>
      <c r="L560" t="s">
        <v>51</v>
      </c>
      <c r="M560" t="s">
        <v>738</v>
      </c>
      <c r="N560" t="s">
        <v>739</v>
      </c>
      <c r="O560" t="s">
        <v>740</v>
      </c>
      <c r="P560" t="s">
        <v>383</v>
      </c>
      <c r="Q560" t="s">
        <v>758</v>
      </c>
      <c r="R560" t="s">
        <v>759</v>
      </c>
      <c r="S560" t="s">
        <v>46</v>
      </c>
      <c r="T560" t="s">
        <v>46</v>
      </c>
      <c r="U560" s="4">
        <v>48</v>
      </c>
      <c r="V560" t="str">
        <f t="shared" si="8"/>
        <v>-100</v>
      </c>
      <c r="W560" t="str">
        <f>VLOOKUP(K560,[1]Info!A$1:B$21,2,0)</f>
        <v>Carboval</v>
      </c>
      <c r="X560" t="str">
        <f>IF(M560="109595132","Material de Limpeza-Não Avaliar",IF(AND(K560="F20",M560&lt;&gt;109595132),IF(RIGHT(F560,2)="70","Infraestrutura de Planta","Prédios e Instalações"),IF(K560="FPC",VLOOKUP(F560,[1]Info!$E$2:$F$11,2,0),IF(K560="FGP",VLOOKUP(F560,[1]Info!$E$9:$F$10,2,0),IF(K560="F10",VLOOKUP(F560,[1]Info!$E$2:$F$3,2,0),VLOOKUP(K560,[1]Info!$A$1:$B$21,2,0))))))</f>
        <v>Carboval Canabrava</v>
      </c>
    </row>
    <row r="561" spans="1:24" x14ac:dyDescent="0.35">
      <c r="A561" t="s">
        <v>41</v>
      </c>
      <c r="B561" t="s">
        <v>1</v>
      </c>
      <c r="C561" t="s">
        <v>70</v>
      </c>
      <c r="D561" t="s">
        <v>542</v>
      </c>
      <c r="E561" t="s">
        <v>543</v>
      </c>
      <c r="F561">
        <v>7090170</v>
      </c>
      <c r="G561" t="s">
        <v>1</v>
      </c>
      <c r="H561" t="s">
        <v>43</v>
      </c>
      <c r="I561" t="s">
        <v>44</v>
      </c>
      <c r="J561" t="s">
        <v>72</v>
      </c>
      <c r="K561" t="s">
        <v>0</v>
      </c>
      <c r="L561" t="s">
        <v>51</v>
      </c>
      <c r="M561" t="s">
        <v>738</v>
      </c>
      <c r="N561" t="s">
        <v>739</v>
      </c>
      <c r="O561" t="s">
        <v>740</v>
      </c>
      <c r="P561" t="s">
        <v>383</v>
      </c>
      <c r="Q561" t="s">
        <v>751</v>
      </c>
      <c r="R561" t="s">
        <v>752</v>
      </c>
      <c r="S561" t="s">
        <v>46</v>
      </c>
      <c r="T561" t="s">
        <v>46</v>
      </c>
      <c r="U561" s="4">
        <v>172.25</v>
      </c>
      <c r="V561" t="str">
        <f t="shared" si="8"/>
        <v>-100</v>
      </c>
      <c r="W561" t="str">
        <f>VLOOKUP(K561,[1]Info!A$1:B$21,2,0)</f>
        <v>Carboval</v>
      </c>
      <c r="X561" t="str">
        <f>IF(M561="109595132","Material de Limpeza-Não Avaliar",IF(AND(K561="F20",M561&lt;&gt;109595132),IF(RIGHT(F561,2)="70","Infraestrutura de Planta","Prédios e Instalações"),IF(K561="FPC",VLOOKUP(F561,[1]Info!$E$2:$F$11,2,0),IF(K561="FGP",VLOOKUP(F561,[1]Info!$E$9:$F$10,2,0),IF(K561="F10",VLOOKUP(F561,[1]Info!$E$2:$F$3,2,0),VLOOKUP(K561,[1]Info!$A$1:$B$21,2,0))))))</f>
        <v>Carboval Canabrava</v>
      </c>
    </row>
    <row r="562" spans="1:24" x14ac:dyDescent="0.35">
      <c r="A562" t="s">
        <v>41</v>
      </c>
      <c r="B562" t="s">
        <v>1</v>
      </c>
      <c r="C562" t="s">
        <v>70</v>
      </c>
      <c r="D562" t="s">
        <v>542</v>
      </c>
      <c r="E562" t="s">
        <v>543</v>
      </c>
      <c r="F562">
        <v>7090170</v>
      </c>
      <c r="G562" t="s">
        <v>1</v>
      </c>
      <c r="H562" t="s">
        <v>43</v>
      </c>
      <c r="I562" t="s">
        <v>44</v>
      </c>
      <c r="J562" t="s">
        <v>72</v>
      </c>
      <c r="K562" t="s">
        <v>0</v>
      </c>
      <c r="L562" t="s">
        <v>51</v>
      </c>
      <c r="M562" t="s">
        <v>738</v>
      </c>
      <c r="N562" t="s">
        <v>739</v>
      </c>
      <c r="O562" t="s">
        <v>740</v>
      </c>
      <c r="P562" t="s">
        <v>383</v>
      </c>
      <c r="Q562" t="s">
        <v>760</v>
      </c>
      <c r="R562" t="s">
        <v>761</v>
      </c>
      <c r="S562" t="s">
        <v>46</v>
      </c>
      <c r="T562" t="s">
        <v>46</v>
      </c>
      <c r="U562" s="4">
        <v>277.02</v>
      </c>
      <c r="V562" t="str">
        <f t="shared" si="8"/>
        <v>-100</v>
      </c>
      <c r="W562" t="str">
        <f>VLOOKUP(K562,[1]Info!A$1:B$21,2,0)</f>
        <v>Carboval</v>
      </c>
      <c r="X562" t="str">
        <f>IF(M562="109595132","Material de Limpeza-Não Avaliar",IF(AND(K562="F20",M562&lt;&gt;109595132),IF(RIGHT(F562,2)="70","Infraestrutura de Planta","Prédios e Instalações"),IF(K562="FPC",VLOOKUP(F562,[1]Info!$E$2:$F$11,2,0),IF(K562="FGP",VLOOKUP(F562,[1]Info!$E$9:$F$10,2,0),IF(K562="F10",VLOOKUP(F562,[1]Info!$E$2:$F$3,2,0),VLOOKUP(K562,[1]Info!$A$1:$B$21,2,0))))))</f>
        <v>Carboval Canabrava</v>
      </c>
    </row>
    <row r="563" spans="1:24" x14ac:dyDescent="0.35">
      <c r="A563" t="s">
        <v>41</v>
      </c>
      <c r="B563" t="s">
        <v>1</v>
      </c>
      <c r="C563" t="s">
        <v>70</v>
      </c>
      <c r="D563" t="s">
        <v>542</v>
      </c>
      <c r="E563" t="s">
        <v>543</v>
      </c>
      <c r="F563">
        <v>7090170</v>
      </c>
      <c r="G563" t="s">
        <v>1</v>
      </c>
      <c r="H563" t="s">
        <v>43</v>
      </c>
      <c r="I563" t="s">
        <v>44</v>
      </c>
      <c r="J563" t="s">
        <v>72</v>
      </c>
      <c r="K563" t="s">
        <v>0</v>
      </c>
      <c r="L563" t="s">
        <v>51</v>
      </c>
      <c r="M563" t="s">
        <v>347</v>
      </c>
      <c r="N563" t="s">
        <v>222</v>
      </c>
      <c r="O563" t="s">
        <v>214</v>
      </c>
      <c r="P563" t="s">
        <v>383</v>
      </c>
      <c r="Q563" t="s">
        <v>547</v>
      </c>
      <c r="R563" t="s">
        <v>548</v>
      </c>
      <c r="S563" t="s">
        <v>46</v>
      </c>
      <c r="T563" t="s">
        <v>46</v>
      </c>
      <c r="U563" s="4">
        <v>271.19</v>
      </c>
      <c r="V563" t="str">
        <f t="shared" si="8"/>
        <v>WD01</v>
      </c>
      <c r="W563" t="str">
        <f>VLOOKUP(K563,[1]Info!A$1:B$21,2,0)</f>
        <v>Carboval</v>
      </c>
      <c r="X563" t="str">
        <f>IF(M563="109595132","Material de Limpeza-Não Avaliar",IF(AND(K563="F20",M563&lt;&gt;109595132),IF(RIGHT(F563,2)="70","Infraestrutura de Planta","Prédios e Instalações"),IF(K563="FPC",VLOOKUP(F563,[1]Info!$E$2:$F$11,2,0),IF(K563="FGP",VLOOKUP(F563,[1]Info!$E$9:$F$10,2,0),IF(K563="F10",VLOOKUP(F563,[1]Info!$E$2:$F$3,2,0),VLOOKUP(K563,[1]Info!$A$1:$B$21,2,0))))))</f>
        <v>Carboval Canabrava</v>
      </c>
    </row>
    <row r="564" spans="1:24" x14ac:dyDescent="0.35">
      <c r="A564" t="s">
        <v>41</v>
      </c>
      <c r="B564" t="s">
        <v>1</v>
      </c>
      <c r="C564" t="s">
        <v>70</v>
      </c>
      <c r="D564" t="s">
        <v>542</v>
      </c>
      <c r="E564" t="s">
        <v>543</v>
      </c>
      <c r="F564">
        <v>7090170</v>
      </c>
      <c r="G564" t="s">
        <v>1</v>
      </c>
      <c r="H564" t="s">
        <v>43</v>
      </c>
      <c r="I564" t="s">
        <v>44</v>
      </c>
      <c r="J564" t="s">
        <v>72</v>
      </c>
      <c r="K564" t="s">
        <v>0</v>
      </c>
      <c r="L564" t="s">
        <v>51</v>
      </c>
      <c r="M564" t="s">
        <v>762</v>
      </c>
      <c r="N564" t="s">
        <v>763</v>
      </c>
      <c r="O564" t="s">
        <v>214</v>
      </c>
      <c r="P564" t="s">
        <v>383</v>
      </c>
      <c r="Q564" t="s">
        <v>764</v>
      </c>
      <c r="R564" t="s">
        <v>765</v>
      </c>
      <c r="S564" t="s">
        <v>46</v>
      </c>
      <c r="T564" t="s">
        <v>46</v>
      </c>
      <c r="U564" s="4">
        <v>125.74</v>
      </c>
      <c r="V564" t="str">
        <f t="shared" si="8"/>
        <v>WD01</v>
      </c>
      <c r="W564" t="str">
        <f>VLOOKUP(K564,[1]Info!A$1:B$21,2,0)</f>
        <v>Carboval</v>
      </c>
      <c r="X564" t="str">
        <f>IF(M564="109595132","Material de Limpeza-Não Avaliar",IF(AND(K564="F20",M564&lt;&gt;109595132),IF(RIGHT(F564,2)="70","Infraestrutura de Planta","Prédios e Instalações"),IF(K564="FPC",VLOOKUP(F564,[1]Info!$E$2:$F$11,2,0),IF(K564="FGP",VLOOKUP(F564,[1]Info!$E$9:$F$10,2,0),IF(K564="F10",VLOOKUP(F564,[1]Info!$E$2:$F$3,2,0),VLOOKUP(K564,[1]Info!$A$1:$B$21,2,0))))))</f>
        <v>Carboval Canabrava</v>
      </c>
    </row>
    <row r="565" spans="1:24" x14ac:dyDescent="0.35">
      <c r="A565" t="s">
        <v>41</v>
      </c>
      <c r="B565" t="s">
        <v>1</v>
      </c>
      <c r="C565" t="s">
        <v>70</v>
      </c>
      <c r="D565" t="s">
        <v>94</v>
      </c>
      <c r="E565" t="s">
        <v>52</v>
      </c>
      <c r="F565">
        <v>7098135</v>
      </c>
      <c r="G565" t="s">
        <v>289</v>
      </c>
      <c r="H565" t="s">
        <v>43</v>
      </c>
      <c r="I565" t="s">
        <v>44</v>
      </c>
      <c r="J565" t="s">
        <v>50</v>
      </c>
      <c r="K565" t="s">
        <v>3</v>
      </c>
      <c r="L565" t="s">
        <v>51</v>
      </c>
      <c r="M565" t="s">
        <v>1611</v>
      </c>
      <c r="N565" t="s">
        <v>1612</v>
      </c>
      <c r="O565" t="s">
        <v>170</v>
      </c>
      <c r="P565" t="s">
        <v>1292</v>
      </c>
      <c r="Q565" t="s">
        <v>46</v>
      </c>
      <c r="R565" t="s">
        <v>47</v>
      </c>
      <c r="S565" t="s">
        <v>46</v>
      </c>
      <c r="T565" t="s">
        <v>46</v>
      </c>
      <c r="U565" s="4">
        <v>3900.86</v>
      </c>
      <c r="V565" t="str">
        <f t="shared" si="8"/>
        <v>C032</v>
      </c>
      <c r="W565" t="str">
        <f>VLOOKUP(K565,[1]Info!A$1:B$21,2,0)</f>
        <v>Carregadeira</v>
      </c>
      <c r="X565" t="str">
        <f>IF(M565="109595132","Material de Limpeza-Não Avaliar",IF(AND(K565="F20",M565&lt;&gt;109595132),IF(RIGHT(F565,2)="70","Infraestrutura de Planta","Prédios e Instalações"),IF(K565="FPC",VLOOKUP(F565,[1]Info!$E$2:$F$11,2,0),IF(K565="FGP",VLOOKUP(F565,[1]Info!$E$9:$F$10,2,0),IF(K565="F10",VLOOKUP(F565,[1]Info!$E$2:$F$3,2,0),VLOOKUP(K565,[1]Info!$A$1:$B$21,2,0))))))</f>
        <v>Carregadeira Canabrava</v>
      </c>
    </row>
    <row r="566" spans="1:24" x14ac:dyDescent="0.35">
      <c r="A566" t="s">
        <v>41</v>
      </c>
      <c r="B566" t="s">
        <v>1</v>
      </c>
      <c r="C566" t="s">
        <v>70</v>
      </c>
      <c r="D566" t="s">
        <v>94</v>
      </c>
      <c r="E566" t="s">
        <v>52</v>
      </c>
      <c r="F566">
        <v>7090170</v>
      </c>
      <c r="G566" t="s">
        <v>1</v>
      </c>
      <c r="H566" t="s">
        <v>43</v>
      </c>
      <c r="I566" t="s">
        <v>44</v>
      </c>
      <c r="J566" t="s">
        <v>72</v>
      </c>
      <c r="K566" t="s">
        <v>0</v>
      </c>
      <c r="L566" t="s">
        <v>51</v>
      </c>
      <c r="M566" t="s">
        <v>766</v>
      </c>
      <c r="N566" t="s">
        <v>767</v>
      </c>
      <c r="O566" t="s">
        <v>211</v>
      </c>
      <c r="P566" t="s">
        <v>383</v>
      </c>
      <c r="Q566" t="s">
        <v>768</v>
      </c>
      <c r="R566" t="s">
        <v>769</v>
      </c>
      <c r="S566" t="s">
        <v>46</v>
      </c>
      <c r="T566" t="s">
        <v>46</v>
      </c>
      <c r="U566" s="4">
        <v>170.01</v>
      </c>
      <c r="V566" t="str">
        <f t="shared" si="8"/>
        <v>0300</v>
      </c>
      <c r="W566" t="str">
        <f>VLOOKUP(K566,[1]Info!A$1:B$21,2,0)</f>
        <v>Carboval</v>
      </c>
      <c r="X566" t="str">
        <f>IF(M566="109595132","Material de Limpeza-Não Avaliar",IF(AND(K566="F20",M566&lt;&gt;109595132),IF(RIGHT(F566,2)="70","Infraestrutura de Planta","Prédios e Instalações"),IF(K566="FPC",VLOOKUP(F566,[1]Info!$E$2:$F$11,2,0),IF(K566="FGP",VLOOKUP(F566,[1]Info!$E$9:$F$10,2,0),IF(K566="F10",VLOOKUP(F566,[1]Info!$E$2:$F$3,2,0),VLOOKUP(K566,[1]Info!$A$1:$B$21,2,0))))))</f>
        <v>Carboval Canabrava</v>
      </c>
    </row>
    <row r="567" spans="1:24" x14ac:dyDescent="0.35">
      <c r="A567" t="s">
        <v>41</v>
      </c>
      <c r="B567" t="s">
        <v>1</v>
      </c>
      <c r="C567" t="s">
        <v>70</v>
      </c>
      <c r="D567" t="s">
        <v>94</v>
      </c>
      <c r="E567" t="s">
        <v>52</v>
      </c>
      <c r="F567">
        <v>7090170</v>
      </c>
      <c r="G567" t="s">
        <v>1</v>
      </c>
      <c r="H567" t="s">
        <v>43</v>
      </c>
      <c r="I567" t="s">
        <v>44</v>
      </c>
      <c r="J567" t="s">
        <v>72</v>
      </c>
      <c r="K567" t="s">
        <v>0</v>
      </c>
      <c r="L567" t="s">
        <v>51</v>
      </c>
      <c r="M567" t="s">
        <v>770</v>
      </c>
      <c r="N567" t="s">
        <v>771</v>
      </c>
      <c r="O567" t="s">
        <v>211</v>
      </c>
      <c r="P567" t="s">
        <v>383</v>
      </c>
      <c r="Q567" t="s">
        <v>772</v>
      </c>
      <c r="R567" t="s">
        <v>773</v>
      </c>
      <c r="S567" t="s">
        <v>46</v>
      </c>
      <c r="T567" t="s">
        <v>46</v>
      </c>
      <c r="U567" s="4">
        <v>46.13</v>
      </c>
      <c r="V567" t="str">
        <f t="shared" si="8"/>
        <v>0300</v>
      </c>
      <c r="W567" t="str">
        <f>VLOOKUP(K567,[1]Info!A$1:B$21,2,0)</f>
        <v>Carboval</v>
      </c>
      <c r="X567" t="str">
        <f>IF(M567="109595132","Material de Limpeza-Não Avaliar",IF(AND(K567="F20",M567&lt;&gt;109595132),IF(RIGHT(F567,2)="70","Infraestrutura de Planta","Prédios e Instalações"),IF(K567="FPC",VLOOKUP(F567,[1]Info!$E$2:$F$11,2,0),IF(K567="FGP",VLOOKUP(F567,[1]Info!$E$9:$F$10,2,0),IF(K567="F10",VLOOKUP(F567,[1]Info!$E$2:$F$3,2,0),VLOOKUP(K567,[1]Info!$A$1:$B$21,2,0))))))</f>
        <v>Carboval Canabrava</v>
      </c>
    </row>
    <row r="568" spans="1:24" x14ac:dyDescent="0.35">
      <c r="A568" t="s">
        <v>41</v>
      </c>
      <c r="B568" t="s">
        <v>1</v>
      </c>
      <c r="C568" t="s">
        <v>70</v>
      </c>
      <c r="D568" t="s">
        <v>94</v>
      </c>
      <c r="E568" t="s">
        <v>52</v>
      </c>
      <c r="F568">
        <v>7090170</v>
      </c>
      <c r="G568" t="s">
        <v>1</v>
      </c>
      <c r="H568" t="s">
        <v>43</v>
      </c>
      <c r="I568" t="s">
        <v>44</v>
      </c>
      <c r="J568" t="s">
        <v>72</v>
      </c>
      <c r="K568" t="s">
        <v>0</v>
      </c>
      <c r="L568" t="s">
        <v>51</v>
      </c>
      <c r="M568" t="s">
        <v>774</v>
      </c>
      <c r="N568" t="s">
        <v>775</v>
      </c>
      <c r="O568" t="s">
        <v>212</v>
      </c>
      <c r="P568" t="s">
        <v>383</v>
      </c>
      <c r="Q568" t="s">
        <v>220</v>
      </c>
      <c r="R568" t="s">
        <v>221</v>
      </c>
      <c r="S568" t="s">
        <v>46</v>
      </c>
      <c r="T568" t="s">
        <v>46</v>
      </c>
      <c r="U568" s="4">
        <v>1345.07</v>
      </c>
      <c r="V568" t="str">
        <f t="shared" si="8"/>
        <v>-100</v>
      </c>
      <c r="W568" t="str">
        <f>VLOOKUP(K568,[1]Info!A$1:B$21,2,0)</f>
        <v>Carboval</v>
      </c>
      <c r="X568" t="str">
        <f>IF(M568="109595132","Material de Limpeza-Não Avaliar",IF(AND(K568="F20",M568&lt;&gt;109595132),IF(RIGHT(F568,2)="70","Infraestrutura de Planta","Prédios e Instalações"),IF(K568="FPC",VLOOKUP(F568,[1]Info!$E$2:$F$11,2,0),IF(K568="FGP",VLOOKUP(F568,[1]Info!$E$9:$F$10,2,0),IF(K568="F10",VLOOKUP(F568,[1]Info!$E$2:$F$3,2,0),VLOOKUP(K568,[1]Info!$A$1:$B$21,2,0))))))</f>
        <v>Carboval Canabrava</v>
      </c>
    </row>
    <row r="569" spans="1:24" x14ac:dyDescent="0.35">
      <c r="A569" t="s">
        <v>41</v>
      </c>
      <c r="B569" t="s">
        <v>1</v>
      </c>
      <c r="C569" t="s">
        <v>70</v>
      </c>
      <c r="D569" t="s">
        <v>94</v>
      </c>
      <c r="E569" t="s">
        <v>52</v>
      </c>
      <c r="F569">
        <v>7090170</v>
      </c>
      <c r="G569" t="s">
        <v>1</v>
      </c>
      <c r="H569" t="s">
        <v>43</v>
      </c>
      <c r="I569" t="s">
        <v>44</v>
      </c>
      <c r="J569" t="s">
        <v>72</v>
      </c>
      <c r="K569" t="s">
        <v>0</v>
      </c>
      <c r="L569" t="s">
        <v>51</v>
      </c>
      <c r="M569" t="s">
        <v>776</v>
      </c>
      <c r="N569" t="s">
        <v>777</v>
      </c>
      <c r="O569" t="s">
        <v>778</v>
      </c>
      <c r="P569" t="s">
        <v>383</v>
      </c>
      <c r="Q569" t="s">
        <v>779</v>
      </c>
      <c r="R569" t="s">
        <v>780</v>
      </c>
      <c r="S569" t="s">
        <v>46</v>
      </c>
      <c r="T569" t="s">
        <v>46</v>
      </c>
      <c r="U569" s="4">
        <v>61.63</v>
      </c>
      <c r="V569" t="str">
        <f t="shared" si="8"/>
        <v>0105</v>
      </c>
      <c r="W569" t="str">
        <f>VLOOKUP(K569,[1]Info!A$1:B$21,2,0)</f>
        <v>Carboval</v>
      </c>
      <c r="X569" t="str">
        <f>IF(M569="109595132","Material de Limpeza-Não Avaliar",IF(AND(K569="F20",M569&lt;&gt;109595132),IF(RIGHT(F569,2)="70","Infraestrutura de Planta","Prédios e Instalações"),IF(K569="FPC",VLOOKUP(F569,[1]Info!$E$2:$F$11,2,0),IF(K569="FGP",VLOOKUP(F569,[1]Info!$E$9:$F$10,2,0),IF(K569="F10",VLOOKUP(F569,[1]Info!$E$2:$F$3,2,0),VLOOKUP(K569,[1]Info!$A$1:$B$21,2,0))))))</f>
        <v>Carboval Canabrava</v>
      </c>
    </row>
    <row r="570" spans="1:24" x14ac:dyDescent="0.35">
      <c r="A570" t="s">
        <v>41</v>
      </c>
      <c r="B570" t="s">
        <v>1</v>
      </c>
      <c r="C570" t="s">
        <v>70</v>
      </c>
      <c r="D570" t="s">
        <v>94</v>
      </c>
      <c r="E570" t="s">
        <v>52</v>
      </c>
      <c r="F570">
        <v>7090170</v>
      </c>
      <c r="G570" t="s">
        <v>1</v>
      </c>
      <c r="H570" t="s">
        <v>43</v>
      </c>
      <c r="I570" t="s">
        <v>44</v>
      </c>
      <c r="J570" t="s">
        <v>72</v>
      </c>
      <c r="K570" t="s">
        <v>0</v>
      </c>
      <c r="L570" t="s">
        <v>51</v>
      </c>
      <c r="M570" t="s">
        <v>781</v>
      </c>
      <c r="N570" t="s">
        <v>782</v>
      </c>
      <c r="O570" t="s">
        <v>783</v>
      </c>
      <c r="P570" t="s">
        <v>383</v>
      </c>
      <c r="Q570" t="s">
        <v>784</v>
      </c>
      <c r="R570" t="s">
        <v>785</v>
      </c>
      <c r="S570" t="s">
        <v>46</v>
      </c>
      <c r="T570" t="s">
        <v>46</v>
      </c>
      <c r="U570" s="4">
        <v>2435.58</v>
      </c>
      <c r="V570" t="str">
        <f t="shared" si="8"/>
        <v>1100</v>
      </c>
      <c r="W570" t="str">
        <f>VLOOKUP(K570,[1]Info!A$1:B$21,2,0)</f>
        <v>Carboval</v>
      </c>
      <c r="X570" t="str">
        <f>IF(M570="109595132","Material de Limpeza-Não Avaliar",IF(AND(K570="F20",M570&lt;&gt;109595132),IF(RIGHT(F570,2)="70","Infraestrutura de Planta","Prédios e Instalações"),IF(K570="FPC",VLOOKUP(F570,[1]Info!$E$2:$F$11,2,0),IF(K570="FGP",VLOOKUP(F570,[1]Info!$E$9:$F$10,2,0),IF(K570="F10",VLOOKUP(F570,[1]Info!$E$2:$F$3,2,0),VLOOKUP(K570,[1]Info!$A$1:$B$21,2,0))))))</f>
        <v>Carboval Canabrava</v>
      </c>
    </row>
    <row r="571" spans="1:24" x14ac:dyDescent="0.35">
      <c r="A571" t="s">
        <v>41</v>
      </c>
      <c r="B571" t="s">
        <v>1</v>
      </c>
      <c r="C571" t="s">
        <v>70</v>
      </c>
      <c r="D571" t="s">
        <v>94</v>
      </c>
      <c r="E571" t="s">
        <v>52</v>
      </c>
      <c r="F571">
        <v>7090170</v>
      </c>
      <c r="G571" t="s">
        <v>1</v>
      </c>
      <c r="H571" t="s">
        <v>43</v>
      </c>
      <c r="I571" t="s">
        <v>44</v>
      </c>
      <c r="J571" t="s">
        <v>72</v>
      </c>
      <c r="K571" t="s">
        <v>0</v>
      </c>
      <c r="L571" t="s">
        <v>51</v>
      </c>
      <c r="M571" t="s">
        <v>786</v>
      </c>
      <c r="N571" t="s">
        <v>787</v>
      </c>
      <c r="O571" t="s">
        <v>788</v>
      </c>
      <c r="P571" t="s">
        <v>383</v>
      </c>
      <c r="Q571" t="s">
        <v>789</v>
      </c>
      <c r="R571" t="s">
        <v>790</v>
      </c>
      <c r="S571" t="s">
        <v>46</v>
      </c>
      <c r="T571" t="s">
        <v>46</v>
      </c>
      <c r="U571" s="4">
        <v>74.989999999999995</v>
      </c>
      <c r="V571" t="str">
        <f t="shared" si="8"/>
        <v>-115</v>
      </c>
      <c r="W571" t="str">
        <f>VLOOKUP(K571,[1]Info!A$1:B$21,2,0)</f>
        <v>Carboval</v>
      </c>
      <c r="X571" t="str">
        <f>IF(M571="109595132","Material de Limpeza-Não Avaliar",IF(AND(K571="F20",M571&lt;&gt;109595132),IF(RIGHT(F571,2)="70","Infraestrutura de Planta","Prédios e Instalações"),IF(K571="FPC",VLOOKUP(F571,[1]Info!$E$2:$F$11,2,0),IF(K571="FGP",VLOOKUP(F571,[1]Info!$E$9:$F$10,2,0),IF(K571="F10",VLOOKUP(F571,[1]Info!$E$2:$F$3,2,0),VLOOKUP(K571,[1]Info!$A$1:$B$21,2,0))))))</f>
        <v>Carboval Canabrava</v>
      </c>
    </row>
    <row r="572" spans="1:24" x14ac:dyDescent="0.35">
      <c r="A572" t="s">
        <v>41</v>
      </c>
      <c r="B572" t="s">
        <v>1</v>
      </c>
      <c r="C572" t="s">
        <v>70</v>
      </c>
      <c r="D572" t="s">
        <v>94</v>
      </c>
      <c r="E572" t="s">
        <v>52</v>
      </c>
      <c r="F572">
        <v>7090170</v>
      </c>
      <c r="G572" t="s">
        <v>1</v>
      </c>
      <c r="H572" t="s">
        <v>43</v>
      </c>
      <c r="I572" t="s">
        <v>44</v>
      </c>
      <c r="J572" t="s">
        <v>72</v>
      </c>
      <c r="K572" t="s">
        <v>0</v>
      </c>
      <c r="L572" t="s">
        <v>51</v>
      </c>
      <c r="M572" t="s">
        <v>791</v>
      </c>
      <c r="N572" t="s">
        <v>223</v>
      </c>
      <c r="O572" t="s">
        <v>213</v>
      </c>
      <c r="P572" t="s">
        <v>383</v>
      </c>
      <c r="Q572" t="s">
        <v>792</v>
      </c>
      <c r="R572" t="s">
        <v>793</v>
      </c>
      <c r="S572" t="s">
        <v>46</v>
      </c>
      <c r="T572" t="s">
        <v>46</v>
      </c>
      <c r="U572" s="4">
        <v>237.25</v>
      </c>
      <c r="V572" t="str">
        <f t="shared" si="8"/>
        <v>0400</v>
      </c>
      <c r="W572" t="str">
        <f>VLOOKUP(K572,[1]Info!A$1:B$21,2,0)</f>
        <v>Carboval</v>
      </c>
      <c r="X572" t="str">
        <f>IF(M572="109595132","Material de Limpeza-Não Avaliar",IF(AND(K572="F20",M572&lt;&gt;109595132),IF(RIGHT(F572,2)="70","Infraestrutura de Planta","Prédios e Instalações"),IF(K572="FPC",VLOOKUP(F572,[1]Info!$E$2:$F$11,2,0),IF(K572="FGP",VLOOKUP(F572,[1]Info!$E$9:$F$10,2,0),IF(K572="F10",VLOOKUP(F572,[1]Info!$E$2:$F$3,2,0),VLOOKUP(K572,[1]Info!$A$1:$B$21,2,0))))))</f>
        <v>Carboval Canabrava</v>
      </c>
    </row>
    <row r="573" spans="1:24" x14ac:dyDescent="0.35">
      <c r="A573" t="s">
        <v>41</v>
      </c>
      <c r="B573" t="s">
        <v>1</v>
      </c>
      <c r="C573" t="s">
        <v>70</v>
      </c>
      <c r="D573" t="s">
        <v>94</v>
      </c>
      <c r="E573" t="s">
        <v>52</v>
      </c>
      <c r="F573">
        <v>7090170</v>
      </c>
      <c r="G573" t="s">
        <v>1</v>
      </c>
      <c r="H573" t="s">
        <v>43</v>
      </c>
      <c r="I573" t="s">
        <v>44</v>
      </c>
      <c r="J573" t="s">
        <v>72</v>
      </c>
      <c r="K573" t="s">
        <v>0</v>
      </c>
      <c r="L573" t="s">
        <v>51</v>
      </c>
      <c r="M573" t="s">
        <v>1613</v>
      </c>
      <c r="N573" t="s">
        <v>139</v>
      </c>
      <c r="O573" t="s">
        <v>105</v>
      </c>
      <c r="P573" t="s">
        <v>1292</v>
      </c>
      <c r="Q573" t="s">
        <v>46</v>
      </c>
      <c r="R573" t="s">
        <v>47</v>
      </c>
      <c r="S573" t="s">
        <v>46</v>
      </c>
      <c r="T573" t="s">
        <v>46</v>
      </c>
      <c r="U573" s="4">
        <v>168</v>
      </c>
      <c r="V573" t="str">
        <f t="shared" si="8"/>
        <v>0100</v>
      </c>
      <c r="W573" t="str">
        <f>VLOOKUP(K573,[1]Info!A$1:B$21,2,0)</f>
        <v>Carboval</v>
      </c>
      <c r="X573" t="str">
        <f>IF(M573="109595132","Material de Limpeza-Não Avaliar",IF(AND(K573="F20",M573&lt;&gt;109595132),IF(RIGHT(F573,2)="70","Infraestrutura de Planta","Prédios e Instalações"),IF(K573="FPC",VLOOKUP(F573,[1]Info!$E$2:$F$11,2,0),IF(K573="FGP",VLOOKUP(F573,[1]Info!$E$9:$F$10,2,0),IF(K573="F10",VLOOKUP(F573,[1]Info!$E$2:$F$3,2,0),VLOOKUP(K573,[1]Info!$A$1:$B$21,2,0))))))</f>
        <v>Carboval Canabrava</v>
      </c>
    </row>
    <row r="574" spans="1:24" x14ac:dyDescent="0.35">
      <c r="A574" t="s">
        <v>41</v>
      </c>
      <c r="B574" t="s">
        <v>1</v>
      </c>
      <c r="C574" t="s">
        <v>70</v>
      </c>
      <c r="D574" t="s">
        <v>94</v>
      </c>
      <c r="E574" t="s">
        <v>52</v>
      </c>
      <c r="F574">
        <v>7090170</v>
      </c>
      <c r="G574" t="s">
        <v>1</v>
      </c>
      <c r="H574" t="s">
        <v>43</v>
      </c>
      <c r="I574" t="s">
        <v>44</v>
      </c>
      <c r="J574" t="s">
        <v>72</v>
      </c>
      <c r="K574" t="s">
        <v>0</v>
      </c>
      <c r="L574" t="s">
        <v>51</v>
      </c>
      <c r="M574" t="s">
        <v>794</v>
      </c>
      <c r="N574" t="s">
        <v>714</v>
      </c>
      <c r="O574" t="s">
        <v>715</v>
      </c>
      <c r="P574" t="s">
        <v>383</v>
      </c>
      <c r="Q574" t="s">
        <v>795</v>
      </c>
      <c r="R574" t="s">
        <v>796</v>
      </c>
      <c r="S574" t="s">
        <v>46</v>
      </c>
      <c r="T574" t="s">
        <v>46</v>
      </c>
      <c r="U574" s="4">
        <v>12.23</v>
      </c>
      <c r="V574" t="str">
        <f t="shared" si="8"/>
        <v>0800</v>
      </c>
      <c r="W574" t="str">
        <f>VLOOKUP(K574,[1]Info!A$1:B$21,2,0)</f>
        <v>Carboval</v>
      </c>
      <c r="X574" t="str">
        <f>IF(M574="109595132","Material de Limpeza-Não Avaliar",IF(AND(K574="F20",M574&lt;&gt;109595132),IF(RIGHT(F574,2)="70","Infraestrutura de Planta","Prédios e Instalações"),IF(K574="FPC",VLOOKUP(F574,[1]Info!$E$2:$F$11,2,0),IF(K574="FGP",VLOOKUP(F574,[1]Info!$E$9:$F$10,2,0),IF(K574="F10",VLOOKUP(F574,[1]Info!$E$2:$F$3,2,0),VLOOKUP(K574,[1]Info!$A$1:$B$21,2,0))))))</f>
        <v>Carboval Canabrava</v>
      </c>
    </row>
    <row r="575" spans="1:24" x14ac:dyDescent="0.35">
      <c r="A575" t="s">
        <v>41</v>
      </c>
      <c r="B575" t="s">
        <v>1</v>
      </c>
      <c r="C575" t="s">
        <v>70</v>
      </c>
      <c r="D575" t="s">
        <v>94</v>
      </c>
      <c r="E575" t="s">
        <v>52</v>
      </c>
      <c r="F575">
        <v>7090170</v>
      </c>
      <c r="G575" t="s">
        <v>1</v>
      </c>
      <c r="H575" t="s">
        <v>43</v>
      </c>
      <c r="I575" t="s">
        <v>44</v>
      </c>
      <c r="J575" t="s">
        <v>72</v>
      </c>
      <c r="K575" t="s">
        <v>0</v>
      </c>
      <c r="L575" t="s">
        <v>51</v>
      </c>
      <c r="M575" t="s">
        <v>738</v>
      </c>
      <c r="N575" t="s">
        <v>739</v>
      </c>
      <c r="O575" t="s">
        <v>740</v>
      </c>
      <c r="P575" t="s">
        <v>383</v>
      </c>
      <c r="Q575" t="s">
        <v>220</v>
      </c>
      <c r="R575" t="s">
        <v>221</v>
      </c>
      <c r="S575" t="s">
        <v>46</v>
      </c>
      <c r="T575" t="s">
        <v>46</v>
      </c>
      <c r="U575" s="4">
        <v>99.63</v>
      </c>
      <c r="V575" t="str">
        <f t="shared" si="8"/>
        <v>-100</v>
      </c>
      <c r="W575" t="str">
        <f>VLOOKUP(K575,[1]Info!A$1:B$21,2,0)</f>
        <v>Carboval</v>
      </c>
      <c r="X575" t="str">
        <f>IF(M575="109595132","Material de Limpeza-Não Avaliar",IF(AND(K575="F20",M575&lt;&gt;109595132),IF(RIGHT(F575,2)="70","Infraestrutura de Planta","Prédios e Instalações"),IF(K575="FPC",VLOOKUP(F575,[1]Info!$E$2:$F$11,2,0),IF(K575="FGP",VLOOKUP(F575,[1]Info!$E$9:$F$10,2,0),IF(K575="F10",VLOOKUP(F575,[1]Info!$E$2:$F$3,2,0),VLOOKUP(K575,[1]Info!$A$1:$B$21,2,0))))))</f>
        <v>Carboval Canabrava</v>
      </c>
    </row>
    <row r="576" spans="1:24" x14ac:dyDescent="0.35">
      <c r="A576" t="s">
        <v>41</v>
      </c>
      <c r="B576" t="s">
        <v>1</v>
      </c>
      <c r="C576" t="s">
        <v>70</v>
      </c>
      <c r="D576" t="s">
        <v>94</v>
      </c>
      <c r="E576" t="s">
        <v>52</v>
      </c>
      <c r="F576">
        <v>7090170</v>
      </c>
      <c r="G576" t="s">
        <v>1</v>
      </c>
      <c r="H576" t="s">
        <v>43</v>
      </c>
      <c r="I576" t="s">
        <v>44</v>
      </c>
      <c r="J576" t="s">
        <v>72</v>
      </c>
      <c r="K576" t="s">
        <v>0</v>
      </c>
      <c r="L576" t="s">
        <v>51</v>
      </c>
      <c r="M576" t="s">
        <v>738</v>
      </c>
      <c r="N576" t="s">
        <v>739</v>
      </c>
      <c r="O576" t="s">
        <v>740</v>
      </c>
      <c r="P576" t="s">
        <v>383</v>
      </c>
      <c r="Q576" t="s">
        <v>797</v>
      </c>
      <c r="R576" t="s">
        <v>798</v>
      </c>
      <c r="S576" t="s">
        <v>46</v>
      </c>
      <c r="T576" t="s">
        <v>46</v>
      </c>
      <c r="U576" s="4">
        <v>33.72</v>
      </c>
      <c r="V576" t="str">
        <f t="shared" si="8"/>
        <v>-100</v>
      </c>
      <c r="W576" t="str">
        <f>VLOOKUP(K576,[1]Info!A$1:B$21,2,0)</f>
        <v>Carboval</v>
      </c>
      <c r="X576" t="str">
        <f>IF(M576="109595132","Material de Limpeza-Não Avaliar",IF(AND(K576="F20",M576&lt;&gt;109595132),IF(RIGHT(F576,2)="70","Infraestrutura de Planta","Prédios e Instalações"),IF(K576="FPC",VLOOKUP(F576,[1]Info!$E$2:$F$11,2,0),IF(K576="FGP",VLOOKUP(F576,[1]Info!$E$9:$F$10,2,0),IF(K576="F10",VLOOKUP(F576,[1]Info!$E$2:$F$3,2,0),VLOOKUP(K576,[1]Info!$A$1:$B$21,2,0))))))</f>
        <v>Carboval Canabrava</v>
      </c>
    </row>
    <row r="577" spans="1:24" x14ac:dyDescent="0.35">
      <c r="A577" t="s">
        <v>41</v>
      </c>
      <c r="B577" t="s">
        <v>1</v>
      </c>
      <c r="C577" t="s">
        <v>70</v>
      </c>
      <c r="D577" t="s">
        <v>94</v>
      </c>
      <c r="E577" t="s">
        <v>52</v>
      </c>
      <c r="F577">
        <v>7090170</v>
      </c>
      <c r="G577" t="s">
        <v>1</v>
      </c>
      <c r="H577" t="s">
        <v>43</v>
      </c>
      <c r="I577" t="s">
        <v>44</v>
      </c>
      <c r="J577" t="s">
        <v>72</v>
      </c>
      <c r="K577" t="s">
        <v>0</v>
      </c>
      <c r="L577" t="s">
        <v>51</v>
      </c>
      <c r="M577" t="s">
        <v>738</v>
      </c>
      <c r="N577" t="s">
        <v>739</v>
      </c>
      <c r="O577" t="s">
        <v>740</v>
      </c>
      <c r="P577" t="s">
        <v>383</v>
      </c>
      <c r="Q577" t="s">
        <v>799</v>
      </c>
      <c r="R577" t="s">
        <v>800</v>
      </c>
      <c r="S577" t="s">
        <v>46</v>
      </c>
      <c r="T577" t="s">
        <v>46</v>
      </c>
      <c r="U577" s="4">
        <v>25.28</v>
      </c>
      <c r="V577" t="str">
        <f t="shared" si="8"/>
        <v>-100</v>
      </c>
      <c r="W577" t="str">
        <f>VLOOKUP(K577,[1]Info!A$1:B$21,2,0)</f>
        <v>Carboval</v>
      </c>
      <c r="X577" t="str">
        <f>IF(M577="109595132","Material de Limpeza-Não Avaliar",IF(AND(K577="F20",M577&lt;&gt;109595132),IF(RIGHT(F577,2)="70","Infraestrutura de Planta","Prédios e Instalações"),IF(K577="FPC",VLOOKUP(F577,[1]Info!$E$2:$F$11,2,0),IF(K577="FGP",VLOOKUP(F577,[1]Info!$E$9:$F$10,2,0),IF(K577="F10",VLOOKUP(F577,[1]Info!$E$2:$F$3,2,0),VLOOKUP(K577,[1]Info!$A$1:$B$21,2,0))))))</f>
        <v>Carboval Canabrava</v>
      </c>
    </row>
    <row r="578" spans="1:24" x14ac:dyDescent="0.35">
      <c r="A578" t="s">
        <v>41</v>
      </c>
      <c r="B578" t="s">
        <v>1</v>
      </c>
      <c r="C578" t="s">
        <v>70</v>
      </c>
      <c r="D578" t="s">
        <v>94</v>
      </c>
      <c r="E578" t="s">
        <v>52</v>
      </c>
      <c r="F578">
        <v>7090170</v>
      </c>
      <c r="G578" t="s">
        <v>1</v>
      </c>
      <c r="H578" t="s">
        <v>43</v>
      </c>
      <c r="I578" t="s">
        <v>44</v>
      </c>
      <c r="J578" t="s">
        <v>72</v>
      </c>
      <c r="K578" t="s">
        <v>0</v>
      </c>
      <c r="L578" t="s">
        <v>51</v>
      </c>
      <c r="M578" t="s">
        <v>738</v>
      </c>
      <c r="N578" t="s">
        <v>739</v>
      </c>
      <c r="O578" t="s">
        <v>740</v>
      </c>
      <c r="P578" t="s">
        <v>383</v>
      </c>
      <c r="Q578" t="s">
        <v>801</v>
      </c>
      <c r="R578" t="s">
        <v>802</v>
      </c>
      <c r="S578" t="s">
        <v>46</v>
      </c>
      <c r="T578" t="s">
        <v>46</v>
      </c>
      <c r="U578" s="4">
        <v>33.58</v>
      </c>
      <c r="V578" t="str">
        <f t="shared" si="8"/>
        <v>-100</v>
      </c>
      <c r="W578" t="str">
        <f>VLOOKUP(K578,[1]Info!A$1:B$21,2,0)</f>
        <v>Carboval</v>
      </c>
      <c r="X578" t="str">
        <f>IF(M578="109595132","Material de Limpeza-Não Avaliar",IF(AND(K578="F20",M578&lt;&gt;109595132),IF(RIGHT(F578,2)="70","Infraestrutura de Planta","Prédios e Instalações"),IF(K578="FPC",VLOOKUP(F578,[1]Info!$E$2:$F$11,2,0),IF(K578="FGP",VLOOKUP(F578,[1]Info!$E$9:$F$10,2,0),IF(K578="F10",VLOOKUP(F578,[1]Info!$E$2:$F$3,2,0),VLOOKUP(K578,[1]Info!$A$1:$B$21,2,0))))))</f>
        <v>Carboval Canabrava</v>
      </c>
    </row>
    <row r="579" spans="1:24" x14ac:dyDescent="0.35">
      <c r="A579" t="s">
        <v>41</v>
      </c>
      <c r="B579" t="s">
        <v>1</v>
      </c>
      <c r="C579" t="s">
        <v>70</v>
      </c>
      <c r="D579" t="s">
        <v>94</v>
      </c>
      <c r="E579" t="s">
        <v>52</v>
      </c>
      <c r="F579">
        <v>7090170</v>
      </c>
      <c r="G579" t="s">
        <v>1</v>
      </c>
      <c r="H579" t="s">
        <v>43</v>
      </c>
      <c r="I579" t="s">
        <v>44</v>
      </c>
      <c r="J579" t="s">
        <v>72</v>
      </c>
      <c r="K579" t="s">
        <v>0</v>
      </c>
      <c r="L579" t="s">
        <v>51</v>
      </c>
      <c r="M579" t="s">
        <v>738</v>
      </c>
      <c r="N579" t="s">
        <v>739</v>
      </c>
      <c r="O579" t="s">
        <v>740</v>
      </c>
      <c r="P579" t="s">
        <v>383</v>
      </c>
      <c r="Q579" t="s">
        <v>803</v>
      </c>
      <c r="R579" t="s">
        <v>804</v>
      </c>
      <c r="S579" t="s">
        <v>46</v>
      </c>
      <c r="T579" t="s">
        <v>46</v>
      </c>
      <c r="U579" s="4">
        <v>10.1</v>
      </c>
      <c r="V579" t="str">
        <f t="shared" si="8"/>
        <v>-100</v>
      </c>
      <c r="W579" t="str">
        <f>VLOOKUP(K579,[1]Info!A$1:B$21,2,0)</f>
        <v>Carboval</v>
      </c>
      <c r="X579" t="str">
        <f>IF(M579="109595132","Material de Limpeza-Não Avaliar",IF(AND(K579="F20",M579&lt;&gt;109595132),IF(RIGHT(F579,2)="70","Infraestrutura de Planta","Prédios e Instalações"),IF(K579="FPC",VLOOKUP(F579,[1]Info!$E$2:$F$11,2,0),IF(K579="FGP",VLOOKUP(F579,[1]Info!$E$9:$F$10,2,0),IF(K579="F10",VLOOKUP(F579,[1]Info!$E$2:$F$3,2,0),VLOOKUP(K579,[1]Info!$A$1:$B$21,2,0))))))</f>
        <v>Carboval Canabrava</v>
      </c>
    </row>
    <row r="580" spans="1:24" x14ac:dyDescent="0.35">
      <c r="A580" t="s">
        <v>41</v>
      </c>
      <c r="B580" t="s">
        <v>1</v>
      </c>
      <c r="C580" t="s">
        <v>70</v>
      </c>
      <c r="D580" t="s">
        <v>94</v>
      </c>
      <c r="E580" t="s">
        <v>52</v>
      </c>
      <c r="F580">
        <v>7090170</v>
      </c>
      <c r="G580" t="s">
        <v>1</v>
      </c>
      <c r="H580" t="s">
        <v>43</v>
      </c>
      <c r="I580" t="s">
        <v>44</v>
      </c>
      <c r="J580" t="s">
        <v>72</v>
      </c>
      <c r="K580" t="s">
        <v>0</v>
      </c>
      <c r="L580" t="s">
        <v>51</v>
      </c>
      <c r="M580" t="s">
        <v>805</v>
      </c>
      <c r="N580" t="s">
        <v>806</v>
      </c>
      <c r="O580" t="s">
        <v>807</v>
      </c>
      <c r="P580" t="s">
        <v>383</v>
      </c>
      <c r="Q580" t="s">
        <v>808</v>
      </c>
      <c r="R580" t="s">
        <v>809</v>
      </c>
      <c r="S580" t="s">
        <v>46</v>
      </c>
      <c r="T580" t="s">
        <v>46</v>
      </c>
      <c r="U580" s="4">
        <v>74.03</v>
      </c>
      <c r="V580" t="str">
        <f t="shared" ref="V580:V643" si="9">RIGHT(O580,4)</f>
        <v>1300</v>
      </c>
      <c r="W580" t="str">
        <f>VLOOKUP(K580,[1]Info!A$1:B$21,2,0)</f>
        <v>Carboval</v>
      </c>
      <c r="X580" t="str">
        <f>IF(M580="109595132","Material de Limpeza-Não Avaliar",IF(AND(K580="F20",M580&lt;&gt;109595132),IF(RIGHT(F580,2)="70","Infraestrutura de Planta","Prédios e Instalações"),IF(K580="FPC",VLOOKUP(F580,[1]Info!$E$2:$F$11,2,0),IF(K580="FGP",VLOOKUP(F580,[1]Info!$E$9:$F$10,2,0),IF(K580="F10",VLOOKUP(F580,[1]Info!$E$2:$F$3,2,0),VLOOKUP(K580,[1]Info!$A$1:$B$21,2,0))))))</f>
        <v>Carboval Canabrava</v>
      </c>
    </row>
    <row r="581" spans="1:24" x14ac:dyDescent="0.35">
      <c r="A581" t="s">
        <v>41</v>
      </c>
      <c r="B581" t="s">
        <v>1</v>
      </c>
      <c r="C581" t="s">
        <v>70</v>
      </c>
      <c r="D581" t="s">
        <v>94</v>
      </c>
      <c r="E581" t="s">
        <v>52</v>
      </c>
      <c r="F581">
        <v>7090170</v>
      </c>
      <c r="G581" t="s">
        <v>1</v>
      </c>
      <c r="H581" t="s">
        <v>43</v>
      </c>
      <c r="I581" t="s">
        <v>44</v>
      </c>
      <c r="J581" t="s">
        <v>72</v>
      </c>
      <c r="K581" t="s">
        <v>0</v>
      </c>
      <c r="L581" t="s">
        <v>51</v>
      </c>
      <c r="M581" t="s">
        <v>805</v>
      </c>
      <c r="N581" t="s">
        <v>806</v>
      </c>
      <c r="O581" t="s">
        <v>807</v>
      </c>
      <c r="P581" t="s">
        <v>383</v>
      </c>
      <c r="Q581" t="s">
        <v>810</v>
      </c>
      <c r="R581" t="s">
        <v>811</v>
      </c>
      <c r="S581" t="s">
        <v>46</v>
      </c>
      <c r="T581" t="s">
        <v>46</v>
      </c>
      <c r="U581" s="4">
        <v>1188.99</v>
      </c>
      <c r="V581" t="str">
        <f t="shared" si="9"/>
        <v>1300</v>
      </c>
      <c r="W581" t="str">
        <f>VLOOKUP(K581,[1]Info!A$1:B$21,2,0)</f>
        <v>Carboval</v>
      </c>
      <c r="X581" t="str">
        <f>IF(M581="109595132","Material de Limpeza-Não Avaliar",IF(AND(K581="F20",M581&lt;&gt;109595132),IF(RIGHT(F581,2)="70","Infraestrutura de Planta","Prédios e Instalações"),IF(K581="FPC",VLOOKUP(F581,[1]Info!$E$2:$F$11,2,0),IF(K581="FGP",VLOOKUP(F581,[1]Info!$E$9:$F$10,2,0),IF(K581="F10",VLOOKUP(F581,[1]Info!$E$2:$F$3,2,0),VLOOKUP(K581,[1]Info!$A$1:$B$21,2,0))))))</f>
        <v>Carboval Canabrava</v>
      </c>
    </row>
    <row r="582" spans="1:24" x14ac:dyDescent="0.35">
      <c r="A582" t="s">
        <v>41</v>
      </c>
      <c r="B582" t="s">
        <v>1</v>
      </c>
      <c r="C582" t="s">
        <v>70</v>
      </c>
      <c r="D582" t="s">
        <v>94</v>
      </c>
      <c r="E582" t="s">
        <v>52</v>
      </c>
      <c r="F582">
        <v>7090170</v>
      </c>
      <c r="G582" t="s">
        <v>1</v>
      </c>
      <c r="H582" t="s">
        <v>43</v>
      </c>
      <c r="I582" t="s">
        <v>44</v>
      </c>
      <c r="J582" t="s">
        <v>72</v>
      </c>
      <c r="K582" t="s">
        <v>0</v>
      </c>
      <c r="L582" t="s">
        <v>51</v>
      </c>
      <c r="M582" t="s">
        <v>812</v>
      </c>
      <c r="N582" t="s">
        <v>813</v>
      </c>
      <c r="O582" t="s">
        <v>213</v>
      </c>
      <c r="P582" t="s">
        <v>383</v>
      </c>
      <c r="Q582" t="s">
        <v>814</v>
      </c>
      <c r="R582" t="s">
        <v>815</v>
      </c>
      <c r="S582" t="s">
        <v>46</v>
      </c>
      <c r="T582" t="s">
        <v>46</v>
      </c>
      <c r="U582" s="4">
        <v>769.88</v>
      </c>
      <c r="V582" t="str">
        <f t="shared" si="9"/>
        <v>0400</v>
      </c>
      <c r="W582" t="str">
        <f>VLOOKUP(K582,[1]Info!A$1:B$21,2,0)</f>
        <v>Carboval</v>
      </c>
      <c r="X582" t="str">
        <f>IF(M582="109595132","Material de Limpeza-Não Avaliar",IF(AND(K582="F20",M582&lt;&gt;109595132),IF(RIGHT(F582,2)="70","Infraestrutura de Planta","Prédios e Instalações"),IF(K582="FPC",VLOOKUP(F582,[1]Info!$E$2:$F$11,2,0),IF(K582="FGP",VLOOKUP(F582,[1]Info!$E$9:$F$10,2,0),IF(K582="F10",VLOOKUP(F582,[1]Info!$E$2:$F$3,2,0),VLOOKUP(K582,[1]Info!$A$1:$B$21,2,0))))))</f>
        <v>Carboval Canabrava</v>
      </c>
    </row>
    <row r="583" spans="1:24" x14ac:dyDescent="0.35">
      <c r="A583" t="s">
        <v>41</v>
      </c>
      <c r="B583" t="s">
        <v>1</v>
      </c>
      <c r="C583" t="s">
        <v>70</v>
      </c>
      <c r="D583" t="s">
        <v>94</v>
      </c>
      <c r="E583" t="s">
        <v>52</v>
      </c>
      <c r="F583">
        <v>7090170</v>
      </c>
      <c r="G583" t="s">
        <v>1</v>
      </c>
      <c r="H583" t="s">
        <v>43</v>
      </c>
      <c r="I583" t="s">
        <v>44</v>
      </c>
      <c r="J583" t="s">
        <v>72</v>
      </c>
      <c r="K583" t="s">
        <v>0</v>
      </c>
      <c r="L583" t="s">
        <v>51</v>
      </c>
      <c r="M583" t="s">
        <v>816</v>
      </c>
      <c r="N583" t="s">
        <v>817</v>
      </c>
      <c r="O583" t="s">
        <v>818</v>
      </c>
      <c r="P583" t="s">
        <v>383</v>
      </c>
      <c r="Q583" t="s">
        <v>819</v>
      </c>
      <c r="R583" t="s">
        <v>820</v>
      </c>
      <c r="S583" t="s">
        <v>46</v>
      </c>
      <c r="T583" t="s">
        <v>46</v>
      </c>
      <c r="U583" s="4">
        <v>59.09</v>
      </c>
      <c r="V583" t="str">
        <f t="shared" si="9"/>
        <v>-120</v>
      </c>
      <c r="W583" t="str">
        <f>VLOOKUP(K583,[1]Info!A$1:B$21,2,0)</f>
        <v>Carboval</v>
      </c>
      <c r="X583" t="str">
        <f>IF(M583="109595132","Material de Limpeza-Não Avaliar",IF(AND(K583="F20",M583&lt;&gt;109595132),IF(RIGHT(F583,2)="70","Infraestrutura de Planta","Prédios e Instalações"),IF(K583="FPC",VLOOKUP(F583,[1]Info!$E$2:$F$11,2,0),IF(K583="FGP",VLOOKUP(F583,[1]Info!$E$9:$F$10,2,0),IF(K583="F10",VLOOKUP(F583,[1]Info!$E$2:$F$3,2,0),VLOOKUP(K583,[1]Info!$A$1:$B$21,2,0))))))</f>
        <v>Carboval Canabrava</v>
      </c>
    </row>
    <row r="584" spans="1:24" x14ac:dyDescent="0.35">
      <c r="A584" t="s">
        <v>41</v>
      </c>
      <c r="B584" t="s">
        <v>1</v>
      </c>
      <c r="C584" t="s">
        <v>70</v>
      </c>
      <c r="D584" t="s">
        <v>94</v>
      </c>
      <c r="E584" t="s">
        <v>52</v>
      </c>
      <c r="F584">
        <v>7090170</v>
      </c>
      <c r="G584" t="s">
        <v>1</v>
      </c>
      <c r="H584" t="s">
        <v>43</v>
      </c>
      <c r="I584" t="s">
        <v>44</v>
      </c>
      <c r="J584" t="s">
        <v>72</v>
      </c>
      <c r="K584" t="s">
        <v>0</v>
      </c>
      <c r="L584" t="s">
        <v>51</v>
      </c>
      <c r="M584" t="s">
        <v>821</v>
      </c>
      <c r="N584" t="s">
        <v>822</v>
      </c>
      <c r="O584" t="s">
        <v>212</v>
      </c>
      <c r="P584" t="s">
        <v>383</v>
      </c>
      <c r="Q584" t="s">
        <v>808</v>
      </c>
      <c r="R584" t="s">
        <v>809</v>
      </c>
      <c r="S584" t="s">
        <v>46</v>
      </c>
      <c r="T584" t="s">
        <v>46</v>
      </c>
      <c r="U584" s="4">
        <v>117.9</v>
      </c>
      <c r="V584" t="str">
        <f t="shared" si="9"/>
        <v>-100</v>
      </c>
      <c r="W584" t="str">
        <f>VLOOKUP(K584,[1]Info!A$1:B$21,2,0)</f>
        <v>Carboval</v>
      </c>
      <c r="X584" t="str">
        <f>IF(M584="109595132","Material de Limpeza-Não Avaliar",IF(AND(K584="F20",M584&lt;&gt;109595132),IF(RIGHT(F584,2)="70","Infraestrutura de Planta","Prédios e Instalações"),IF(K584="FPC",VLOOKUP(F584,[1]Info!$E$2:$F$11,2,0),IF(K584="FGP",VLOOKUP(F584,[1]Info!$E$9:$F$10,2,0),IF(K584="F10",VLOOKUP(F584,[1]Info!$E$2:$F$3,2,0),VLOOKUP(K584,[1]Info!$A$1:$B$21,2,0))))))</f>
        <v>Carboval Canabrava</v>
      </c>
    </row>
    <row r="585" spans="1:24" x14ac:dyDescent="0.35">
      <c r="A585" t="s">
        <v>41</v>
      </c>
      <c r="B585" t="s">
        <v>1</v>
      </c>
      <c r="C585" t="s">
        <v>70</v>
      </c>
      <c r="D585" t="s">
        <v>94</v>
      </c>
      <c r="E585" t="s">
        <v>52</v>
      </c>
      <c r="F585">
        <v>7090170</v>
      </c>
      <c r="G585" t="s">
        <v>1</v>
      </c>
      <c r="H585" t="s">
        <v>43</v>
      </c>
      <c r="I585" t="s">
        <v>44</v>
      </c>
      <c r="J585" t="s">
        <v>72</v>
      </c>
      <c r="K585" t="s">
        <v>0</v>
      </c>
      <c r="L585" t="s">
        <v>51</v>
      </c>
      <c r="M585" t="s">
        <v>821</v>
      </c>
      <c r="N585" t="s">
        <v>822</v>
      </c>
      <c r="O585" t="s">
        <v>212</v>
      </c>
      <c r="P585" t="s">
        <v>383</v>
      </c>
      <c r="Q585" t="s">
        <v>823</v>
      </c>
      <c r="R585" t="s">
        <v>824</v>
      </c>
      <c r="S585" t="s">
        <v>46</v>
      </c>
      <c r="T585" t="s">
        <v>46</v>
      </c>
      <c r="U585" s="4">
        <v>771.18</v>
      </c>
      <c r="V585" t="str">
        <f t="shared" si="9"/>
        <v>-100</v>
      </c>
      <c r="W585" t="str">
        <f>VLOOKUP(K585,[1]Info!A$1:B$21,2,0)</f>
        <v>Carboval</v>
      </c>
      <c r="X585" t="str">
        <f>IF(M585="109595132","Material de Limpeza-Não Avaliar",IF(AND(K585="F20",M585&lt;&gt;109595132),IF(RIGHT(F585,2)="70","Infraestrutura de Planta","Prédios e Instalações"),IF(K585="FPC",VLOOKUP(F585,[1]Info!$E$2:$F$11,2,0),IF(K585="FGP",VLOOKUP(F585,[1]Info!$E$9:$F$10,2,0),IF(K585="F10",VLOOKUP(F585,[1]Info!$E$2:$F$3,2,0),VLOOKUP(K585,[1]Info!$A$1:$B$21,2,0))))))</f>
        <v>Carboval Canabrava</v>
      </c>
    </row>
    <row r="586" spans="1:24" x14ac:dyDescent="0.35">
      <c r="A586" t="s">
        <v>41</v>
      </c>
      <c r="B586" t="s">
        <v>1</v>
      </c>
      <c r="C586" t="s">
        <v>70</v>
      </c>
      <c r="D586" t="s">
        <v>94</v>
      </c>
      <c r="E586" t="s">
        <v>52</v>
      </c>
      <c r="F586">
        <v>7090170</v>
      </c>
      <c r="G586" t="s">
        <v>1</v>
      </c>
      <c r="H586" t="s">
        <v>43</v>
      </c>
      <c r="I586" t="s">
        <v>44</v>
      </c>
      <c r="J586" t="s">
        <v>72</v>
      </c>
      <c r="K586" t="s">
        <v>0</v>
      </c>
      <c r="L586" t="s">
        <v>51</v>
      </c>
      <c r="M586" t="s">
        <v>825</v>
      </c>
      <c r="N586" t="s">
        <v>826</v>
      </c>
      <c r="O586" t="s">
        <v>715</v>
      </c>
      <c r="P586" t="s">
        <v>383</v>
      </c>
      <c r="Q586" t="s">
        <v>827</v>
      </c>
      <c r="R586" t="s">
        <v>828</v>
      </c>
      <c r="S586" t="s">
        <v>46</v>
      </c>
      <c r="T586" t="s">
        <v>46</v>
      </c>
      <c r="U586" s="4">
        <v>679.79</v>
      </c>
      <c r="V586" t="str">
        <f t="shared" si="9"/>
        <v>0800</v>
      </c>
      <c r="W586" t="str">
        <f>VLOOKUP(K586,[1]Info!A$1:B$21,2,0)</f>
        <v>Carboval</v>
      </c>
      <c r="X586" t="str">
        <f>IF(M586="109595132","Material de Limpeza-Não Avaliar",IF(AND(K586="F20",M586&lt;&gt;109595132),IF(RIGHT(F586,2)="70","Infraestrutura de Planta","Prédios e Instalações"),IF(K586="FPC",VLOOKUP(F586,[1]Info!$E$2:$F$11,2,0),IF(K586="FGP",VLOOKUP(F586,[1]Info!$E$9:$F$10,2,0),IF(K586="F10",VLOOKUP(F586,[1]Info!$E$2:$F$3,2,0),VLOOKUP(K586,[1]Info!$A$1:$B$21,2,0))))))</f>
        <v>Carboval Canabrava</v>
      </c>
    </row>
    <row r="587" spans="1:24" x14ac:dyDescent="0.35">
      <c r="A587" t="s">
        <v>41</v>
      </c>
      <c r="B587" t="s">
        <v>1</v>
      </c>
      <c r="C587" t="s">
        <v>70</v>
      </c>
      <c r="D587" t="s">
        <v>94</v>
      </c>
      <c r="E587" t="s">
        <v>52</v>
      </c>
      <c r="F587">
        <v>7090170</v>
      </c>
      <c r="G587" t="s">
        <v>1</v>
      </c>
      <c r="H587" t="s">
        <v>43</v>
      </c>
      <c r="I587" t="s">
        <v>44</v>
      </c>
      <c r="J587" t="s">
        <v>72</v>
      </c>
      <c r="K587" t="s">
        <v>0</v>
      </c>
      <c r="L587" t="s">
        <v>51</v>
      </c>
      <c r="M587" t="s">
        <v>829</v>
      </c>
      <c r="N587" t="s">
        <v>830</v>
      </c>
      <c r="O587" t="s">
        <v>211</v>
      </c>
      <c r="P587" t="s">
        <v>383</v>
      </c>
      <c r="Q587" t="s">
        <v>819</v>
      </c>
      <c r="R587" t="s">
        <v>820</v>
      </c>
      <c r="S587" t="s">
        <v>46</v>
      </c>
      <c r="T587" t="s">
        <v>46</v>
      </c>
      <c r="U587" s="4">
        <v>59.09</v>
      </c>
      <c r="V587" t="str">
        <f t="shared" si="9"/>
        <v>0300</v>
      </c>
      <c r="W587" t="str">
        <f>VLOOKUP(K587,[1]Info!A$1:B$21,2,0)</f>
        <v>Carboval</v>
      </c>
      <c r="X587" t="str">
        <f>IF(M587="109595132","Material de Limpeza-Não Avaliar",IF(AND(K587="F20",M587&lt;&gt;109595132),IF(RIGHT(F587,2)="70","Infraestrutura de Planta","Prédios e Instalações"),IF(K587="FPC",VLOOKUP(F587,[1]Info!$E$2:$F$11,2,0),IF(K587="FGP",VLOOKUP(F587,[1]Info!$E$9:$F$10,2,0),IF(K587="F10",VLOOKUP(F587,[1]Info!$E$2:$F$3,2,0),VLOOKUP(K587,[1]Info!$A$1:$B$21,2,0))))))</f>
        <v>Carboval Canabrava</v>
      </c>
    </row>
    <row r="588" spans="1:24" x14ac:dyDescent="0.35">
      <c r="A588" t="s">
        <v>41</v>
      </c>
      <c r="B588" t="s">
        <v>1</v>
      </c>
      <c r="C588" t="s">
        <v>70</v>
      </c>
      <c r="D588" t="s">
        <v>94</v>
      </c>
      <c r="E588" t="s">
        <v>52</v>
      </c>
      <c r="F588">
        <v>7090170</v>
      </c>
      <c r="G588" t="s">
        <v>1</v>
      </c>
      <c r="H588" t="s">
        <v>43</v>
      </c>
      <c r="I588" t="s">
        <v>44</v>
      </c>
      <c r="J588" t="s">
        <v>72</v>
      </c>
      <c r="K588" t="s">
        <v>0</v>
      </c>
      <c r="L588" t="s">
        <v>51</v>
      </c>
      <c r="M588" t="s">
        <v>829</v>
      </c>
      <c r="N588" t="s">
        <v>830</v>
      </c>
      <c r="O588" t="s">
        <v>211</v>
      </c>
      <c r="P588" t="s">
        <v>383</v>
      </c>
      <c r="Q588" t="s">
        <v>831</v>
      </c>
      <c r="R588" t="s">
        <v>832</v>
      </c>
      <c r="S588" t="s">
        <v>46</v>
      </c>
      <c r="T588" t="s">
        <v>46</v>
      </c>
      <c r="U588" s="4">
        <v>82.79</v>
      </c>
      <c r="V588" t="str">
        <f t="shared" si="9"/>
        <v>0300</v>
      </c>
      <c r="W588" t="str">
        <f>VLOOKUP(K588,[1]Info!A$1:B$21,2,0)</f>
        <v>Carboval</v>
      </c>
      <c r="X588" t="str">
        <f>IF(M588="109595132","Material de Limpeza-Não Avaliar",IF(AND(K588="F20",M588&lt;&gt;109595132),IF(RIGHT(F588,2)="70","Infraestrutura de Planta","Prédios e Instalações"),IF(K588="FPC",VLOOKUP(F588,[1]Info!$E$2:$F$11,2,0),IF(K588="FGP",VLOOKUP(F588,[1]Info!$E$9:$F$10,2,0),IF(K588="F10",VLOOKUP(F588,[1]Info!$E$2:$F$3,2,0),VLOOKUP(K588,[1]Info!$A$1:$B$21,2,0))))))</f>
        <v>Carboval Canabrava</v>
      </c>
    </row>
    <row r="589" spans="1:24" x14ac:dyDescent="0.35">
      <c r="A589" t="s">
        <v>41</v>
      </c>
      <c r="B589" t="s">
        <v>1</v>
      </c>
      <c r="C589" t="s">
        <v>70</v>
      </c>
      <c r="D589" t="s">
        <v>94</v>
      </c>
      <c r="E589" t="s">
        <v>52</v>
      </c>
      <c r="F589">
        <v>7090170</v>
      </c>
      <c r="G589" t="s">
        <v>1</v>
      </c>
      <c r="H589" t="s">
        <v>43</v>
      </c>
      <c r="I589" t="s">
        <v>44</v>
      </c>
      <c r="J589" t="s">
        <v>72</v>
      </c>
      <c r="K589" t="s">
        <v>0</v>
      </c>
      <c r="L589" t="s">
        <v>51</v>
      </c>
      <c r="M589" t="s">
        <v>833</v>
      </c>
      <c r="N589" t="s">
        <v>834</v>
      </c>
      <c r="O589" t="s">
        <v>740</v>
      </c>
      <c r="P589" t="s">
        <v>383</v>
      </c>
      <c r="Q589" t="s">
        <v>835</v>
      </c>
      <c r="R589" t="s">
        <v>836</v>
      </c>
      <c r="S589" t="s">
        <v>46</v>
      </c>
      <c r="T589" t="s">
        <v>46</v>
      </c>
      <c r="U589" s="4">
        <v>70.39</v>
      </c>
      <c r="V589" t="str">
        <f t="shared" si="9"/>
        <v>-100</v>
      </c>
      <c r="W589" t="str">
        <f>VLOOKUP(K589,[1]Info!A$1:B$21,2,0)</f>
        <v>Carboval</v>
      </c>
      <c r="X589" t="str">
        <f>IF(M589="109595132","Material de Limpeza-Não Avaliar",IF(AND(K589="F20",M589&lt;&gt;109595132),IF(RIGHT(F589,2)="70","Infraestrutura de Planta","Prédios e Instalações"),IF(K589="FPC",VLOOKUP(F589,[1]Info!$E$2:$F$11,2,0),IF(K589="FGP",VLOOKUP(F589,[1]Info!$E$9:$F$10,2,0),IF(K589="F10",VLOOKUP(F589,[1]Info!$E$2:$F$3,2,0),VLOOKUP(K589,[1]Info!$A$1:$B$21,2,0))))))</f>
        <v>Carboval Canabrava</v>
      </c>
    </row>
    <row r="590" spans="1:24" x14ac:dyDescent="0.35">
      <c r="A590" t="s">
        <v>41</v>
      </c>
      <c r="B590" t="s">
        <v>1</v>
      </c>
      <c r="C590" t="s">
        <v>70</v>
      </c>
      <c r="D590" t="s">
        <v>94</v>
      </c>
      <c r="E590" t="s">
        <v>52</v>
      </c>
      <c r="F590">
        <v>7090170</v>
      </c>
      <c r="G590" t="s">
        <v>1</v>
      </c>
      <c r="H590" t="s">
        <v>43</v>
      </c>
      <c r="I590" t="s">
        <v>44</v>
      </c>
      <c r="J590" t="s">
        <v>72</v>
      </c>
      <c r="K590" t="s">
        <v>0</v>
      </c>
      <c r="L590" t="s">
        <v>51</v>
      </c>
      <c r="M590" t="s">
        <v>833</v>
      </c>
      <c r="N590" t="s">
        <v>834</v>
      </c>
      <c r="O590" t="s">
        <v>740</v>
      </c>
      <c r="P590" t="s">
        <v>383</v>
      </c>
      <c r="Q590" t="s">
        <v>810</v>
      </c>
      <c r="R590" t="s">
        <v>811</v>
      </c>
      <c r="S590" t="s">
        <v>46</v>
      </c>
      <c r="T590" t="s">
        <v>46</v>
      </c>
      <c r="U590" s="4">
        <v>5944.98</v>
      </c>
      <c r="V590" t="str">
        <f t="shared" si="9"/>
        <v>-100</v>
      </c>
      <c r="W590" t="str">
        <f>VLOOKUP(K590,[1]Info!A$1:B$21,2,0)</f>
        <v>Carboval</v>
      </c>
      <c r="X590" t="str">
        <f>IF(M590="109595132","Material de Limpeza-Não Avaliar",IF(AND(K590="F20",M590&lt;&gt;109595132),IF(RIGHT(F590,2)="70","Infraestrutura de Planta","Prédios e Instalações"),IF(K590="FPC",VLOOKUP(F590,[1]Info!$E$2:$F$11,2,0),IF(K590="FGP",VLOOKUP(F590,[1]Info!$E$9:$F$10,2,0),IF(K590="F10",VLOOKUP(F590,[1]Info!$E$2:$F$3,2,0),VLOOKUP(K590,[1]Info!$A$1:$B$21,2,0))))))</f>
        <v>Carboval Canabrava</v>
      </c>
    </row>
    <row r="591" spans="1:24" x14ac:dyDescent="0.35">
      <c r="A591" t="s">
        <v>41</v>
      </c>
      <c r="B591" t="s">
        <v>1</v>
      </c>
      <c r="C591" t="s">
        <v>70</v>
      </c>
      <c r="D591" t="s">
        <v>100</v>
      </c>
      <c r="E591" t="s">
        <v>65</v>
      </c>
      <c r="F591">
        <v>7098135</v>
      </c>
      <c r="G591" t="s">
        <v>289</v>
      </c>
      <c r="H591" t="s">
        <v>43</v>
      </c>
      <c r="I591" t="s">
        <v>44</v>
      </c>
      <c r="J591" t="s">
        <v>50</v>
      </c>
      <c r="K591" t="s">
        <v>3</v>
      </c>
      <c r="L591" t="s">
        <v>51</v>
      </c>
      <c r="M591" t="s">
        <v>1614</v>
      </c>
      <c r="N591" t="s">
        <v>1615</v>
      </c>
      <c r="O591" t="s">
        <v>170</v>
      </c>
      <c r="P591" t="s">
        <v>1292</v>
      </c>
      <c r="Q591" t="s">
        <v>46</v>
      </c>
      <c r="R591" t="s">
        <v>47</v>
      </c>
      <c r="S591" t="s">
        <v>46</v>
      </c>
      <c r="T591" t="s">
        <v>46</v>
      </c>
      <c r="U591" s="4">
        <v>3134.85</v>
      </c>
      <c r="V591" t="str">
        <f t="shared" si="9"/>
        <v>C032</v>
      </c>
      <c r="W591" t="str">
        <f>VLOOKUP(K591,[1]Info!A$1:B$21,2,0)</f>
        <v>Carregadeira</v>
      </c>
      <c r="X591" t="str">
        <f>IF(M591="109595132","Material de Limpeza-Não Avaliar",IF(AND(K591="F20",M591&lt;&gt;109595132),IF(RIGHT(F591,2)="70","Infraestrutura de Planta","Prédios e Instalações"),IF(K591="FPC",VLOOKUP(F591,[1]Info!$E$2:$F$11,2,0),IF(K591="FGP",VLOOKUP(F591,[1]Info!$E$9:$F$10,2,0),IF(K591="F10",VLOOKUP(F591,[1]Info!$E$2:$F$3,2,0),VLOOKUP(K591,[1]Info!$A$1:$B$21,2,0))))))</f>
        <v>Carregadeira Canabrava</v>
      </c>
    </row>
    <row r="592" spans="1:24" x14ac:dyDescent="0.35">
      <c r="A592" t="s">
        <v>41</v>
      </c>
      <c r="B592" t="s">
        <v>1</v>
      </c>
      <c r="C592" t="s">
        <v>70</v>
      </c>
      <c r="D592" t="s">
        <v>100</v>
      </c>
      <c r="E592" t="s">
        <v>65</v>
      </c>
      <c r="F592">
        <v>7090170</v>
      </c>
      <c r="G592" t="s">
        <v>1</v>
      </c>
      <c r="H592" t="s">
        <v>43</v>
      </c>
      <c r="I592" t="s">
        <v>44</v>
      </c>
      <c r="J592" t="s">
        <v>72</v>
      </c>
      <c r="K592" t="s">
        <v>0</v>
      </c>
      <c r="L592" t="s">
        <v>1545</v>
      </c>
      <c r="M592" t="s">
        <v>1616</v>
      </c>
      <c r="N592" t="s">
        <v>1617</v>
      </c>
      <c r="O592" t="s">
        <v>211</v>
      </c>
      <c r="P592" t="s">
        <v>1292</v>
      </c>
      <c r="Q592" t="s">
        <v>46</v>
      </c>
      <c r="R592" t="s">
        <v>47</v>
      </c>
      <c r="S592" t="s">
        <v>46</v>
      </c>
      <c r="T592" t="s">
        <v>46</v>
      </c>
      <c r="U592" s="4">
        <v>206.46</v>
      </c>
      <c r="V592" t="str">
        <f t="shared" si="9"/>
        <v>0300</v>
      </c>
      <c r="W592" t="str">
        <f>VLOOKUP(K592,[1]Info!A$1:B$21,2,0)</f>
        <v>Carboval</v>
      </c>
      <c r="X592" t="str">
        <f>IF(M592="109595132","Material de Limpeza-Não Avaliar",IF(AND(K592="F20",M592&lt;&gt;109595132),IF(RIGHT(F592,2)="70","Infraestrutura de Planta","Prédios e Instalações"),IF(K592="FPC",VLOOKUP(F592,[1]Info!$E$2:$F$11,2,0),IF(K592="FGP",VLOOKUP(F592,[1]Info!$E$9:$F$10,2,0),IF(K592="F10",VLOOKUP(F592,[1]Info!$E$2:$F$3,2,0),VLOOKUP(K592,[1]Info!$A$1:$B$21,2,0))))))</f>
        <v>Carboval Canabrava</v>
      </c>
    </row>
    <row r="593" spans="1:24" x14ac:dyDescent="0.35">
      <c r="A593" t="s">
        <v>41</v>
      </c>
      <c r="B593" t="s">
        <v>1</v>
      </c>
      <c r="C593" t="s">
        <v>70</v>
      </c>
      <c r="D593" t="s">
        <v>100</v>
      </c>
      <c r="E593" t="s">
        <v>65</v>
      </c>
      <c r="F593">
        <v>7090170</v>
      </c>
      <c r="G593" t="s">
        <v>1</v>
      </c>
      <c r="H593" t="s">
        <v>43</v>
      </c>
      <c r="I593" t="s">
        <v>44</v>
      </c>
      <c r="J593" t="s">
        <v>72</v>
      </c>
      <c r="K593" t="s">
        <v>0</v>
      </c>
      <c r="L593" t="s">
        <v>1545</v>
      </c>
      <c r="M593" t="s">
        <v>1618</v>
      </c>
      <c r="N593" t="s">
        <v>1619</v>
      </c>
      <c r="O593" t="s">
        <v>211</v>
      </c>
      <c r="P593" t="s">
        <v>1292</v>
      </c>
      <c r="Q593" t="s">
        <v>46</v>
      </c>
      <c r="R593" t="s">
        <v>47</v>
      </c>
      <c r="S593" t="s">
        <v>46</v>
      </c>
      <c r="T593" t="s">
        <v>46</v>
      </c>
      <c r="U593" s="4">
        <v>1032.3</v>
      </c>
      <c r="V593" t="str">
        <f t="shared" si="9"/>
        <v>0300</v>
      </c>
      <c r="W593" t="str">
        <f>VLOOKUP(K593,[1]Info!A$1:B$21,2,0)</f>
        <v>Carboval</v>
      </c>
      <c r="X593" t="str">
        <f>IF(M593="109595132","Material de Limpeza-Não Avaliar",IF(AND(K593="F20",M593&lt;&gt;109595132),IF(RIGHT(F593,2)="70","Infraestrutura de Planta","Prédios e Instalações"),IF(K593="FPC",VLOOKUP(F593,[1]Info!$E$2:$F$11,2,0),IF(K593="FGP",VLOOKUP(F593,[1]Info!$E$9:$F$10,2,0),IF(K593="F10",VLOOKUP(F593,[1]Info!$E$2:$F$3,2,0),VLOOKUP(K593,[1]Info!$A$1:$B$21,2,0))))))</f>
        <v>Carboval Canabrava</v>
      </c>
    </row>
    <row r="594" spans="1:24" x14ac:dyDescent="0.35">
      <c r="A594" t="s">
        <v>41</v>
      </c>
      <c r="B594" t="s">
        <v>1</v>
      </c>
      <c r="C594" t="s">
        <v>70</v>
      </c>
      <c r="D594" t="s">
        <v>100</v>
      </c>
      <c r="E594" t="s">
        <v>65</v>
      </c>
      <c r="F594">
        <v>7090170</v>
      </c>
      <c r="G594" t="s">
        <v>1</v>
      </c>
      <c r="H594" t="s">
        <v>43</v>
      </c>
      <c r="I594" t="s">
        <v>44</v>
      </c>
      <c r="J594" t="s">
        <v>72</v>
      </c>
      <c r="K594" t="s">
        <v>0</v>
      </c>
      <c r="L594" t="s">
        <v>1545</v>
      </c>
      <c r="M594" t="s">
        <v>1620</v>
      </c>
      <c r="N594" t="s">
        <v>1621</v>
      </c>
      <c r="O594" t="s">
        <v>1546</v>
      </c>
      <c r="P594" t="s">
        <v>1292</v>
      </c>
      <c r="Q594" t="s">
        <v>46</v>
      </c>
      <c r="R594" t="s">
        <v>47</v>
      </c>
      <c r="S594" t="s">
        <v>46</v>
      </c>
      <c r="T594" t="s">
        <v>46</v>
      </c>
      <c r="U594" s="4">
        <v>929.04</v>
      </c>
      <c r="V594" t="str">
        <f t="shared" si="9"/>
        <v>-110</v>
      </c>
      <c r="W594" t="str">
        <f>VLOOKUP(K594,[1]Info!A$1:B$21,2,0)</f>
        <v>Carboval</v>
      </c>
      <c r="X594" t="str">
        <f>IF(M594="109595132","Material de Limpeza-Não Avaliar",IF(AND(K594="F20",M594&lt;&gt;109595132),IF(RIGHT(F594,2)="70","Infraestrutura de Planta","Prédios e Instalações"),IF(K594="FPC",VLOOKUP(F594,[1]Info!$E$2:$F$11,2,0),IF(K594="FGP",VLOOKUP(F594,[1]Info!$E$9:$F$10,2,0),IF(K594="F10",VLOOKUP(F594,[1]Info!$E$2:$F$3,2,0),VLOOKUP(K594,[1]Info!$A$1:$B$21,2,0))))))</f>
        <v>Carboval Canabrava</v>
      </c>
    </row>
    <row r="595" spans="1:24" x14ac:dyDescent="0.35">
      <c r="A595" t="s">
        <v>41</v>
      </c>
      <c r="B595" t="s">
        <v>1</v>
      </c>
      <c r="C595" t="s">
        <v>70</v>
      </c>
      <c r="D595" t="s">
        <v>100</v>
      </c>
      <c r="E595" t="s">
        <v>65</v>
      </c>
      <c r="F595">
        <v>7090170</v>
      </c>
      <c r="G595" t="s">
        <v>1</v>
      </c>
      <c r="H595" t="s">
        <v>43</v>
      </c>
      <c r="I595" t="s">
        <v>44</v>
      </c>
      <c r="J595" t="s">
        <v>72</v>
      </c>
      <c r="K595" t="s">
        <v>0</v>
      </c>
      <c r="L595" t="s">
        <v>1545</v>
      </c>
      <c r="M595" t="s">
        <v>1622</v>
      </c>
      <c r="N595" t="s">
        <v>1623</v>
      </c>
      <c r="O595" t="s">
        <v>1547</v>
      </c>
      <c r="P595" t="s">
        <v>1292</v>
      </c>
      <c r="Q595" t="s">
        <v>46</v>
      </c>
      <c r="R595" t="s">
        <v>47</v>
      </c>
      <c r="S595" t="s">
        <v>46</v>
      </c>
      <c r="T595" t="s">
        <v>46</v>
      </c>
      <c r="U595" s="4">
        <v>825.8</v>
      </c>
      <c r="V595" t="str">
        <f t="shared" si="9"/>
        <v>1000</v>
      </c>
      <c r="W595" t="str">
        <f>VLOOKUP(K595,[1]Info!A$1:B$21,2,0)</f>
        <v>Carboval</v>
      </c>
      <c r="X595" t="str">
        <f>IF(M595="109595132","Material de Limpeza-Não Avaliar",IF(AND(K595="F20",M595&lt;&gt;109595132),IF(RIGHT(F595,2)="70","Infraestrutura de Planta","Prédios e Instalações"),IF(K595="FPC",VLOOKUP(F595,[1]Info!$E$2:$F$11,2,0),IF(K595="FGP",VLOOKUP(F595,[1]Info!$E$9:$F$10,2,0),IF(K595="F10",VLOOKUP(F595,[1]Info!$E$2:$F$3,2,0),VLOOKUP(K595,[1]Info!$A$1:$B$21,2,0))))))</f>
        <v>Carboval Canabrava</v>
      </c>
    </row>
    <row r="596" spans="1:24" x14ac:dyDescent="0.35">
      <c r="A596" t="s">
        <v>41</v>
      </c>
      <c r="B596" t="s">
        <v>1</v>
      </c>
      <c r="C596" t="s">
        <v>70</v>
      </c>
      <c r="D596" t="s">
        <v>100</v>
      </c>
      <c r="E596" t="s">
        <v>65</v>
      </c>
      <c r="F596">
        <v>7090170</v>
      </c>
      <c r="G596" t="s">
        <v>1</v>
      </c>
      <c r="H596" t="s">
        <v>43</v>
      </c>
      <c r="I596" t="s">
        <v>44</v>
      </c>
      <c r="J596" t="s">
        <v>72</v>
      </c>
      <c r="K596" t="s">
        <v>0</v>
      </c>
      <c r="L596" t="s">
        <v>1545</v>
      </c>
      <c r="M596" t="s">
        <v>1624</v>
      </c>
      <c r="N596" t="s">
        <v>1619</v>
      </c>
      <c r="O596" t="s">
        <v>211</v>
      </c>
      <c r="P596" t="s">
        <v>1292</v>
      </c>
      <c r="Q596" t="s">
        <v>46</v>
      </c>
      <c r="R596" t="s">
        <v>47</v>
      </c>
      <c r="S596" t="s">
        <v>46</v>
      </c>
      <c r="T596" t="s">
        <v>46</v>
      </c>
      <c r="U596" s="4">
        <v>4438.83</v>
      </c>
      <c r="V596" t="str">
        <f t="shared" si="9"/>
        <v>0300</v>
      </c>
      <c r="W596" t="str">
        <f>VLOOKUP(K596,[1]Info!A$1:B$21,2,0)</f>
        <v>Carboval</v>
      </c>
      <c r="X596" t="str">
        <f>IF(M596="109595132","Material de Limpeza-Não Avaliar",IF(AND(K596="F20",M596&lt;&gt;109595132),IF(RIGHT(F596,2)="70","Infraestrutura de Planta","Prédios e Instalações"),IF(K596="FPC",VLOOKUP(F596,[1]Info!$E$2:$F$11,2,0),IF(K596="FGP",VLOOKUP(F596,[1]Info!$E$9:$F$10,2,0),IF(K596="F10",VLOOKUP(F596,[1]Info!$E$2:$F$3,2,0),VLOOKUP(K596,[1]Info!$A$1:$B$21,2,0))))))</f>
        <v>Carboval Canabrava</v>
      </c>
    </row>
    <row r="597" spans="1:24" x14ac:dyDescent="0.35">
      <c r="A597" t="s">
        <v>41</v>
      </c>
      <c r="B597" t="s">
        <v>1</v>
      </c>
      <c r="C597" t="s">
        <v>70</v>
      </c>
      <c r="D597" t="s">
        <v>100</v>
      </c>
      <c r="E597" t="s">
        <v>65</v>
      </c>
      <c r="F597">
        <v>7090170</v>
      </c>
      <c r="G597" t="s">
        <v>1</v>
      </c>
      <c r="H597" t="s">
        <v>43</v>
      </c>
      <c r="I597" t="s">
        <v>44</v>
      </c>
      <c r="J597" t="s">
        <v>72</v>
      </c>
      <c r="K597" t="s">
        <v>0</v>
      </c>
      <c r="L597" t="s">
        <v>51</v>
      </c>
      <c r="M597" t="s">
        <v>713</v>
      </c>
      <c r="N597" t="s">
        <v>714</v>
      </c>
      <c r="O597" t="s">
        <v>715</v>
      </c>
      <c r="P597" t="s">
        <v>1292</v>
      </c>
      <c r="Q597" t="s">
        <v>46</v>
      </c>
      <c r="R597" t="s">
        <v>47</v>
      </c>
      <c r="S597" t="s">
        <v>46</v>
      </c>
      <c r="T597" t="s">
        <v>46</v>
      </c>
      <c r="U597" s="4">
        <v>10910.33</v>
      </c>
      <c r="V597" t="str">
        <f t="shared" si="9"/>
        <v>0800</v>
      </c>
      <c r="W597" t="str">
        <f>VLOOKUP(K597,[1]Info!A$1:B$21,2,0)</f>
        <v>Carboval</v>
      </c>
      <c r="X597" t="str">
        <f>IF(M597="109595132","Material de Limpeza-Não Avaliar",IF(AND(K597="F20",M597&lt;&gt;109595132),IF(RIGHT(F597,2)="70","Infraestrutura de Planta","Prédios e Instalações"),IF(K597="FPC",VLOOKUP(F597,[1]Info!$E$2:$F$11,2,0),IF(K597="FGP",VLOOKUP(F597,[1]Info!$E$9:$F$10,2,0),IF(K597="F10",VLOOKUP(F597,[1]Info!$E$2:$F$3,2,0),VLOOKUP(K597,[1]Info!$A$1:$B$21,2,0))))))</f>
        <v>Carboval Canabrava</v>
      </c>
    </row>
    <row r="598" spans="1:24" x14ac:dyDescent="0.35">
      <c r="A598" t="s">
        <v>41</v>
      </c>
      <c r="B598" t="s">
        <v>1</v>
      </c>
      <c r="C598" t="s">
        <v>70</v>
      </c>
      <c r="D598" t="s">
        <v>100</v>
      </c>
      <c r="E598" t="s">
        <v>65</v>
      </c>
      <c r="F598">
        <v>7090170</v>
      </c>
      <c r="G598" t="s">
        <v>1</v>
      </c>
      <c r="H598" t="s">
        <v>43</v>
      </c>
      <c r="I598" t="s">
        <v>44</v>
      </c>
      <c r="J598" t="s">
        <v>72</v>
      </c>
      <c r="K598" t="s">
        <v>0</v>
      </c>
      <c r="L598" t="s">
        <v>51</v>
      </c>
      <c r="M598" t="s">
        <v>1625</v>
      </c>
      <c r="N598" t="s">
        <v>1626</v>
      </c>
      <c r="O598" t="s">
        <v>783</v>
      </c>
      <c r="P598" t="s">
        <v>1292</v>
      </c>
      <c r="Q598" t="s">
        <v>46</v>
      </c>
      <c r="R598" t="s">
        <v>47</v>
      </c>
      <c r="S598" t="s">
        <v>46</v>
      </c>
      <c r="T598" t="s">
        <v>46</v>
      </c>
      <c r="U598" s="4">
        <v>1341.93</v>
      </c>
      <c r="V598" t="str">
        <f t="shared" si="9"/>
        <v>1100</v>
      </c>
      <c r="W598" t="str">
        <f>VLOOKUP(K598,[1]Info!A$1:B$21,2,0)</f>
        <v>Carboval</v>
      </c>
      <c r="X598" t="str">
        <f>IF(M598="109595132","Material de Limpeza-Não Avaliar",IF(AND(K598="F20",M598&lt;&gt;109595132),IF(RIGHT(F598,2)="70","Infraestrutura de Planta","Prédios e Instalações"),IF(K598="FPC",VLOOKUP(F598,[1]Info!$E$2:$F$11,2,0),IF(K598="FGP",VLOOKUP(F598,[1]Info!$E$9:$F$10,2,0),IF(K598="F10",VLOOKUP(F598,[1]Info!$E$2:$F$3,2,0),VLOOKUP(K598,[1]Info!$A$1:$B$21,2,0))))))</f>
        <v>Carboval Canabrava</v>
      </c>
    </row>
    <row r="599" spans="1:24" x14ac:dyDescent="0.35">
      <c r="A599" t="s">
        <v>41</v>
      </c>
      <c r="B599" t="s">
        <v>1</v>
      </c>
      <c r="C599" t="s">
        <v>70</v>
      </c>
      <c r="D599" t="s">
        <v>100</v>
      </c>
      <c r="E599" t="s">
        <v>65</v>
      </c>
      <c r="F599">
        <v>7090170</v>
      </c>
      <c r="G599" t="s">
        <v>1</v>
      </c>
      <c r="H599" t="s">
        <v>43</v>
      </c>
      <c r="I599" t="s">
        <v>44</v>
      </c>
      <c r="J599" t="s">
        <v>72</v>
      </c>
      <c r="K599" t="s">
        <v>0</v>
      </c>
      <c r="L599" t="s">
        <v>51</v>
      </c>
      <c r="M599" t="s">
        <v>1627</v>
      </c>
      <c r="N599" t="s">
        <v>1628</v>
      </c>
      <c r="O599" t="s">
        <v>211</v>
      </c>
      <c r="P599" t="s">
        <v>1292</v>
      </c>
      <c r="Q599" t="s">
        <v>46</v>
      </c>
      <c r="R599" t="s">
        <v>47</v>
      </c>
      <c r="S599" t="s">
        <v>46</v>
      </c>
      <c r="T599" t="s">
        <v>46</v>
      </c>
      <c r="U599" s="4">
        <v>8712.19</v>
      </c>
      <c r="V599" t="str">
        <f t="shared" si="9"/>
        <v>0300</v>
      </c>
      <c r="W599" t="str">
        <f>VLOOKUP(K599,[1]Info!A$1:B$21,2,0)</f>
        <v>Carboval</v>
      </c>
      <c r="X599" t="str">
        <f>IF(M599="109595132","Material de Limpeza-Não Avaliar",IF(AND(K599="F20",M599&lt;&gt;109595132),IF(RIGHT(F599,2)="70","Infraestrutura de Planta","Prédios e Instalações"),IF(K599="FPC",VLOOKUP(F599,[1]Info!$E$2:$F$11,2,0),IF(K599="FGP",VLOOKUP(F599,[1]Info!$E$9:$F$10,2,0),IF(K599="F10",VLOOKUP(F599,[1]Info!$E$2:$F$3,2,0),VLOOKUP(K599,[1]Info!$A$1:$B$21,2,0))))))</f>
        <v>Carboval Canabrava</v>
      </c>
    </row>
    <row r="600" spans="1:24" x14ac:dyDescent="0.35">
      <c r="A600" t="s">
        <v>41</v>
      </c>
      <c r="B600" t="s">
        <v>1</v>
      </c>
      <c r="C600" t="s">
        <v>70</v>
      </c>
      <c r="D600" t="s">
        <v>100</v>
      </c>
      <c r="E600" t="s">
        <v>65</v>
      </c>
      <c r="F600">
        <v>7090170</v>
      </c>
      <c r="G600" t="s">
        <v>1</v>
      </c>
      <c r="H600" t="s">
        <v>43</v>
      </c>
      <c r="I600" t="s">
        <v>44</v>
      </c>
      <c r="J600" t="s">
        <v>72</v>
      </c>
      <c r="K600" t="s">
        <v>0</v>
      </c>
      <c r="L600" t="s">
        <v>51</v>
      </c>
      <c r="M600" t="s">
        <v>1629</v>
      </c>
      <c r="N600" t="s">
        <v>1630</v>
      </c>
      <c r="O600" t="s">
        <v>105</v>
      </c>
      <c r="P600" t="s">
        <v>1292</v>
      </c>
      <c r="Q600" t="s">
        <v>46</v>
      </c>
      <c r="R600" t="s">
        <v>47</v>
      </c>
      <c r="S600" t="s">
        <v>46</v>
      </c>
      <c r="T600" t="s">
        <v>46</v>
      </c>
      <c r="U600" s="4">
        <v>7389.27</v>
      </c>
      <c r="V600" t="str">
        <f t="shared" si="9"/>
        <v>0100</v>
      </c>
      <c r="W600" t="str">
        <f>VLOOKUP(K600,[1]Info!A$1:B$21,2,0)</f>
        <v>Carboval</v>
      </c>
      <c r="X600" t="str">
        <f>IF(M600="109595132","Material de Limpeza-Não Avaliar",IF(AND(K600="F20",M600&lt;&gt;109595132),IF(RIGHT(F600,2)="70","Infraestrutura de Planta","Prédios e Instalações"),IF(K600="FPC",VLOOKUP(F600,[1]Info!$E$2:$F$11,2,0),IF(K600="FGP",VLOOKUP(F600,[1]Info!$E$9:$F$10,2,0),IF(K600="F10",VLOOKUP(F600,[1]Info!$E$2:$F$3,2,0),VLOOKUP(K600,[1]Info!$A$1:$B$21,2,0))))))</f>
        <v>Carboval Canabrava</v>
      </c>
    </row>
    <row r="601" spans="1:24" x14ac:dyDescent="0.35">
      <c r="A601" t="s">
        <v>41</v>
      </c>
      <c r="B601" t="s">
        <v>1</v>
      </c>
      <c r="C601" t="s">
        <v>70</v>
      </c>
      <c r="D601" t="s">
        <v>100</v>
      </c>
      <c r="E601" t="s">
        <v>65</v>
      </c>
      <c r="F601">
        <v>7090170</v>
      </c>
      <c r="G601" t="s">
        <v>1</v>
      </c>
      <c r="H601" t="s">
        <v>43</v>
      </c>
      <c r="I601" t="s">
        <v>44</v>
      </c>
      <c r="J601" t="s">
        <v>72</v>
      </c>
      <c r="K601" t="s">
        <v>0</v>
      </c>
      <c r="L601" t="s">
        <v>51</v>
      </c>
      <c r="M601" t="s">
        <v>1631</v>
      </c>
      <c r="N601" t="s">
        <v>1632</v>
      </c>
      <c r="O601" t="s">
        <v>105</v>
      </c>
      <c r="P601" t="s">
        <v>1292</v>
      </c>
      <c r="Q601" t="s">
        <v>46</v>
      </c>
      <c r="R601" t="s">
        <v>47</v>
      </c>
      <c r="S601" t="s">
        <v>46</v>
      </c>
      <c r="T601" t="s">
        <v>46</v>
      </c>
      <c r="U601" s="4">
        <v>7953.06</v>
      </c>
      <c r="V601" t="str">
        <f t="shared" si="9"/>
        <v>0100</v>
      </c>
      <c r="W601" t="str">
        <f>VLOOKUP(K601,[1]Info!A$1:B$21,2,0)</f>
        <v>Carboval</v>
      </c>
      <c r="X601" t="str">
        <f>IF(M601="109595132","Material de Limpeza-Não Avaliar",IF(AND(K601="F20",M601&lt;&gt;109595132),IF(RIGHT(F601,2)="70","Infraestrutura de Planta","Prédios e Instalações"),IF(K601="FPC",VLOOKUP(F601,[1]Info!$E$2:$F$11,2,0),IF(K601="FGP",VLOOKUP(F601,[1]Info!$E$9:$F$10,2,0),IF(K601="F10",VLOOKUP(F601,[1]Info!$E$2:$F$3,2,0),VLOOKUP(K601,[1]Info!$A$1:$B$21,2,0))))))</f>
        <v>Carboval Canabrava</v>
      </c>
    </row>
    <row r="602" spans="1:24" x14ac:dyDescent="0.35">
      <c r="A602" t="s">
        <v>41</v>
      </c>
      <c r="B602" t="s">
        <v>1</v>
      </c>
      <c r="C602" t="s">
        <v>70</v>
      </c>
      <c r="D602" t="s">
        <v>100</v>
      </c>
      <c r="E602" t="s">
        <v>65</v>
      </c>
      <c r="F602">
        <v>7090170</v>
      </c>
      <c r="G602" t="s">
        <v>1</v>
      </c>
      <c r="H602" t="s">
        <v>43</v>
      </c>
      <c r="I602" t="s">
        <v>44</v>
      </c>
      <c r="J602" t="s">
        <v>72</v>
      </c>
      <c r="K602" t="s">
        <v>0</v>
      </c>
      <c r="L602" t="s">
        <v>51</v>
      </c>
      <c r="M602" t="s">
        <v>753</v>
      </c>
      <c r="N602" t="s">
        <v>739</v>
      </c>
      <c r="O602" t="s">
        <v>750</v>
      </c>
      <c r="P602" t="s">
        <v>1292</v>
      </c>
      <c r="Q602" t="s">
        <v>46</v>
      </c>
      <c r="R602" t="s">
        <v>47</v>
      </c>
      <c r="S602" t="s">
        <v>46</v>
      </c>
      <c r="T602" t="s">
        <v>46</v>
      </c>
      <c r="U602" s="4">
        <v>11802.77</v>
      </c>
      <c r="V602" t="str">
        <f t="shared" si="9"/>
        <v>5000</v>
      </c>
      <c r="W602" t="str">
        <f>VLOOKUP(K602,[1]Info!A$1:B$21,2,0)</f>
        <v>Carboval</v>
      </c>
      <c r="X602" t="str">
        <f>IF(M602="109595132","Material de Limpeza-Não Avaliar",IF(AND(K602="F20",M602&lt;&gt;109595132),IF(RIGHT(F602,2)="70","Infraestrutura de Planta","Prédios e Instalações"),IF(K602="FPC",VLOOKUP(F602,[1]Info!$E$2:$F$11,2,0),IF(K602="FGP",VLOOKUP(F602,[1]Info!$E$9:$F$10,2,0),IF(K602="F10",VLOOKUP(F602,[1]Info!$E$2:$F$3,2,0),VLOOKUP(K602,[1]Info!$A$1:$B$21,2,0))))))</f>
        <v>Carboval Canabrava</v>
      </c>
    </row>
    <row r="603" spans="1:24" x14ac:dyDescent="0.35">
      <c r="A603" t="s">
        <v>41</v>
      </c>
      <c r="B603" t="s">
        <v>1</v>
      </c>
      <c r="C603" t="s">
        <v>70</v>
      </c>
      <c r="D603" t="s">
        <v>100</v>
      </c>
      <c r="E603" t="s">
        <v>65</v>
      </c>
      <c r="F603">
        <v>7090170</v>
      </c>
      <c r="G603" t="s">
        <v>1</v>
      </c>
      <c r="H603" t="s">
        <v>43</v>
      </c>
      <c r="I603" t="s">
        <v>44</v>
      </c>
      <c r="J603" t="s">
        <v>72</v>
      </c>
      <c r="K603" t="s">
        <v>0</v>
      </c>
      <c r="L603" t="s">
        <v>51</v>
      </c>
      <c r="M603" t="s">
        <v>738</v>
      </c>
      <c r="N603" t="s">
        <v>739</v>
      </c>
      <c r="O603" t="s">
        <v>740</v>
      </c>
      <c r="P603" t="s">
        <v>1292</v>
      </c>
      <c r="Q603" t="s">
        <v>46</v>
      </c>
      <c r="R603" t="s">
        <v>47</v>
      </c>
      <c r="S603" t="s">
        <v>46</v>
      </c>
      <c r="T603" t="s">
        <v>46</v>
      </c>
      <c r="U603" s="4">
        <v>6040.73</v>
      </c>
      <c r="V603" t="str">
        <f t="shared" si="9"/>
        <v>-100</v>
      </c>
      <c r="W603" t="str">
        <f>VLOOKUP(K603,[1]Info!A$1:B$21,2,0)</f>
        <v>Carboval</v>
      </c>
      <c r="X603" t="str">
        <f>IF(M603="109595132","Material de Limpeza-Não Avaliar",IF(AND(K603="F20",M603&lt;&gt;109595132),IF(RIGHT(F603,2)="70","Infraestrutura de Planta","Prédios e Instalações"),IF(K603="FPC",VLOOKUP(F603,[1]Info!$E$2:$F$11,2,0),IF(K603="FGP",VLOOKUP(F603,[1]Info!$E$9:$F$10,2,0),IF(K603="F10",VLOOKUP(F603,[1]Info!$E$2:$F$3,2,0),VLOOKUP(K603,[1]Info!$A$1:$B$21,2,0))))))</f>
        <v>Carboval Canabrava</v>
      </c>
    </row>
    <row r="604" spans="1:24" x14ac:dyDescent="0.35">
      <c r="A604" t="s">
        <v>41</v>
      </c>
      <c r="B604" t="s">
        <v>1</v>
      </c>
      <c r="C604" t="s">
        <v>70</v>
      </c>
      <c r="D604" t="s">
        <v>100</v>
      </c>
      <c r="E604" t="s">
        <v>65</v>
      </c>
      <c r="F604">
        <v>7090170</v>
      </c>
      <c r="G604" t="s">
        <v>1</v>
      </c>
      <c r="H604" t="s">
        <v>43</v>
      </c>
      <c r="I604" t="s">
        <v>44</v>
      </c>
      <c r="J604" t="s">
        <v>72</v>
      </c>
      <c r="K604" t="s">
        <v>0</v>
      </c>
      <c r="L604" t="s">
        <v>51</v>
      </c>
      <c r="M604" t="s">
        <v>805</v>
      </c>
      <c r="N604" t="s">
        <v>806</v>
      </c>
      <c r="O604" t="s">
        <v>807</v>
      </c>
      <c r="P604" t="s">
        <v>1292</v>
      </c>
      <c r="Q604" t="s">
        <v>46</v>
      </c>
      <c r="R604" t="s">
        <v>47</v>
      </c>
      <c r="S604" t="s">
        <v>46</v>
      </c>
      <c r="T604" t="s">
        <v>46</v>
      </c>
      <c r="U604" s="4">
        <v>7242.28</v>
      </c>
      <c r="V604" t="str">
        <f t="shared" si="9"/>
        <v>1300</v>
      </c>
      <c r="W604" t="str">
        <f>VLOOKUP(K604,[1]Info!A$1:B$21,2,0)</f>
        <v>Carboval</v>
      </c>
      <c r="X604" t="str">
        <f>IF(M604="109595132","Material de Limpeza-Não Avaliar",IF(AND(K604="F20",M604&lt;&gt;109595132),IF(RIGHT(F604,2)="70","Infraestrutura de Planta","Prédios e Instalações"),IF(K604="FPC",VLOOKUP(F604,[1]Info!$E$2:$F$11,2,0),IF(K604="FGP",VLOOKUP(F604,[1]Info!$E$9:$F$10,2,0),IF(K604="F10",VLOOKUP(F604,[1]Info!$E$2:$F$3,2,0),VLOOKUP(K604,[1]Info!$A$1:$B$21,2,0))))))</f>
        <v>Carboval Canabrava</v>
      </c>
    </row>
    <row r="605" spans="1:24" x14ac:dyDescent="0.35">
      <c r="A605" t="s">
        <v>41</v>
      </c>
      <c r="B605" t="s">
        <v>1</v>
      </c>
      <c r="C605" t="s">
        <v>70</v>
      </c>
      <c r="D605" t="s">
        <v>100</v>
      </c>
      <c r="E605" t="s">
        <v>65</v>
      </c>
      <c r="F605">
        <v>7090170</v>
      </c>
      <c r="G605" t="s">
        <v>1</v>
      </c>
      <c r="H605" t="s">
        <v>43</v>
      </c>
      <c r="I605" t="s">
        <v>44</v>
      </c>
      <c r="J605" t="s">
        <v>72</v>
      </c>
      <c r="K605" t="s">
        <v>0</v>
      </c>
      <c r="L605" t="s">
        <v>51</v>
      </c>
      <c r="M605" t="s">
        <v>1633</v>
      </c>
      <c r="N605" t="s">
        <v>1634</v>
      </c>
      <c r="O605" t="s">
        <v>213</v>
      </c>
      <c r="P605" t="s">
        <v>1292</v>
      </c>
      <c r="Q605" t="s">
        <v>46</v>
      </c>
      <c r="R605" t="s">
        <v>47</v>
      </c>
      <c r="S605" t="s">
        <v>46</v>
      </c>
      <c r="T605" t="s">
        <v>46</v>
      </c>
      <c r="U605" s="4">
        <v>2276.64</v>
      </c>
      <c r="V605" t="str">
        <f t="shared" si="9"/>
        <v>0400</v>
      </c>
      <c r="W605" t="str">
        <f>VLOOKUP(K605,[1]Info!A$1:B$21,2,0)</f>
        <v>Carboval</v>
      </c>
      <c r="X605" t="str">
        <f>IF(M605="109595132","Material de Limpeza-Não Avaliar",IF(AND(K605="F20",M605&lt;&gt;109595132),IF(RIGHT(F605,2)="70","Infraestrutura de Planta","Prédios e Instalações"),IF(K605="FPC",VLOOKUP(F605,[1]Info!$E$2:$F$11,2,0),IF(K605="FGP",VLOOKUP(F605,[1]Info!$E$9:$F$10,2,0),IF(K605="F10",VLOOKUP(F605,[1]Info!$E$2:$F$3,2,0),VLOOKUP(K605,[1]Info!$A$1:$B$21,2,0))))))</f>
        <v>Carboval Canabrava</v>
      </c>
    </row>
    <row r="606" spans="1:24" x14ac:dyDescent="0.35">
      <c r="A606" t="s">
        <v>41</v>
      </c>
      <c r="B606" t="s">
        <v>1</v>
      </c>
      <c r="C606" t="s">
        <v>70</v>
      </c>
      <c r="D606" t="s">
        <v>100</v>
      </c>
      <c r="E606" t="s">
        <v>65</v>
      </c>
      <c r="F606">
        <v>7090170</v>
      </c>
      <c r="G606" t="s">
        <v>1</v>
      </c>
      <c r="H606" t="s">
        <v>43</v>
      </c>
      <c r="I606" t="s">
        <v>44</v>
      </c>
      <c r="J606" t="s">
        <v>72</v>
      </c>
      <c r="K606" t="s">
        <v>0</v>
      </c>
      <c r="L606" t="s">
        <v>51</v>
      </c>
      <c r="M606" t="s">
        <v>1635</v>
      </c>
      <c r="N606" t="s">
        <v>1636</v>
      </c>
      <c r="O606" t="s">
        <v>745</v>
      </c>
      <c r="P606" t="s">
        <v>1292</v>
      </c>
      <c r="Q606" t="s">
        <v>46</v>
      </c>
      <c r="R606" t="s">
        <v>47</v>
      </c>
      <c r="S606" t="s">
        <v>46</v>
      </c>
      <c r="T606" t="s">
        <v>46</v>
      </c>
      <c r="U606" s="4">
        <v>1135.48</v>
      </c>
      <c r="V606" t="str">
        <f t="shared" si="9"/>
        <v>0100</v>
      </c>
      <c r="W606" t="str">
        <f>VLOOKUP(K606,[1]Info!A$1:B$21,2,0)</f>
        <v>Carboval</v>
      </c>
      <c r="X606" t="str">
        <f>IF(M606="109595132","Material de Limpeza-Não Avaliar",IF(AND(K606="F20",M606&lt;&gt;109595132),IF(RIGHT(F606,2)="70","Infraestrutura de Planta","Prédios e Instalações"),IF(K606="FPC",VLOOKUP(F606,[1]Info!$E$2:$F$11,2,0),IF(K606="FGP",VLOOKUP(F606,[1]Info!$E$9:$F$10,2,0),IF(K606="F10",VLOOKUP(F606,[1]Info!$E$2:$F$3,2,0),VLOOKUP(K606,[1]Info!$A$1:$B$21,2,0))))))</f>
        <v>Carboval Canabrava</v>
      </c>
    </row>
    <row r="607" spans="1:24" x14ac:dyDescent="0.35">
      <c r="A607" t="s">
        <v>41</v>
      </c>
      <c r="B607" t="s">
        <v>1</v>
      </c>
      <c r="C607" t="s">
        <v>70</v>
      </c>
      <c r="D607" t="s">
        <v>100</v>
      </c>
      <c r="E607" t="s">
        <v>65</v>
      </c>
      <c r="F607">
        <v>7090170</v>
      </c>
      <c r="G607" t="s">
        <v>1</v>
      </c>
      <c r="H607" t="s">
        <v>43</v>
      </c>
      <c r="I607" t="s">
        <v>44</v>
      </c>
      <c r="J607" t="s">
        <v>72</v>
      </c>
      <c r="K607" t="s">
        <v>0</v>
      </c>
      <c r="L607" t="s">
        <v>51</v>
      </c>
      <c r="M607" t="s">
        <v>1637</v>
      </c>
      <c r="N607" t="s">
        <v>1638</v>
      </c>
      <c r="O607" t="s">
        <v>783</v>
      </c>
      <c r="P607" t="s">
        <v>1292</v>
      </c>
      <c r="Q607" t="s">
        <v>46</v>
      </c>
      <c r="R607" t="s">
        <v>47</v>
      </c>
      <c r="S607" t="s">
        <v>46</v>
      </c>
      <c r="T607" t="s">
        <v>46</v>
      </c>
      <c r="U607" s="4">
        <v>2374.1799999999998</v>
      </c>
      <c r="V607" t="str">
        <f t="shared" si="9"/>
        <v>1100</v>
      </c>
      <c r="W607" t="str">
        <f>VLOOKUP(K607,[1]Info!A$1:B$21,2,0)</f>
        <v>Carboval</v>
      </c>
      <c r="X607" t="str">
        <f>IF(M607="109595132","Material de Limpeza-Não Avaliar",IF(AND(K607="F20",M607&lt;&gt;109595132),IF(RIGHT(F607,2)="70","Infraestrutura de Planta","Prédios e Instalações"),IF(K607="FPC",VLOOKUP(F607,[1]Info!$E$2:$F$11,2,0),IF(K607="FGP",VLOOKUP(F607,[1]Info!$E$9:$F$10,2,0),IF(K607="F10",VLOOKUP(F607,[1]Info!$E$2:$F$3,2,0),VLOOKUP(K607,[1]Info!$A$1:$B$21,2,0))))))</f>
        <v>Carboval Canabrava</v>
      </c>
    </row>
    <row r="608" spans="1:24" x14ac:dyDescent="0.35">
      <c r="A608" t="s">
        <v>41</v>
      </c>
      <c r="B608" t="s">
        <v>1</v>
      </c>
      <c r="C608" t="s">
        <v>70</v>
      </c>
      <c r="D608" t="s">
        <v>100</v>
      </c>
      <c r="E608" t="s">
        <v>65</v>
      </c>
      <c r="F608">
        <v>7090170</v>
      </c>
      <c r="G608" t="s">
        <v>1</v>
      </c>
      <c r="H608" t="s">
        <v>43</v>
      </c>
      <c r="I608" t="s">
        <v>44</v>
      </c>
      <c r="J608" t="s">
        <v>72</v>
      </c>
      <c r="K608" t="s">
        <v>0</v>
      </c>
      <c r="L608" t="s">
        <v>51</v>
      </c>
      <c r="M608" t="s">
        <v>1639</v>
      </c>
      <c r="N608" t="s">
        <v>1640</v>
      </c>
      <c r="O608" t="s">
        <v>807</v>
      </c>
      <c r="P608" t="s">
        <v>1292</v>
      </c>
      <c r="Q608" t="s">
        <v>46</v>
      </c>
      <c r="R608" t="s">
        <v>47</v>
      </c>
      <c r="S608" t="s">
        <v>46</v>
      </c>
      <c r="T608" t="s">
        <v>46</v>
      </c>
      <c r="U608" s="4">
        <v>8460.32</v>
      </c>
      <c r="V608" t="str">
        <f t="shared" si="9"/>
        <v>1300</v>
      </c>
      <c r="W608" t="str">
        <f>VLOOKUP(K608,[1]Info!A$1:B$21,2,0)</f>
        <v>Carboval</v>
      </c>
      <c r="X608" t="str">
        <f>IF(M608="109595132","Material de Limpeza-Não Avaliar",IF(AND(K608="F20",M608&lt;&gt;109595132),IF(RIGHT(F608,2)="70","Infraestrutura de Planta","Prédios e Instalações"),IF(K608="FPC",VLOOKUP(F608,[1]Info!$E$2:$F$11,2,0),IF(K608="FGP",VLOOKUP(F608,[1]Info!$E$9:$F$10,2,0),IF(K608="F10",VLOOKUP(F608,[1]Info!$E$2:$F$3,2,0),VLOOKUP(K608,[1]Info!$A$1:$B$21,2,0))))))</f>
        <v>Carboval Canabrava</v>
      </c>
    </row>
    <row r="609" spans="1:24" x14ac:dyDescent="0.35">
      <c r="A609" t="s">
        <v>41</v>
      </c>
      <c r="B609" t="s">
        <v>1</v>
      </c>
      <c r="C609" t="s">
        <v>70</v>
      </c>
      <c r="D609" t="s">
        <v>100</v>
      </c>
      <c r="E609" t="s">
        <v>65</v>
      </c>
      <c r="F609">
        <v>7090170</v>
      </c>
      <c r="G609" t="s">
        <v>1</v>
      </c>
      <c r="H609" t="s">
        <v>43</v>
      </c>
      <c r="I609" t="s">
        <v>44</v>
      </c>
      <c r="J609" t="s">
        <v>72</v>
      </c>
      <c r="K609" t="s">
        <v>0</v>
      </c>
      <c r="L609" t="s">
        <v>51</v>
      </c>
      <c r="M609" t="s">
        <v>1641</v>
      </c>
      <c r="N609" t="s">
        <v>1642</v>
      </c>
      <c r="O609" t="s">
        <v>783</v>
      </c>
      <c r="P609" t="s">
        <v>1292</v>
      </c>
      <c r="Q609" t="s">
        <v>46</v>
      </c>
      <c r="R609" t="s">
        <v>47</v>
      </c>
      <c r="S609" t="s">
        <v>46</v>
      </c>
      <c r="T609" t="s">
        <v>46</v>
      </c>
      <c r="U609" s="4">
        <v>11054.03</v>
      </c>
      <c r="V609" t="str">
        <f t="shared" si="9"/>
        <v>1100</v>
      </c>
      <c r="W609" t="str">
        <f>VLOOKUP(K609,[1]Info!A$1:B$21,2,0)</f>
        <v>Carboval</v>
      </c>
      <c r="X609" t="str">
        <f>IF(M609="109595132","Material de Limpeza-Não Avaliar",IF(AND(K609="F20",M609&lt;&gt;109595132),IF(RIGHT(F609,2)="70","Infraestrutura de Planta","Prédios e Instalações"),IF(K609="FPC",VLOOKUP(F609,[1]Info!$E$2:$F$11,2,0),IF(K609="FGP",VLOOKUP(F609,[1]Info!$E$9:$F$10,2,0),IF(K609="F10",VLOOKUP(F609,[1]Info!$E$2:$F$3,2,0),VLOOKUP(K609,[1]Info!$A$1:$B$21,2,0))))))</f>
        <v>Carboval Canabrava</v>
      </c>
    </row>
    <row r="610" spans="1:24" x14ac:dyDescent="0.35">
      <c r="A610" t="s">
        <v>41</v>
      </c>
      <c r="B610" t="s">
        <v>1</v>
      </c>
      <c r="C610" t="s">
        <v>70</v>
      </c>
      <c r="D610" t="s">
        <v>100</v>
      </c>
      <c r="E610" t="s">
        <v>65</v>
      </c>
      <c r="F610">
        <v>7090170</v>
      </c>
      <c r="G610" t="s">
        <v>1</v>
      </c>
      <c r="H610" t="s">
        <v>43</v>
      </c>
      <c r="I610" t="s">
        <v>44</v>
      </c>
      <c r="J610" t="s">
        <v>72</v>
      </c>
      <c r="K610" t="s">
        <v>0</v>
      </c>
      <c r="L610" t="s">
        <v>51</v>
      </c>
      <c r="M610" t="s">
        <v>1643</v>
      </c>
      <c r="N610" t="s">
        <v>1644</v>
      </c>
      <c r="O610" t="s">
        <v>1550</v>
      </c>
      <c r="P610" t="s">
        <v>1292</v>
      </c>
      <c r="Q610" t="s">
        <v>46</v>
      </c>
      <c r="R610" t="s">
        <v>47</v>
      </c>
      <c r="S610" t="s">
        <v>46</v>
      </c>
      <c r="T610" t="s">
        <v>46</v>
      </c>
      <c r="U610" s="4">
        <v>4680.2299999999996</v>
      </c>
      <c r="V610" t="str">
        <f t="shared" si="9"/>
        <v>-100</v>
      </c>
      <c r="W610" t="str">
        <f>VLOOKUP(K610,[1]Info!A$1:B$21,2,0)</f>
        <v>Carboval</v>
      </c>
      <c r="X610" t="str">
        <f>IF(M610="109595132","Material de Limpeza-Não Avaliar",IF(AND(K610="F20",M610&lt;&gt;109595132),IF(RIGHT(F610,2)="70","Infraestrutura de Planta","Prédios e Instalações"),IF(K610="FPC",VLOOKUP(F610,[1]Info!$E$2:$F$11,2,0),IF(K610="FGP",VLOOKUP(F610,[1]Info!$E$9:$F$10,2,0),IF(K610="F10",VLOOKUP(F610,[1]Info!$E$2:$F$3,2,0),VLOOKUP(K610,[1]Info!$A$1:$B$21,2,0))))))</f>
        <v>Carboval Canabrava</v>
      </c>
    </row>
    <row r="611" spans="1:24" x14ac:dyDescent="0.35">
      <c r="A611" t="s">
        <v>41</v>
      </c>
      <c r="B611" t="s">
        <v>1</v>
      </c>
      <c r="C611" t="s">
        <v>70</v>
      </c>
      <c r="D611" t="s">
        <v>100</v>
      </c>
      <c r="E611" t="s">
        <v>65</v>
      </c>
      <c r="F611">
        <v>7090170</v>
      </c>
      <c r="G611" t="s">
        <v>1</v>
      </c>
      <c r="H611" t="s">
        <v>43</v>
      </c>
      <c r="I611" t="s">
        <v>44</v>
      </c>
      <c r="J611" t="s">
        <v>72</v>
      </c>
      <c r="K611" t="s">
        <v>0</v>
      </c>
      <c r="L611" t="s">
        <v>51</v>
      </c>
      <c r="M611" t="s">
        <v>816</v>
      </c>
      <c r="N611" t="s">
        <v>817</v>
      </c>
      <c r="O611" t="s">
        <v>818</v>
      </c>
      <c r="P611" t="s">
        <v>1292</v>
      </c>
      <c r="Q611" t="s">
        <v>46</v>
      </c>
      <c r="R611" t="s">
        <v>47</v>
      </c>
      <c r="S611" t="s">
        <v>46</v>
      </c>
      <c r="T611" t="s">
        <v>46</v>
      </c>
      <c r="U611" s="4">
        <v>2511.4899999999998</v>
      </c>
      <c r="V611" t="str">
        <f t="shared" si="9"/>
        <v>-120</v>
      </c>
      <c r="W611" t="str">
        <f>VLOOKUP(K611,[1]Info!A$1:B$21,2,0)</f>
        <v>Carboval</v>
      </c>
      <c r="X611" t="str">
        <f>IF(M611="109595132","Material de Limpeza-Não Avaliar",IF(AND(K611="F20",M611&lt;&gt;109595132),IF(RIGHT(F611,2)="70","Infraestrutura de Planta","Prédios e Instalações"),IF(K611="FPC",VLOOKUP(F611,[1]Info!$E$2:$F$11,2,0),IF(K611="FGP",VLOOKUP(F611,[1]Info!$E$9:$F$10,2,0),IF(K611="F10",VLOOKUP(F611,[1]Info!$E$2:$F$3,2,0),VLOOKUP(K611,[1]Info!$A$1:$B$21,2,0))))))</f>
        <v>Carboval Canabrava</v>
      </c>
    </row>
    <row r="612" spans="1:24" x14ac:dyDescent="0.35">
      <c r="A612" t="s">
        <v>41</v>
      </c>
      <c r="B612" t="s">
        <v>1</v>
      </c>
      <c r="C612" t="s">
        <v>70</v>
      </c>
      <c r="D612" t="s">
        <v>100</v>
      </c>
      <c r="E612" t="s">
        <v>65</v>
      </c>
      <c r="F612">
        <v>7090170</v>
      </c>
      <c r="G612" t="s">
        <v>1</v>
      </c>
      <c r="H612" t="s">
        <v>43</v>
      </c>
      <c r="I612" t="s">
        <v>44</v>
      </c>
      <c r="J612" t="s">
        <v>72</v>
      </c>
      <c r="K612" t="s">
        <v>0</v>
      </c>
      <c r="L612" t="s">
        <v>51</v>
      </c>
      <c r="M612" t="s">
        <v>821</v>
      </c>
      <c r="N612" t="s">
        <v>822</v>
      </c>
      <c r="O612" t="s">
        <v>212</v>
      </c>
      <c r="P612" t="s">
        <v>1292</v>
      </c>
      <c r="Q612" t="s">
        <v>46</v>
      </c>
      <c r="R612" t="s">
        <v>47</v>
      </c>
      <c r="S612" t="s">
        <v>46</v>
      </c>
      <c r="T612" t="s">
        <v>46</v>
      </c>
      <c r="U612" s="4">
        <v>6416.47</v>
      </c>
      <c r="V612" t="str">
        <f t="shared" si="9"/>
        <v>-100</v>
      </c>
      <c r="W612" t="str">
        <f>VLOOKUP(K612,[1]Info!A$1:B$21,2,0)</f>
        <v>Carboval</v>
      </c>
      <c r="X612" t="str">
        <f>IF(M612="109595132","Material de Limpeza-Não Avaliar",IF(AND(K612="F20",M612&lt;&gt;109595132),IF(RIGHT(F612,2)="70","Infraestrutura de Planta","Prédios e Instalações"),IF(K612="FPC",VLOOKUP(F612,[1]Info!$E$2:$F$11,2,0),IF(K612="FGP",VLOOKUP(F612,[1]Info!$E$9:$F$10,2,0),IF(K612="F10",VLOOKUP(F612,[1]Info!$E$2:$F$3,2,0),VLOOKUP(K612,[1]Info!$A$1:$B$21,2,0))))))</f>
        <v>Carboval Canabrava</v>
      </c>
    </row>
    <row r="613" spans="1:24" x14ac:dyDescent="0.35">
      <c r="A613" t="s">
        <v>41</v>
      </c>
      <c r="B613" t="s">
        <v>1</v>
      </c>
      <c r="C613" t="s">
        <v>70</v>
      </c>
      <c r="D613" t="s">
        <v>100</v>
      </c>
      <c r="E613" t="s">
        <v>65</v>
      </c>
      <c r="F613">
        <v>7090170</v>
      </c>
      <c r="G613" t="s">
        <v>1</v>
      </c>
      <c r="H613" t="s">
        <v>43</v>
      </c>
      <c r="I613" t="s">
        <v>44</v>
      </c>
      <c r="J613" t="s">
        <v>72</v>
      </c>
      <c r="K613" t="s">
        <v>0</v>
      </c>
      <c r="L613" t="s">
        <v>51</v>
      </c>
      <c r="M613" t="s">
        <v>1645</v>
      </c>
      <c r="N613" t="s">
        <v>1646</v>
      </c>
      <c r="O613" t="s">
        <v>1551</v>
      </c>
      <c r="P613" t="s">
        <v>1292</v>
      </c>
      <c r="Q613" t="s">
        <v>46</v>
      </c>
      <c r="R613" t="s">
        <v>47</v>
      </c>
      <c r="S613" t="s">
        <v>46</v>
      </c>
      <c r="T613" t="s">
        <v>46</v>
      </c>
      <c r="U613" s="4">
        <v>3716.11</v>
      </c>
      <c r="V613" t="str">
        <f t="shared" si="9"/>
        <v>-300</v>
      </c>
      <c r="W613" t="str">
        <f>VLOOKUP(K613,[1]Info!A$1:B$21,2,0)</f>
        <v>Carboval</v>
      </c>
      <c r="X613" t="str">
        <f>IF(M613="109595132","Material de Limpeza-Não Avaliar",IF(AND(K613="F20",M613&lt;&gt;109595132),IF(RIGHT(F613,2)="70","Infraestrutura de Planta","Prédios e Instalações"),IF(K613="FPC",VLOOKUP(F613,[1]Info!$E$2:$F$11,2,0),IF(K613="FGP",VLOOKUP(F613,[1]Info!$E$9:$F$10,2,0),IF(K613="F10",VLOOKUP(F613,[1]Info!$E$2:$F$3,2,0),VLOOKUP(K613,[1]Info!$A$1:$B$21,2,0))))))</f>
        <v>Carboval Canabrava</v>
      </c>
    </row>
    <row r="614" spans="1:24" x14ac:dyDescent="0.35">
      <c r="A614" t="s">
        <v>41</v>
      </c>
      <c r="B614" t="s">
        <v>1</v>
      </c>
      <c r="C614" t="s">
        <v>70</v>
      </c>
      <c r="D614" t="s">
        <v>100</v>
      </c>
      <c r="E614" t="s">
        <v>65</v>
      </c>
      <c r="F614">
        <v>7090170</v>
      </c>
      <c r="G614" t="s">
        <v>1</v>
      </c>
      <c r="H614" t="s">
        <v>43</v>
      </c>
      <c r="I614" t="s">
        <v>44</v>
      </c>
      <c r="J614" t="s">
        <v>72</v>
      </c>
      <c r="K614" t="s">
        <v>0</v>
      </c>
      <c r="L614" t="s">
        <v>51</v>
      </c>
      <c r="M614" t="s">
        <v>1647</v>
      </c>
      <c r="N614" t="s">
        <v>1648</v>
      </c>
      <c r="O614" t="s">
        <v>783</v>
      </c>
      <c r="P614" t="s">
        <v>1292</v>
      </c>
      <c r="Q614" t="s">
        <v>46</v>
      </c>
      <c r="R614" t="s">
        <v>47</v>
      </c>
      <c r="S614" t="s">
        <v>46</v>
      </c>
      <c r="T614" t="s">
        <v>46</v>
      </c>
      <c r="U614" s="4">
        <v>5435.93</v>
      </c>
      <c r="V614" t="str">
        <f t="shared" si="9"/>
        <v>1100</v>
      </c>
      <c r="W614" t="str">
        <f>VLOOKUP(K614,[1]Info!A$1:B$21,2,0)</f>
        <v>Carboval</v>
      </c>
      <c r="X614" t="str">
        <f>IF(M614="109595132","Material de Limpeza-Não Avaliar",IF(AND(K614="F20",M614&lt;&gt;109595132),IF(RIGHT(F614,2)="70","Infraestrutura de Planta","Prédios e Instalações"),IF(K614="FPC",VLOOKUP(F614,[1]Info!$E$2:$F$11,2,0),IF(K614="FGP",VLOOKUP(F614,[1]Info!$E$9:$F$10,2,0),IF(K614="F10",VLOOKUP(F614,[1]Info!$E$2:$F$3,2,0),VLOOKUP(K614,[1]Info!$A$1:$B$21,2,0))))))</f>
        <v>Carboval Canabrava</v>
      </c>
    </row>
    <row r="615" spans="1:24" x14ac:dyDescent="0.35">
      <c r="A615" t="s">
        <v>41</v>
      </c>
      <c r="B615" t="s">
        <v>1</v>
      </c>
      <c r="C615" t="s">
        <v>70</v>
      </c>
      <c r="D615" t="s">
        <v>100</v>
      </c>
      <c r="E615" t="s">
        <v>65</v>
      </c>
      <c r="F615">
        <v>7090170</v>
      </c>
      <c r="G615" t="s">
        <v>1</v>
      </c>
      <c r="H615" t="s">
        <v>43</v>
      </c>
      <c r="I615" t="s">
        <v>44</v>
      </c>
      <c r="J615" t="s">
        <v>72</v>
      </c>
      <c r="K615" t="s">
        <v>0</v>
      </c>
      <c r="L615" t="s">
        <v>51</v>
      </c>
      <c r="M615" t="s">
        <v>1649</v>
      </c>
      <c r="N615" t="s">
        <v>830</v>
      </c>
      <c r="O615" t="s">
        <v>211</v>
      </c>
      <c r="P615" t="s">
        <v>1292</v>
      </c>
      <c r="Q615" t="s">
        <v>46</v>
      </c>
      <c r="R615" t="s">
        <v>47</v>
      </c>
      <c r="S615" t="s">
        <v>46</v>
      </c>
      <c r="T615" t="s">
        <v>46</v>
      </c>
      <c r="U615" s="4">
        <v>2512.5700000000002</v>
      </c>
      <c r="V615" t="str">
        <f t="shared" si="9"/>
        <v>0300</v>
      </c>
      <c r="W615" t="str">
        <f>VLOOKUP(K615,[1]Info!A$1:B$21,2,0)</f>
        <v>Carboval</v>
      </c>
      <c r="X615" t="str">
        <f>IF(M615="109595132","Material de Limpeza-Não Avaliar",IF(AND(K615="F20",M615&lt;&gt;109595132),IF(RIGHT(F615,2)="70","Infraestrutura de Planta","Prédios e Instalações"),IF(K615="FPC",VLOOKUP(F615,[1]Info!$E$2:$F$11,2,0),IF(K615="FGP",VLOOKUP(F615,[1]Info!$E$9:$F$10,2,0),IF(K615="F10",VLOOKUP(F615,[1]Info!$E$2:$F$3,2,0),VLOOKUP(K615,[1]Info!$A$1:$B$21,2,0))))))</f>
        <v>Carboval Canabrava</v>
      </c>
    </row>
    <row r="616" spans="1:24" x14ac:dyDescent="0.35">
      <c r="A616" t="s">
        <v>41</v>
      </c>
      <c r="B616" t="s">
        <v>1</v>
      </c>
      <c r="C616" t="s">
        <v>70</v>
      </c>
      <c r="D616" t="s">
        <v>100</v>
      </c>
      <c r="E616" t="s">
        <v>65</v>
      </c>
      <c r="F616">
        <v>7090170</v>
      </c>
      <c r="G616" t="s">
        <v>1</v>
      </c>
      <c r="H616" t="s">
        <v>43</v>
      </c>
      <c r="I616" t="s">
        <v>44</v>
      </c>
      <c r="J616" t="s">
        <v>72</v>
      </c>
      <c r="K616" t="s">
        <v>0</v>
      </c>
      <c r="L616" t="s">
        <v>51</v>
      </c>
      <c r="M616" t="s">
        <v>1650</v>
      </c>
      <c r="N616" t="s">
        <v>1651</v>
      </c>
      <c r="O616" t="s">
        <v>1553</v>
      </c>
      <c r="P616" t="s">
        <v>1292</v>
      </c>
      <c r="Q616" t="s">
        <v>46</v>
      </c>
      <c r="R616" t="s">
        <v>47</v>
      </c>
      <c r="S616" t="s">
        <v>46</v>
      </c>
      <c r="T616" t="s">
        <v>46</v>
      </c>
      <c r="U616" s="4">
        <v>2477.44</v>
      </c>
      <c r="V616" t="str">
        <f t="shared" si="9"/>
        <v>SI01</v>
      </c>
      <c r="W616" t="str">
        <f>VLOOKUP(K616,[1]Info!A$1:B$21,2,0)</f>
        <v>Carboval</v>
      </c>
      <c r="X616" t="str">
        <f>IF(M616="109595132","Material de Limpeza-Não Avaliar",IF(AND(K616="F20",M616&lt;&gt;109595132),IF(RIGHT(F616,2)="70","Infraestrutura de Planta","Prédios e Instalações"),IF(K616="FPC",VLOOKUP(F616,[1]Info!$E$2:$F$11,2,0),IF(K616="FGP",VLOOKUP(F616,[1]Info!$E$9:$F$10,2,0),IF(K616="F10",VLOOKUP(F616,[1]Info!$E$2:$F$3,2,0),VLOOKUP(K616,[1]Info!$A$1:$B$21,2,0))))))</f>
        <v>Carboval Canabrava</v>
      </c>
    </row>
    <row r="617" spans="1:24" x14ac:dyDescent="0.35">
      <c r="A617" t="s">
        <v>41</v>
      </c>
      <c r="B617" t="s">
        <v>1</v>
      </c>
      <c r="C617" t="s">
        <v>70</v>
      </c>
      <c r="D617" t="s">
        <v>100</v>
      </c>
      <c r="E617" t="s">
        <v>65</v>
      </c>
      <c r="F617">
        <v>7090170</v>
      </c>
      <c r="G617" t="s">
        <v>1</v>
      </c>
      <c r="H617" t="s">
        <v>43</v>
      </c>
      <c r="I617" t="s">
        <v>44</v>
      </c>
      <c r="J617" t="s">
        <v>72</v>
      </c>
      <c r="K617" t="s">
        <v>0</v>
      </c>
      <c r="L617" t="s">
        <v>51</v>
      </c>
      <c r="M617" t="s">
        <v>1652</v>
      </c>
      <c r="N617" t="s">
        <v>834</v>
      </c>
      <c r="O617" t="s">
        <v>740</v>
      </c>
      <c r="P617" t="s">
        <v>1292</v>
      </c>
      <c r="Q617" t="s">
        <v>46</v>
      </c>
      <c r="R617" t="s">
        <v>47</v>
      </c>
      <c r="S617" t="s">
        <v>46</v>
      </c>
      <c r="T617" t="s">
        <v>46</v>
      </c>
      <c r="U617" s="4">
        <v>13555.51</v>
      </c>
      <c r="V617" t="str">
        <f t="shared" si="9"/>
        <v>-100</v>
      </c>
      <c r="W617" t="str">
        <f>VLOOKUP(K617,[1]Info!A$1:B$21,2,0)</f>
        <v>Carboval</v>
      </c>
      <c r="X617" t="str">
        <f>IF(M617="109595132","Material de Limpeza-Não Avaliar",IF(AND(K617="F20",M617&lt;&gt;109595132),IF(RIGHT(F617,2)="70","Infraestrutura de Planta","Prédios e Instalações"),IF(K617="FPC",VLOOKUP(F617,[1]Info!$E$2:$F$11,2,0),IF(K617="FGP",VLOOKUP(F617,[1]Info!$E$9:$F$10,2,0),IF(K617="F10",VLOOKUP(F617,[1]Info!$E$2:$F$3,2,0),VLOOKUP(K617,[1]Info!$A$1:$B$21,2,0))))))</f>
        <v>Carboval Canabrava</v>
      </c>
    </row>
    <row r="618" spans="1:24" x14ac:dyDescent="0.35">
      <c r="A618" t="s">
        <v>41</v>
      </c>
      <c r="B618" t="s">
        <v>1</v>
      </c>
      <c r="C618" t="s">
        <v>70</v>
      </c>
      <c r="D618" t="s">
        <v>100</v>
      </c>
      <c r="E618" t="s">
        <v>65</v>
      </c>
      <c r="F618">
        <v>7090170</v>
      </c>
      <c r="G618" t="s">
        <v>1</v>
      </c>
      <c r="H618" t="s">
        <v>43</v>
      </c>
      <c r="I618" t="s">
        <v>44</v>
      </c>
      <c r="J618" t="s">
        <v>72</v>
      </c>
      <c r="K618" t="s">
        <v>0</v>
      </c>
      <c r="L618" t="s">
        <v>51</v>
      </c>
      <c r="M618" t="s">
        <v>1653</v>
      </c>
      <c r="N618" t="s">
        <v>1654</v>
      </c>
      <c r="O618" t="s">
        <v>740</v>
      </c>
      <c r="P618" t="s">
        <v>1292</v>
      </c>
      <c r="Q618" t="s">
        <v>46</v>
      </c>
      <c r="R618" t="s">
        <v>47</v>
      </c>
      <c r="S618" t="s">
        <v>46</v>
      </c>
      <c r="T618" t="s">
        <v>46</v>
      </c>
      <c r="U618" s="4">
        <v>71126.42</v>
      </c>
      <c r="V618" t="str">
        <f t="shared" si="9"/>
        <v>-100</v>
      </c>
      <c r="W618" t="str">
        <f>VLOOKUP(K618,[1]Info!A$1:B$21,2,0)</f>
        <v>Carboval</v>
      </c>
      <c r="X618" t="str">
        <f>IF(M618="109595132","Material de Limpeza-Não Avaliar",IF(AND(K618="F20",M618&lt;&gt;109595132),IF(RIGHT(F618,2)="70","Infraestrutura de Planta","Prédios e Instalações"),IF(K618="FPC",VLOOKUP(F618,[1]Info!$E$2:$F$11,2,0),IF(K618="FGP",VLOOKUP(F618,[1]Info!$E$9:$F$10,2,0),IF(K618="F10",VLOOKUP(F618,[1]Info!$E$2:$F$3,2,0),VLOOKUP(K618,[1]Info!$A$1:$B$21,2,0))))))</f>
        <v>Carboval Canabrava</v>
      </c>
    </row>
    <row r="619" spans="1:24" x14ac:dyDescent="0.35">
      <c r="A619" t="s">
        <v>41</v>
      </c>
      <c r="B619" t="s">
        <v>1</v>
      </c>
      <c r="C619" t="s">
        <v>70</v>
      </c>
      <c r="D619" t="s">
        <v>100</v>
      </c>
      <c r="E619" t="s">
        <v>65</v>
      </c>
      <c r="F619">
        <v>7090170</v>
      </c>
      <c r="G619" t="s">
        <v>1</v>
      </c>
      <c r="H619" t="s">
        <v>43</v>
      </c>
      <c r="I619" t="s">
        <v>44</v>
      </c>
      <c r="J619" t="s">
        <v>72</v>
      </c>
      <c r="K619" t="s">
        <v>0</v>
      </c>
      <c r="L619" t="s">
        <v>51</v>
      </c>
      <c r="M619" t="s">
        <v>1655</v>
      </c>
      <c r="N619" t="s">
        <v>1656</v>
      </c>
      <c r="O619" t="s">
        <v>1552</v>
      </c>
      <c r="P619" t="s">
        <v>1292</v>
      </c>
      <c r="Q619" t="s">
        <v>46</v>
      </c>
      <c r="R619" t="s">
        <v>47</v>
      </c>
      <c r="S619" t="s">
        <v>46</v>
      </c>
      <c r="T619" t="s">
        <v>46</v>
      </c>
      <c r="U619" s="4">
        <v>17858.599999999999</v>
      </c>
      <c r="V619" t="str">
        <f t="shared" si="9"/>
        <v>0100</v>
      </c>
      <c r="W619" t="str">
        <f>VLOOKUP(K619,[1]Info!A$1:B$21,2,0)</f>
        <v>Carboval</v>
      </c>
      <c r="X619" t="str">
        <f>IF(M619="109595132","Material de Limpeza-Não Avaliar",IF(AND(K619="F20",M619&lt;&gt;109595132),IF(RIGHT(F619,2)="70","Infraestrutura de Planta","Prédios e Instalações"),IF(K619="FPC",VLOOKUP(F619,[1]Info!$E$2:$F$11,2,0),IF(K619="FGP",VLOOKUP(F619,[1]Info!$E$9:$F$10,2,0),IF(K619="F10",VLOOKUP(F619,[1]Info!$E$2:$F$3,2,0),VLOOKUP(K619,[1]Info!$A$1:$B$21,2,0))))))</f>
        <v>Carboval Canabrava</v>
      </c>
    </row>
    <row r="620" spans="1:24" x14ac:dyDescent="0.35">
      <c r="A620" t="s">
        <v>41</v>
      </c>
      <c r="B620" t="s">
        <v>1</v>
      </c>
      <c r="C620" t="s">
        <v>70</v>
      </c>
      <c r="D620" t="s">
        <v>100</v>
      </c>
      <c r="E620" t="s">
        <v>65</v>
      </c>
      <c r="F620">
        <v>7090170</v>
      </c>
      <c r="G620" t="s">
        <v>1</v>
      </c>
      <c r="H620" t="s">
        <v>43</v>
      </c>
      <c r="I620" t="s">
        <v>44</v>
      </c>
      <c r="J620" t="s">
        <v>72</v>
      </c>
      <c r="K620" t="s">
        <v>0</v>
      </c>
      <c r="L620" t="s">
        <v>51</v>
      </c>
      <c r="M620" t="s">
        <v>1657</v>
      </c>
      <c r="N620" t="s">
        <v>830</v>
      </c>
      <c r="O620" t="s">
        <v>783</v>
      </c>
      <c r="P620" t="s">
        <v>1292</v>
      </c>
      <c r="Q620" t="s">
        <v>46</v>
      </c>
      <c r="R620" t="s">
        <v>47</v>
      </c>
      <c r="S620" t="s">
        <v>46</v>
      </c>
      <c r="T620" t="s">
        <v>46</v>
      </c>
      <c r="U620" s="4">
        <v>3716.25</v>
      </c>
      <c r="V620" t="str">
        <f t="shared" si="9"/>
        <v>1100</v>
      </c>
      <c r="W620" t="str">
        <f>VLOOKUP(K620,[1]Info!A$1:B$21,2,0)</f>
        <v>Carboval</v>
      </c>
      <c r="X620" t="str">
        <f>IF(M620="109595132","Material de Limpeza-Não Avaliar",IF(AND(K620="F20",M620&lt;&gt;109595132),IF(RIGHT(F620,2)="70","Infraestrutura de Planta","Prédios e Instalações"),IF(K620="FPC",VLOOKUP(F620,[1]Info!$E$2:$F$11,2,0),IF(K620="FGP",VLOOKUP(F620,[1]Info!$E$9:$F$10,2,0),IF(K620="F10",VLOOKUP(F620,[1]Info!$E$2:$F$3,2,0),VLOOKUP(K620,[1]Info!$A$1:$B$21,2,0))))))</f>
        <v>Carboval Canabrava</v>
      </c>
    </row>
    <row r="621" spans="1:24" x14ac:dyDescent="0.35">
      <c r="A621" t="s">
        <v>41</v>
      </c>
      <c r="B621" t="s">
        <v>1</v>
      </c>
      <c r="C621" t="s">
        <v>70</v>
      </c>
      <c r="D621" t="s">
        <v>100</v>
      </c>
      <c r="E621" t="s">
        <v>65</v>
      </c>
      <c r="F621">
        <v>7090170</v>
      </c>
      <c r="G621" t="s">
        <v>1</v>
      </c>
      <c r="H621" t="s">
        <v>43</v>
      </c>
      <c r="I621" t="s">
        <v>44</v>
      </c>
      <c r="J621" t="s">
        <v>72</v>
      </c>
      <c r="K621" t="s">
        <v>0</v>
      </c>
      <c r="L621" t="s">
        <v>51</v>
      </c>
      <c r="M621" t="s">
        <v>1658</v>
      </c>
      <c r="N621" t="s">
        <v>1659</v>
      </c>
      <c r="O621" t="s">
        <v>807</v>
      </c>
      <c r="P621" t="s">
        <v>1292</v>
      </c>
      <c r="Q621" t="s">
        <v>46</v>
      </c>
      <c r="R621" t="s">
        <v>47</v>
      </c>
      <c r="S621" t="s">
        <v>46</v>
      </c>
      <c r="T621" t="s">
        <v>46</v>
      </c>
      <c r="U621" s="4">
        <v>412.9</v>
      </c>
      <c r="V621" t="str">
        <f t="shared" si="9"/>
        <v>1300</v>
      </c>
      <c r="W621" t="str">
        <f>VLOOKUP(K621,[1]Info!A$1:B$21,2,0)</f>
        <v>Carboval</v>
      </c>
      <c r="X621" t="str">
        <f>IF(M621="109595132","Material de Limpeza-Não Avaliar",IF(AND(K621="F20",M621&lt;&gt;109595132),IF(RIGHT(F621,2)="70","Infraestrutura de Planta","Prédios e Instalações"),IF(K621="FPC",VLOOKUP(F621,[1]Info!$E$2:$F$11,2,0),IF(K621="FGP",VLOOKUP(F621,[1]Info!$E$9:$F$10,2,0),IF(K621="F10",VLOOKUP(F621,[1]Info!$E$2:$F$3,2,0),VLOOKUP(K621,[1]Info!$A$1:$B$21,2,0))))))</f>
        <v>Carboval Canabrava</v>
      </c>
    </row>
    <row r="622" spans="1:24" x14ac:dyDescent="0.35">
      <c r="A622" t="s">
        <v>41</v>
      </c>
      <c r="B622" t="s">
        <v>1</v>
      </c>
      <c r="C622" t="s">
        <v>70</v>
      </c>
      <c r="D622" t="s">
        <v>100</v>
      </c>
      <c r="E622" t="s">
        <v>65</v>
      </c>
      <c r="F622">
        <v>7090170</v>
      </c>
      <c r="G622" t="s">
        <v>1</v>
      </c>
      <c r="H622" t="s">
        <v>43</v>
      </c>
      <c r="I622" t="s">
        <v>44</v>
      </c>
      <c r="J622" t="s">
        <v>72</v>
      </c>
      <c r="K622" t="s">
        <v>0</v>
      </c>
      <c r="L622" t="s">
        <v>51</v>
      </c>
      <c r="M622" t="s">
        <v>825</v>
      </c>
      <c r="N622" t="s">
        <v>826</v>
      </c>
      <c r="O622" t="s">
        <v>715</v>
      </c>
      <c r="P622" t="s">
        <v>1292</v>
      </c>
      <c r="Q622" t="s">
        <v>46</v>
      </c>
      <c r="R622" t="s">
        <v>47</v>
      </c>
      <c r="S622" t="s">
        <v>46</v>
      </c>
      <c r="T622" t="s">
        <v>46</v>
      </c>
      <c r="U622" s="4">
        <v>7225.75</v>
      </c>
      <c r="V622" t="str">
        <f t="shared" si="9"/>
        <v>0800</v>
      </c>
      <c r="W622" t="str">
        <f>VLOOKUP(K622,[1]Info!A$1:B$21,2,0)</f>
        <v>Carboval</v>
      </c>
      <c r="X622" t="str">
        <f>IF(M622="109595132","Material de Limpeza-Não Avaliar",IF(AND(K622="F20",M622&lt;&gt;109595132),IF(RIGHT(F622,2)="70","Infraestrutura de Planta","Prédios e Instalações"),IF(K622="FPC",VLOOKUP(F622,[1]Info!$E$2:$F$11,2,0),IF(K622="FGP",VLOOKUP(F622,[1]Info!$E$9:$F$10,2,0),IF(K622="F10",VLOOKUP(F622,[1]Info!$E$2:$F$3,2,0),VLOOKUP(K622,[1]Info!$A$1:$B$21,2,0))))))</f>
        <v>Carboval Canabrava</v>
      </c>
    </row>
    <row r="623" spans="1:24" x14ac:dyDescent="0.35">
      <c r="A623" t="s">
        <v>41</v>
      </c>
      <c r="B623" t="s">
        <v>1</v>
      </c>
      <c r="C623" t="s">
        <v>70</v>
      </c>
      <c r="D623" t="s">
        <v>100</v>
      </c>
      <c r="E623" t="s">
        <v>65</v>
      </c>
      <c r="F623">
        <v>7090170</v>
      </c>
      <c r="G623" t="s">
        <v>1</v>
      </c>
      <c r="H623" t="s">
        <v>43</v>
      </c>
      <c r="I623" t="s">
        <v>44</v>
      </c>
      <c r="J623" t="s">
        <v>72</v>
      </c>
      <c r="K623" t="s">
        <v>0</v>
      </c>
      <c r="L623" t="s">
        <v>51</v>
      </c>
      <c r="M623" t="s">
        <v>1660</v>
      </c>
      <c r="N623" t="s">
        <v>222</v>
      </c>
      <c r="O623" t="s">
        <v>214</v>
      </c>
      <c r="P623" t="s">
        <v>1292</v>
      </c>
      <c r="Q623" t="s">
        <v>46</v>
      </c>
      <c r="R623" t="s">
        <v>47</v>
      </c>
      <c r="S623" t="s">
        <v>46</v>
      </c>
      <c r="T623" t="s">
        <v>46</v>
      </c>
      <c r="U623" s="4">
        <v>2580.66</v>
      </c>
      <c r="V623" t="str">
        <f t="shared" si="9"/>
        <v>WD01</v>
      </c>
      <c r="W623" t="str">
        <f>VLOOKUP(K623,[1]Info!A$1:B$21,2,0)</f>
        <v>Carboval</v>
      </c>
      <c r="X623" t="str">
        <f>IF(M623="109595132","Material de Limpeza-Não Avaliar",IF(AND(K623="F20",M623&lt;&gt;109595132),IF(RIGHT(F623,2)="70","Infraestrutura de Planta","Prédios e Instalações"),IF(K623="FPC",VLOOKUP(F623,[1]Info!$E$2:$F$11,2,0),IF(K623="FGP",VLOOKUP(F623,[1]Info!$E$9:$F$10,2,0),IF(K623="F10",VLOOKUP(F623,[1]Info!$E$2:$F$3,2,0),VLOOKUP(K623,[1]Info!$A$1:$B$21,2,0))))))</f>
        <v>Carboval Canabrava</v>
      </c>
    </row>
    <row r="624" spans="1:24" x14ac:dyDescent="0.35">
      <c r="A624" t="s">
        <v>41</v>
      </c>
      <c r="B624" t="s">
        <v>1</v>
      </c>
      <c r="C624" t="s">
        <v>70</v>
      </c>
      <c r="D624" t="s">
        <v>100</v>
      </c>
      <c r="E624" t="s">
        <v>65</v>
      </c>
      <c r="F624">
        <v>7090170</v>
      </c>
      <c r="G624" t="s">
        <v>1</v>
      </c>
      <c r="H624" t="s">
        <v>43</v>
      </c>
      <c r="I624" t="s">
        <v>44</v>
      </c>
      <c r="J624" t="s">
        <v>72</v>
      </c>
      <c r="K624" t="s">
        <v>0</v>
      </c>
      <c r="L624" t="s">
        <v>51</v>
      </c>
      <c r="M624" t="s">
        <v>1661</v>
      </c>
      <c r="N624" t="s">
        <v>771</v>
      </c>
      <c r="O624" t="s">
        <v>211</v>
      </c>
      <c r="P624" t="s">
        <v>1292</v>
      </c>
      <c r="Q624" t="s">
        <v>46</v>
      </c>
      <c r="R624" t="s">
        <v>47</v>
      </c>
      <c r="S624" t="s">
        <v>46</v>
      </c>
      <c r="T624" t="s">
        <v>46</v>
      </c>
      <c r="U624" s="4">
        <v>92002.66</v>
      </c>
      <c r="V624" t="str">
        <f t="shared" si="9"/>
        <v>0300</v>
      </c>
      <c r="W624" t="str">
        <f>VLOOKUP(K624,[1]Info!A$1:B$21,2,0)</f>
        <v>Carboval</v>
      </c>
      <c r="X624" t="str">
        <f>IF(M624="109595132","Material de Limpeza-Não Avaliar",IF(AND(K624="F20",M624&lt;&gt;109595132),IF(RIGHT(F624,2)="70","Infraestrutura de Planta","Prédios e Instalações"),IF(K624="FPC",VLOOKUP(F624,[1]Info!$E$2:$F$11,2,0),IF(K624="FGP",VLOOKUP(F624,[1]Info!$E$9:$F$10,2,0),IF(K624="F10",VLOOKUP(F624,[1]Info!$E$2:$F$3,2,0),VLOOKUP(K624,[1]Info!$A$1:$B$21,2,0))))))</f>
        <v>Carboval Canabrava</v>
      </c>
    </row>
    <row r="625" spans="1:24" x14ac:dyDescent="0.35">
      <c r="A625" t="s">
        <v>41</v>
      </c>
      <c r="B625" t="s">
        <v>1</v>
      </c>
      <c r="C625" t="s">
        <v>70</v>
      </c>
      <c r="D625" t="s">
        <v>100</v>
      </c>
      <c r="E625" t="s">
        <v>65</v>
      </c>
      <c r="F625">
        <v>7090170</v>
      </c>
      <c r="G625" t="s">
        <v>1</v>
      </c>
      <c r="H625" t="s">
        <v>43</v>
      </c>
      <c r="I625" t="s">
        <v>44</v>
      </c>
      <c r="J625" t="s">
        <v>72</v>
      </c>
      <c r="K625" t="s">
        <v>0</v>
      </c>
      <c r="L625" t="s">
        <v>51</v>
      </c>
      <c r="M625" t="s">
        <v>1662</v>
      </c>
      <c r="N625" t="s">
        <v>223</v>
      </c>
      <c r="O625" t="s">
        <v>213</v>
      </c>
      <c r="P625" t="s">
        <v>1292</v>
      </c>
      <c r="Q625" t="s">
        <v>46</v>
      </c>
      <c r="R625" t="s">
        <v>47</v>
      </c>
      <c r="S625" t="s">
        <v>46</v>
      </c>
      <c r="T625" t="s">
        <v>46</v>
      </c>
      <c r="U625" s="4">
        <v>11111.32</v>
      </c>
      <c r="V625" t="str">
        <f t="shared" si="9"/>
        <v>0400</v>
      </c>
      <c r="W625" t="str">
        <f>VLOOKUP(K625,[1]Info!A$1:B$21,2,0)</f>
        <v>Carboval</v>
      </c>
      <c r="X625" t="str">
        <f>IF(M625="109595132","Material de Limpeza-Não Avaliar",IF(AND(K625="F20",M625&lt;&gt;109595132),IF(RIGHT(F625,2)="70","Infraestrutura de Planta","Prédios e Instalações"),IF(K625="FPC",VLOOKUP(F625,[1]Info!$E$2:$F$11,2,0),IF(K625="FGP",VLOOKUP(F625,[1]Info!$E$9:$F$10,2,0),IF(K625="F10",VLOOKUP(F625,[1]Info!$E$2:$F$3,2,0),VLOOKUP(K625,[1]Info!$A$1:$B$21,2,0))))))</f>
        <v>Carboval Canabrava</v>
      </c>
    </row>
    <row r="626" spans="1:24" x14ac:dyDescent="0.35">
      <c r="A626" t="s">
        <v>41</v>
      </c>
      <c r="B626" t="s">
        <v>1</v>
      </c>
      <c r="C626" t="s">
        <v>70</v>
      </c>
      <c r="D626" t="s">
        <v>100</v>
      </c>
      <c r="E626" t="s">
        <v>65</v>
      </c>
      <c r="F626">
        <v>7090170</v>
      </c>
      <c r="G626" t="s">
        <v>1</v>
      </c>
      <c r="H626" t="s">
        <v>43</v>
      </c>
      <c r="I626" t="s">
        <v>44</v>
      </c>
      <c r="J626" t="s">
        <v>72</v>
      </c>
      <c r="K626" t="s">
        <v>0</v>
      </c>
      <c r="L626" t="s">
        <v>51</v>
      </c>
      <c r="M626" t="s">
        <v>1663</v>
      </c>
      <c r="N626" t="s">
        <v>744</v>
      </c>
      <c r="O626" t="s">
        <v>745</v>
      </c>
      <c r="P626" t="s">
        <v>1292</v>
      </c>
      <c r="Q626" t="s">
        <v>46</v>
      </c>
      <c r="R626" t="s">
        <v>47</v>
      </c>
      <c r="S626" t="s">
        <v>46</v>
      </c>
      <c r="T626" t="s">
        <v>46</v>
      </c>
      <c r="U626" s="4">
        <v>18787.04</v>
      </c>
      <c r="V626" t="str">
        <f t="shared" si="9"/>
        <v>0100</v>
      </c>
      <c r="W626" t="str">
        <f>VLOOKUP(K626,[1]Info!A$1:B$21,2,0)</f>
        <v>Carboval</v>
      </c>
      <c r="X626" t="str">
        <f>IF(M626="109595132","Material de Limpeza-Não Avaliar",IF(AND(K626="F20",M626&lt;&gt;109595132),IF(RIGHT(F626,2)="70","Infraestrutura de Planta","Prédios e Instalações"),IF(K626="FPC",VLOOKUP(F626,[1]Info!$E$2:$F$11,2,0),IF(K626="FGP",VLOOKUP(F626,[1]Info!$E$9:$F$10,2,0),IF(K626="F10",VLOOKUP(F626,[1]Info!$E$2:$F$3,2,0),VLOOKUP(K626,[1]Info!$A$1:$B$21,2,0))))))</f>
        <v>Carboval Canabrava</v>
      </c>
    </row>
    <row r="627" spans="1:24" x14ac:dyDescent="0.35">
      <c r="A627" t="s">
        <v>41</v>
      </c>
      <c r="B627" t="s">
        <v>1</v>
      </c>
      <c r="C627" t="s">
        <v>70</v>
      </c>
      <c r="D627" t="s">
        <v>100</v>
      </c>
      <c r="E627" t="s">
        <v>65</v>
      </c>
      <c r="F627">
        <v>7090170</v>
      </c>
      <c r="G627" t="s">
        <v>1</v>
      </c>
      <c r="H627" t="s">
        <v>43</v>
      </c>
      <c r="I627" t="s">
        <v>44</v>
      </c>
      <c r="J627" t="s">
        <v>72</v>
      </c>
      <c r="K627" t="s">
        <v>0</v>
      </c>
      <c r="L627" t="s">
        <v>51</v>
      </c>
      <c r="M627" t="s">
        <v>1664</v>
      </c>
      <c r="N627" t="s">
        <v>1665</v>
      </c>
      <c r="O627" t="s">
        <v>1554</v>
      </c>
      <c r="P627" t="s">
        <v>1292</v>
      </c>
      <c r="Q627" t="s">
        <v>46</v>
      </c>
      <c r="R627" t="s">
        <v>47</v>
      </c>
      <c r="S627" t="s">
        <v>46</v>
      </c>
      <c r="T627" t="s">
        <v>46</v>
      </c>
      <c r="U627" s="4">
        <v>5987.05</v>
      </c>
      <c r="V627" t="str">
        <f t="shared" si="9"/>
        <v>-C01</v>
      </c>
      <c r="W627" t="str">
        <f>VLOOKUP(K627,[1]Info!A$1:B$21,2,0)</f>
        <v>Carboval</v>
      </c>
      <c r="X627" t="str">
        <f>IF(M627="109595132","Material de Limpeza-Não Avaliar",IF(AND(K627="F20",M627&lt;&gt;109595132),IF(RIGHT(F627,2)="70","Infraestrutura de Planta","Prédios e Instalações"),IF(K627="FPC",VLOOKUP(F627,[1]Info!$E$2:$F$11,2,0),IF(K627="FGP",VLOOKUP(F627,[1]Info!$E$9:$F$10,2,0),IF(K627="F10",VLOOKUP(F627,[1]Info!$E$2:$F$3,2,0),VLOOKUP(K627,[1]Info!$A$1:$B$21,2,0))))))</f>
        <v>Carboval Canabrava</v>
      </c>
    </row>
    <row r="628" spans="1:24" x14ac:dyDescent="0.35">
      <c r="A628" t="s">
        <v>41</v>
      </c>
      <c r="B628" t="s">
        <v>1</v>
      </c>
      <c r="C628" t="s">
        <v>70</v>
      </c>
      <c r="D628" t="s">
        <v>100</v>
      </c>
      <c r="E628" t="s">
        <v>65</v>
      </c>
      <c r="F628">
        <v>7090170</v>
      </c>
      <c r="G628" t="s">
        <v>1</v>
      </c>
      <c r="H628" t="s">
        <v>43</v>
      </c>
      <c r="I628" t="s">
        <v>44</v>
      </c>
      <c r="J628" t="s">
        <v>72</v>
      </c>
      <c r="K628" t="s">
        <v>0</v>
      </c>
      <c r="L628" t="s">
        <v>51</v>
      </c>
      <c r="M628" t="s">
        <v>1666</v>
      </c>
      <c r="N628" t="s">
        <v>731</v>
      </c>
      <c r="O628" t="s">
        <v>211</v>
      </c>
      <c r="P628" t="s">
        <v>1292</v>
      </c>
      <c r="Q628" t="s">
        <v>46</v>
      </c>
      <c r="R628" t="s">
        <v>47</v>
      </c>
      <c r="S628" t="s">
        <v>46</v>
      </c>
      <c r="T628" t="s">
        <v>46</v>
      </c>
      <c r="U628" s="4">
        <v>3716.21</v>
      </c>
      <c r="V628" t="str">
        <f t="shared" si="9"/>
        <v>0300</v>
      </c>
      <c r="W628" t="str">
        <f>VLOOKUP(K628,[1]Info!A$1:B$21,2,0)</f>
        <v>Carboval</v>
      </c>
      <c r="X628" t="str">
        <f>IF(M628="109595132","Material de Limpeza-Não Avaliar",IF(AND(K628="F20",M628&lt;&gt;109595132),IF(RIGHT(F628,2)="70","Infraestrutura de Planta","Prédios e Instalações"),IF(K628="FPC",VLOOKUP(F628,[1]Info!$E$2:$F$11,2,0),IF(K628="FGP",VLOOKUP(F628,[1]Info!$E$9:$F$10,2,0),IF(K628="F10",VLOOKUP(F628,[1]Info!$E$2:$F$3,2,0),VLOOKUP(K628,[1]Info!$A$1:$B$21,2,0))))))</f>
        <v>Carboval Canabrava</v>
      </c>
    </row>
    <row r="629" spans="1:24" x14ac:dyDescent="0.35">
      <c r="A629" t="s">
        <v>41</v>
      </c>
      <c r="B629" t="s">
        <v>1</v>
      </c>
      <c r="C629" t="s">
        <v>70</v>
      </c>
      <c r="D629" t="s">
        <v>100</v>
      </c>
      <c r="E629" t="s">
        <v>65</v>
      </c>
      <c r="F629">
        <v>7090170</v>
      </c>
      <c r="G629" t="s">
        <v>1</v>
      </c>
      <c r="H629" t="s">
        <v>43</v>
      </c>
      <c r="I629" t="s">
        <v>44</v>
      </c>
      <c r="J629" t="s">
        <v>72</v>
      </c>
      <c r="K629" t="s">
        <v>0</v>
      </c>
      <c r="L629" t="s">
        <v>51</v>
      </c>
      <c r="M629" t="s">
        <v>1667</v>
      </c>
      <c r="N629" t="s">
        <v>1668</v>
      </c>
      <c r="O629" t="s">
        <v>105</v>
      </c>
      <c r="P629" t="s">
        <v>1292</v>
      </c>
      <c r="Q629" t="s">
        <v>46</v>
      </c>
      <c r="R629" t="s">
        <v>47</v>
      </c>
      <c r="S629" t="s">
        <v>46</v>
      </c>
      <c r="T629" t="s">
        <v>46</v>
      </c>
      <c r="U629" s="4">
        <v>8608.82</v>
      </c>
      <c r="V629" t="str">
        <f t="shared" si="9"/>
        <v>0100</v>
      </c>
      <c r="W629" t="str">
        <f>VLOOKUP(K629,[1]Info!A$1:B$21,2,0)</f>
        <v>Carboval</v>
      </c>
      <c r="X629" t="str">
        <f>IF(M629="109595132","Material de Limpeza-Não Avaliar",IF(AND(K629="F20",M629&lt;&gt;109595132),IF(RIGHT(F629,2)="70","Infraestrutura de Planta","Prédios e Instalações"),IF(K629="FPC",VLOOKUP(F629,[1]Info!$E$2:$F$11,2,0),IF(K629="FGP",VLOOKUP(F629,[1]Info!$E$9:$F$10,2,0),IF(K629="F10",VLOOKUP(F629,[1]Info!$E$2:$F$3,2,0),VLOOKUP(K629,[1]Info!$A$1:$B$21,2,0))))))</f>
        <v>Carboval Canabrava</v>
      </c>
    </row>
    <row r="630" spans="1:24" x14ac:dyDescent="0.35">
      <c r="A630" t="s">
        <v>41</v>
      </c>
      <c r="B630" t="s">
        <v>1</v>
      </c>
      <c r="C630" t="s">
        <v>70</v>
      </c>
      <c r="D630" t="s">
        <v>100</v>
      </c>
      <c r="E630" t="s">
        <v>65</v>
      </c>
      <c r="F630">
        <v>7090170</v>
      </c>
      <c r="G630" t="s">
        <v>1</v>
      </c>
      <c r="H630" t="s">
        <v>43</v>
      </c>
      <c r="I630" t="s">
        <v>44</v>
      </c>
      <c r="J630" t="s">
        <v>72</v>
      </c>
      <c r="K630" t="s">
        <v>0</v>
      </c>
      <c r="L630" t="s">
        <v>51</v>
      </c>
      <c r="M630" t="s">
        <v>1669</v>
      </c>
      <c r="N630" t="s">
        <v>1670</v>
      </c>
      <c r="O630" t="s">
        <v>1555</v>
      </c>
      <c r="P630" t="s">
        <v>1292</v>
      </c>
      <c r="Q630" t="s">
        <v>46</v>
      </c>
      <c r="R630" t="s">
        <v>47</v>
      </c>
      <c r="S630" t="s">
        <v>46</v>
      </c>
      <c r="T630" t="s">
        <v>46</v>
      </c>
      <c r="U630" s="4">
        <v>81756.41</v>
      </c>
      <c r="V630" t="str">
        <f t="shared" si="9"/>
        <v>8000</v>
      </c>
      <c r="W630" t="str">
        <f>VLOOKUP(K630,[1]Info!A$1:B$21,2,0)</f>
        <v>Carboval</v>
      </c>
      <c r="X630" t="str">
        <f>IF(M630="109595132","Material de Limpeza-Não Avaliar",IF(AND(K630="F20",M630&lt;&gt;109595132),IF(RIGHT(F630,2)="70","Infraestrutura de Planta","Prédios e Instalações"),IF(K630="FPC",VLOOKUP(F630,[1]Info!$E$2:$F$11,2,0),IF(K630="FGP",VLOOKUP(F630,[1]Info!$E$9:$F$10,2,0),IF(K630="F10",VLOOKUP(F630,[1]Info!$E$2:$F$3,2,0),VLOOKUP(K630,[1]Info!$A$1:$B$21,2,0))))))</f>
        <v>Carboval Canabrava</v>
      </c>
    </row>
    <row r="631" spans="1:24" x14ac:dyDescent="0.35">
      <c r="A631" t="s">
        <v>41</v>
      </c>
      <c r="B631" t="s">
        <v>1</v>
      </c>
      <c r="C631" t="s">
        <v>70</v>
      </c>
      <c r="D631" t="s">
        <v>100</v>
      </c>
      <c r="E631" t="s">
        <v>65</v>
      </c>
      <c r="F631">
        <v>7090170</v>
      </c>
      <c r="G631" t="s">
        <v>1</v>
      </c>
      <c r="H631" t="s">
        <v>43</v>
      </c>
      <c r="I631" t="s">
        <v>44</v>
      </c>
      <c r="J631" t="s">
        <v>72</v>
      </c>
      <c r="K631" t="s">
        <v>0</v>
      </c>
      <c r="L631" t="s">
        <v>51</v>
      </c>
      <c r="M631" t="s">
        <v>829</v>
      </c>
      <c r="N631" t="s">
        <v>830</v>
      </c>
      <c r="O631" t="s">
        <v>211</v>
      </c>
      <c r="P631" t="s">
        <v>1292</v>
      </c>
      <c r="Q631" t="s">
        <v>46</v>
      </c>
      <c r="R631" t="s">
        <v>47</v>
      </c>
      <c r="S631" t="s">
        <v>46</v>
      </c>
      <c r="T631" t="s">
        <v>46</v>
      </c>
      <c r="U631" s="4">
        <v>9682.7000000000007</v>
      </c>
      <c r="V631" t="str">
        <f t="shared" si="9"/>
        <v>0300</v>
      </c>
      <c r="W631" t="str">
        <f>VLOOKUP(K631,[1]Info!A$1:B$21,2,0)</f>
        <v>Carboval</v>
      </c>
      <c r="X631" t="str">
        <f>IF(M631="109595132","Material de Limpeza-Não Avaliar",IF(AND(K631="F20",M631&lt;&gt;109595132),IF(RIGHT(F631,2)="70","Infraestrutura de Planta","Prédios e Instalações"),IF(K631="FPC",VLOOKUP(F631,[1]Info!$E$2:$F$11,2,0),IF(K631="FGP",VLOOKUP(F631,[1]Info!$E$9:$F$10,2,0),IF(K631="F10",VLOOKUP(F631,[1]Info!$E$2:$F$3,2,0),VLOOKUP(K631,[1]Info!$A$1:$B$21,2,0))))))</f>
        <v>Carboval Canabrava</v>
      </c>
    </row>
    <row r="632" spans="1:24" x14ac:dyDescent="0.35">
      <c r="A632" t="s">
        <v>41</v>
      </c>
      <c r="B632" t="s">
        <v>1</v>
      </c>
      <c r="C632" t="s">
        <v>70</v>
      </c>
      <c r="D632" t="s">
        <v>100</v>
      </c>
      <c r="E632" t="s">
        <v>65</v>
      </c>
      <c r="F632">
        <v>7090170</v>
      </c>
      <c r="G632" t="s">
        <v>1</v>
      </c>
      <c r="H632" t="s">
        <v>43</v>
      </c>
      <c r="I632" t="s">
        <v>44</v>
      </c>
      <c r="J632" t="s">
        <v>72</v>
      </c>
      <c r="K632" t="s">
        <v>0</v>
      </c>
      <c r="L632" t="s">
        <v>51</v>
      </c>
      <c r="M632" t="s">
        <v>1671</v>
      </c>
      <c r="N632" t="s">
        <v>1651</v>
      </c>
      <c r="O632" t="s">
        <v>1553</v>
      </c>
      <c r="P632" t="s">
        <v>1292</v>
      </c>
      <c r="Q632" t="s">
        <v>46</v>
      </c>
      <c r="R632" t="s">
        <v>47</v>
      </c>
      <c r="S632" t="s">
        <v>46</v>
      </c>
      <c r="T632" t="s">
        <v>46</v>
      </c>
      <c r="U632" s="4">
        <v>6709.66</v>
      </c>
      <c r="V632" t="str">
        <f t="shared" si="9"/>
        <v>SI01</v>
      </c>
      <c r="W632" t="str">
        <f>VLOOKUP(K632,[1]Info!A$1:B$21,2,0)</f>
        <v>Carboval</v>
      </c>
      <c r="X632" t="str">
        <f>IF(M632="109595132","Material de Limpeza-Não Avaliar",IF(AND(K632="F20",M632&lt;&gt;109595132),IF(RIGHT(F632,2)="70","Infraestrutura de Planta","Prédios e Instalações"),IF(K632="FPC",VLOOKUP(F632,[1]Info!$E$2:$F$11,2,0),IF(K632="FGP",VLOOKUP(F632,[1]Info!$E$9:$F$10,2,0),IF(K632="F10",VLOOKUP(F632,[1]Info!$E$2:$F$3,2,0),VLOOKUP(K632,[1]Info!$A$1:$B$21,2,0))))))</f>
        <v>Carboval Canabrava</v>
      </c>
    </row>
    <row r="633" spans="1:24" x14ac:dyDescent="0.35">
      <c r="A633" t="s">
        <v>41</v>
      </c>
      <c r="B633" t="s">
        <v>1</v>
      </c>
      <c r="C633" t="s">
        <v>70</v>
      </c>
      <c r="D633" t="s">
        <v>100</v>
      </c>
      <c r="E633" t="s">
        <v>65</v>
      </c>
      <c r="F633">
        <v>7090170</v>
      </c>
      <c r="G633" t="s">
        <v>1</v>
      </c>
      <c r="H633" t="s">
        <v>43</v>
      </c>
      <c r="I633" t="s">
        <v>44</v>
      </c>
      <c r="J633" t="s">
        <v>72</v>
      </c>
      <c r="K633" t="s">
        <v>0</v>
      </c>
      <c r="L633" t="s">
        <v>51</v>
      </c>
      <c r="M633" t="s">
        <v>833</v>
      </c>
      <c r="N633" t="s">
        <v>834</v>
      </c>
      <c r="O633" t="s">
        <v>740</v>
      </c>
      <c r="P633" t="s">
        <v>1292</v>
      </c>
      <c r="Q633" t="s">
        <v>46</v>
      </c>
      <c r="R633" t="s">
        <v>47</v>
      </c>
      <c r="S633" t="s">
        <v>46</v>
      </c>
      <c r="T633" t="s">
        <v>46</v>
      </c>
      <c r="U633" s="4">
        <v>1981.92</v>
      </c>
      <c r="V633" t="str">
        <f t="shared" si="9"/>
        <v>-100</v>
      </c>
      <c r="W633" t="str">
        <f>VLOOKUP(K633,[1]Info!A$1:B$21,2,0)</f>
        <v>Carboval</v>
      </c>
      <c r="X633" t="str">
        <f>IF(M633="109595132","Material de Limpeza-Não Avaliar",IF(AND(K633="F20",M633&lt;&gt;109595132),IF(RIGHT(F633,2)="70","Infraestrutura de Planta","Prédios e Instalações"),IF(K633="FPC",VLOOKUP(F633,[1]Info!$E$2:$F$11,2,0),IF(K633="FGP",VLOOKUP(F633,[1]Info!$E$9:$F$10,2,0),IF(K633="F10",VLOOKUP(F633,[1]Info!$E$2:$F$3,2,0),VLOOKUP(K633,[1]Info!$A$1:$B$21,2,0))))))</f>
        <v>Carboval Canabrava</v>
      </c>
    </row>
    <row r="634" spans="1:24" x14ac:dyDescent="0.35">
      <c r="A634" t="s">
        <v>41</v>
      </c>
      <c r="B634" t="s">
        <v>1</v>
      </c>
      <c r="C634" t="s">
        <v>70</v>
      </c>
      <c r="D634" t="s">
        <v>100</v>
      </c>
      <c r="E634" t="s">
        <v>65</v>
      </c>
      <c r="F634">
        <v>7090170</v>
      </c>
      <c r="G634" t="s">
        <v>1</v>
      </c>
      <c r="H634" t="s">
        <v>43</v>
      </c>
      <c r="I634" t="s">
        <v>44</v>
      </c>
      <c r="J634" t="s">
        <v>72</v>
      </c>
      <c r="K634" t="s">
        <v>0</v>
      </c>
      <c r="L634" t="s">
        <v>51</v>
      </c>
      <c r="M634" t="s">
        <v>1672</v>
      </c>
      <c r="N634" t="s">
        <v>1654</v>
      </c>
      <c r="O634" t="s">
        <v>740</v>
      </c>
      <c r="P634" t="s">
        <v>1292</v>
      </c>
      <c r="Q634" t="s">
        <v>46</v>
      </c>
      <c r="R634" t="s">
        <v>47</v>
      </c>
      <c r="S634" t="s">
        <v>46</v>
      </c>
      <c r="T634" t="s">
        <v>46</v>
      </c>
      <c r="U634" s="4">
        <v>55845.13</v>
      </c>
      <c r="V634" t="str">
        <f t="shared" si="9"/>
        <v>-100</v>
      </c>
      <c r="W634" t="str">
        <f>VLOOKUP(K634,[1]Info!A$1:B$21,2,0)</f>
        <v>Carboval</v>
      </c>
      <c r="X634" t="str">
        <f>IF(M634="109595132","Material de Limpeza-Não Avaliar",IF(AND(K634="F20",M634&lt;&gt;109595132),IF(RIGHT(F634,2)="70","Infraestrutura de Planta","Prédios e Instalações"),IF(K634="FPC",VLOOKUP(F634,[1]Info!$E$2:$F$11,2,0),IF(K634="FGP",VLOOKUP(F634,[1]Info!$E$9:$F$10,2,0),IF(K634="F10",VLOOKUP(F634,[1]Info!$E$2:$F$3,2,0),VLOOKUP(K634,[1]Info!$A$1:$B$21,2,0))))))</f>
        <v>Carboval Canabrava</v>
      </c>
    </row>
    <row r="635" spans="1:24" x14ac:dyDescent="0.35">
      <c r="A635" t="s">
        <v>41</v>
      </c>
      <c r="B635" t="s">
        <v>1</v>
      </c>
      <c r="C635" t="s">
        <v>70</v>
      </c>
      <c r="D635" t="s">
        <v>100</v>
      </c>
      <c r="E635" t="s">
        <v>65</v>
      </c>
      <c r="F635">
        <v>7090170</v>
      </c>
      <c r="G635" t="s">
        <v>1</v>
      </c>
      <c r="H635" t="s">
        <v>43</v>
      </c>
      <c r="I635" t="s">
        <v>44</v>
      </c>
      <c r="J635" t="s">
        <v>72</v>
      </c>
      <c r="K635" t="s">
        <v>0</v>
      </c>
      <c r="L635" t="s">
        <v>51</v>
      </c>
      <c r="M635" t="s">
        <v>1673</v>
      </c>
      <c r="N635" t="s">
        <v>1656</v>
      </c>
      <c r="O635" t="s">
        <v>1552</v>
      </c>
      <c r="P635" t="s">
        <v>1292</v>
      </c>
      <c r="Q635" t="s">
        <v>46</v>
      </c>
      <c r="R635" t="s">
        <v>47</v>
      </c>
      <c r="S635" t="s">
        <v>46</v>
      </c>
      <c r="T635" t="s">
        <v>46</v>
      </c>
      <c r="U635" s="4">
        <v>20521.73</v>
      </c>
      <c r="V635" t="str">
        <f t="shared" si="9"/>
        <v>0100</v>
      </c>
      <c r="W635" t="str">
        <f>VLOOKUP(K635,[1]Info!A$1:B$21,2,0)</f>
        <v>Carboval</v>
      </c>
      <c r="X635" t="str">
        <f>IF(M635="109595132","Material de Limpeza-Não Avaliar",IF(AND(K635="F20",M635&lt;&gt;109595132),IF(RIGHT(F635,2)="70","Infraestrutura de Planta","Prédios e Instalações"),IF(K635="FPC",VLOOKUP(F635,[1]Info!$E$2:$F$11,2,0),IF(K635="FGP",VLOOKUP(F635,[1]Info!$E$9:$F$10,2,0),IF(K635="F10",VLOOKUP(F635,[1]Info!$E$2:$F$3,2,0),VLOOKUP(K635,[1]Info!$A$1:$B$21,2,0))))))</f>
        <v>Carboval Canabrava</v>
      </c>
    </row>
    <row r="636" spans="1:24" x14ac:dyDescent="0.35">
      <c r="A636" t="s">
        <v>41</v>
      </c>
      <c r="B636" t="s">
        <v>1</v>
      </c>
      <c r="C636" t="s">
        <v>70</v>
      </c>
      <c r="D636" t="s">
        <v>100</v>
      </c>
      <c r="E636" t="s">
        <v>65</v>
      </c>
      <c r="F636">
        <v>7090170</v>
      </c>
      <c r="G636" t="s">
        <v>1</v>
      </c>
      <c r="H636" t="s">
        <v>43</v>
      </c>
      <c r="I636" t="s">
        <v>44</v>
      </c>
      <c r="J636" t="s">
        <v>72</v>
      </c>
      <c r="K636" t="s">
        <v>0</v>
      </c>
      <c r="L636" t="s">
        <v>51</v>
      </c>
      <c r="M636" t="s">
        <v>1674</v>
      </c>
      <c r="N636" t="s">
        <v>830</v>
      </c>
      <c r="O636" t="s">
        <v>783</v>
      </c>
      <c r="P636" t="s">
        <v>1292</v>
      </c>
      <c r="Q636" t="s">
        <v>46</v>
      </c>
      <c r="R636" t="s">
        <v>47</v>
      </c>
      <c r="S636" t="s">
        <v>46</v>
      </c>
      <c r="T636" t="s">
        <v>46</v>
      </c>
      <c r="U636" s="4">
        <v>8980.67</v>
      </c>
      <c r="V636" t="str">
        <f t="shared" si="9"/>
        <v>1100</v>
      </c>
      <c r="W636" t="str">
        <f>VLOOKUP(K636,[1]Info!A$1:B$21,2,0)</f>
        <v>Carboval</v>
      </c>
      <c r="X636" t="str">
        <f>IF(M636="109595132","Material de Limpeza-Não Avaliar",IF(AND(K636="F20",M636&lt;&gt;109595132),IF(RIGHT(F636,2)="70","Infraestrutura de Planta","Prédios e Instalações"),IF(K636="FPC",VLOOKUP(F636,[1]Info!$E$2:$F$11,2,0),IF(K636="FGP",VLOOKUP(F636,[1]Info!$E$9:$F$10,2,0),IF(K636="F10",VLOOKUP(F636,[1]Info!$E$2:$F$3,2,0),VLOOKUP(K636,[1]Info!$A$1:$B$21,2,0))))))</f>
        <v>Carboval Canabrava</v>
      </c>
    </row>
    <row r="637" spans="1:24" x14ac:dyDescent="0.35">
      <c r="A637" t="s">
        <v>41</v>
      </c>
      <c r="B637" t="s">
        <v>1</v>
      </c>
      <c r="C637" t="s">
        <v>70</v>
      </c>
      <c r="D637" t="s">
        <v>100</v>
      </c>
      <c r="E637" t="s">
        <v>65</v>
      </c>
      <c r="F637">
        <v>7090170</v>
      </c>
      <c r="G637" t="s">
        <v>1</v>
      </c>
      <c r="H637" t="s">
        <v>43</v>
      </c>
      <c r="I637" t="s">
        <v>44</v>
      </c>
      <c r="J637" t="s">
        <v>72</v>
      </c>
      <c r="K637" t="s">
        <v>0</v>
      </c>
      <c r="L637" t="s">
        <v>51</v>
      </c>
      <c r="M637" t="s">
        <v>1675</v>
      </c>
      <c r="N637" t="s">
        <v>1659</v>
      </c>
      <c r="O637" t="s">
        <v>807</v>
      </c>
      <c r="P637" t="s">
        <v>1292</v>
      </c>
      <c r="Q637" t="s">
        <v>46</v>
      </c>
      <c r="R637" t="s">
        <v>47</v>
      </c>
      <c r="S637" t="s">
        <v>46</v>
      </c>
      <c r="T637" t="s">
        <v>46</v>
      </c>
      <c r="U637" s="4">
        <v>309.68</v>
      </c>
      <c r="V637" t="str">
        <f t="shared" si="9"/>
        <v>1300</v>
      </c>
      <c r="W637" t="str">
        <f>VLOOKUP(K637,[1]Info!A$1:B$21,2,0)</f>
        <v>Carboval</v>
      </c>
      <c r="X637" t="str">
        <f>IF(M637="109595132","Material de Limpeza-Não Avaliar",IF(AND(K637="F20",M637&lt;&gt;109595132),IF(RIGHT(F637,2)="70","Infraestrutura de Planta","Prédios e Instalações"),IF(K637="FPC",VLOOKUP(F637,[1]Info!$E$2:$F$11,2,0),IF(K637="FGP",VLOOKUP(F637,[1]Info!$E$9:$F$10,2,0),IF(K637="F10",VLOOKUP(F637,[1]Info!$E$2:$F$3,2,0),VLOOKUP(K637,[1]Info!$A$1:$B$21,2,0))))))</f>
        <v>Carboval Canabrava</v>
      </c>
    </row>
    <row r="638" spans="1:24" x14ac:dyDescent="0.35">
      <c r="A638" t="s">
        <v>41</v>
      </c>
      <c r="B638" t="s">
        <v>1</v>
      </c>
      <c r="C638" t="s">
        <v>70</v>
      </c>
      <c r="D638" t="s">
        <v>100</v>
      </c>
      <c r="E638" t="s">
        <v>65</v>
      </c>
      <c r="F638">
        <v>7090170</v>
      </c>
      <c r="G638" t="s">
        <v>1</v>
      </c>
      <c r="H638" t="s">
        <v>43</v>
      </c>
      <c r="I638" t="s">
        <v>44</v>
      </c>
      <c r="J638" t="s">
        <v>72</v>
      </c>
      <c r="K638" t="s">
        <v>0</v>
      </c>
      <c r="L638" t="s">
        <v>51</v>
      </c>
      <c r="M638" t="s">
        <v>1676</v>
      </c>
      <c r="N638" t="s">
        <v>826</v>
      </c>
      <c r="O638" t="s">
        <v>715</v>
      </c>
      <c r="P638" t="s">
        <v>1292</v>
      </c>
      <c r="Q638" t="s">
        <v>46</v>
      </c>
      <c r="R638" t="s">
        <v>47</v>
      </c>
      <c r="S638" t="s">
        <v>46</v>
      </c>
      <c r="T638" t="s">
        <v>46</v>
      </c>
      <c r="U638" s="4">
        <v>2931.6</v>
      </c>
      <c r="V638" t="str">
        <f t="shared" si="9"/>
        <v>0800</v>
      </c>
      <c r="W638" t="str">
        <f>VLOOKUP(K638,[1]Info!A$1:B$21,2,0)</f>
        <v>Carboval</v>
      </c>
      <c r="X638" t="str">
        <f>IF(M638="109595132","Material de Limpeza-Não Avaliar",IF(AND(K638="F20",M638&lt;&gt;109595132),IF(RIGHT(F638,2)="70","Infraestrutura de Planta","Prédios e Instalações"),IF(K638="FPC",VLOOKUP(F638,[1]Info!$E$2:$F$11,2,0),IF(K638="FGP",VLOOKUP(F638,[1]Info!$E$9:$F$10,2,0),IF(K638="F10",VLOOKUP(F638,[1]Info!$E$2:$F$3,2,0),VLOOKUP(K638,[1]Info!$A$1:$B$21,2,0))))))</f>
        <v>Carboval Canabrava</v>
      </c>
    </row>
    <row r="639" spans="1:24" x14ac:dyDescent="0.35">
      <c r="A639" t="s">
        <v>41</v>
      </c>
      <c r="B639" t="s">
        <v>1</v>
      </c>
      <c r="C639" t="s">
        <v>70</v>
      </c>
      <c r="D639" t="s">
        <v>100</v>
      </c>
      <c r="E639" t="s">
        <v>65</v>
      </c>
      <c r="F639">
        <v>7090170</v>
      </c>
      <c r="G639" t="s">
        <v>1</v>
      </c>
      <c r="H639" t="s">
        <v>43</v>
      </c>
      <c r="I639" t="s">
        <v>44</v>
      </c>
      <c r="J639" t="s">
        <v>72</v>
      </c>
      <c r="K639" t="s">
        <v>0</v>
      </c>
      <c r="L639" t="s">
        <v>51</v>
      </c>
      <c r="M639" t="s">
        <v>1677</v>
      </c>
      <c r="N639" t="s">
        <v>223</v>
      </c>
      <c r="O639" t="s">
        <v>213</v>
      </c>
      <c r="P639" t="s">
        <v>1292</v>
      </c>
      <c r="Q639" t="s">
        <v>46</v>
      </c>
      <c r="R639" t="s">
        <v>47</v>
      </c>
      <c r="S639" t="s">
        <v>46</v>
      </c>
      <c r="T639" t="s">
        <v>46</v>
      </c>
      <c r="U639" s="4">
        <v>17858.2</v>
      </c>
      <c r="V639" t="str">
        <f t="shared" si="9"/>
        <v>0400</v>
      </c>
      <c r="W639" t="str">
        <f>VLOOKUP(K639,[1]Info!A$1:B$21,2,0)</f>
        <v>Carboval</v>
      </c>
      <c r="X639" t="str">
        <f>IF(M639="109595132","Material de Limpeza-Não Avaliar",IF(AND(K639="F20",M639&lt;&gt;109595132),IF(RIGHT(F639,2)="70","Infraestrutura de Planta","Prédios e Instalações"),IF(K639="FPC",VLOOKUP(F639,[1]Info!$E$2:$F$11,2,0),IF(K639="FGP",VLOOKUP(F639,[1]Info!$E$9:$F$10,2,0),IF(K639="F10",VLOOKUP(F639,[1]Info!$E$2:$F$3,2,0),VLOOKUP(K639,[1]Info!$A$1:$B$21,2,0))))))</f>
        <v>Carboval Canabrava</v>
      </c>
    </row>
    <row r="640" spans="1:24" x14ac:dyDescent="0.35">
      <c r="A640" t="s">
        <v>41</v>
      </c>
      <c r="B640" t="s">
        <v>1</v>
      </c>
      <c r="C640" t="s">
        <v>70</v>
      </c>
      <c r="D640" t="s">
        <v>100</v>
      </c>
      <c r="E640" t="s">
        <v>65</v>
      </c>
      <c r="F640">
        <v>7090170</v>
      </c>
      <c r="G640" t="s">
        <v>1</v>
      </c>
      <c r="H640" t="s">
        <v>43</v>
      </c>
      <c r="I640" t="s">
        <v>44</v>
      </c>
      <c r="J640" t="s">
        <v>72</v>
      </c>
      <c r="K640" t="s">
        <v>0</v>
      </c>
      <c r="L640" t="s">
        <v>51</v>
      </c>
      <c r="M640" t="s">
        <v>1678</v>
      </c>
      <c r="N640" t="s">
        <v>1679</v>
      </c>
      <c r="O640" t="s">
        <v>333</v>
      </c>
      <c r="P640" t="s">
        <v>1292</v>
      </c>
      <c r="Q640" t="s">
        <v>46</v>
      </c>
      <c r="R640" t="s">
        <v>47</v>
      </c>
      <c r="S640" t="s">
        <v>46</v>
      </c>
      <c r="T640" t="s">
        <v>46</v>
      </c>
      <c r="U640" s="4">
        <v>1238.71</v>
      </c>
      <c r="V640" t="str">
        <f t="shared" si="9"/>
        <v>-200</v>
      </c>
      <c r="W640" t="str">
        <f>VLOOKUP(K640,[1]Info!A$1:B$21,2,0)</f>
        <v>Carboval</v>
      </c>
      <c r="X640" t="str">
        <f>IF(M640="109595132","Material de Limpeza-Não Avaliar",IF(AND(K640="F20",M640&lt;&gt;109595132),IF(RIGHT(F640,2)="70","Infraestrutura de Planta","Prédios e Instalações"),IF(K640="FPC",VLOOKUP(F640,[1]Info!$E$2:$F$11,2,0),IF(K640="FGP",VLOOKUP(F640,[1]Info!$E$9:$F$10,2,0),IF(K640="F10",VLOOKUP(F640,[1]Info!$E$2:$F$3,2,0),VLOOKUP(K640,[1]Info!$A$1:$B$21,2,0))))))</f>
        <v>Carboval Canabrava</v>
      </c>
    </row>
    <row r="641" spans="1:24" x14ac:dyDescent="0.35">
      <c r="A641" t="s">
        <v>41</v>
      </c>
      <c r="B641" t="s">
        <v>1</v>
      </c>
      <c r="C641" t="s">
        <v>70</v>
      </c>
      <c r="D641" t="s">
        <v>100</v>
      </c>
      <c r="E641" t="s">
        <v>65</v>
      </c>
      <c r="F641">
        <v>7090170</v>
      </c>
      <c r="G641" t="s">
        <v>1</v>
      </c>
      <c r="H641" t="s">
        <v>43</v>
      </c>
      <c r="I641" t="s">
        <v>44</v>
      </c>
      <c r="J641" t="s">
        <v>72</v>
      </c>
      <c r="K641" t="s">
        <v>0</v>
      </c>
      <c r="L641" t="s">
        <v>51</v>
      </c>
      <c r="M641" t="s">
        <v>1680</v>
      </c>
      <c r="N641" t="s">
        <v>1648</v>
      </c>
      <c r="O641" t="s">
        <v>783</v>
      </c>
      <c r="P641" t="s">
        <v>1292</v>
      </c>
      <c r="Q641" t="s">
        <v>46</v>
      </c>
      <c r="R641" t="s">
        <v>47</v>
      </c>
      <c r="S641" t="s">
        <v>46</v>
      </c>
      <c r="T641" t="s">
        <v>46</v>
      </c>
      <c r="U641" s="4">
        <v>21223.22</v>
      </c>
      <c r="V641" t="str">
        <f t="shared" si="9"/>
        <v>1100</v>
      </c>
      <c r="W641" t="str">
        <f>VLOOKUP(K641,[1]Info!A$1:B$21,2,0)</f>
        <v>Carboval</v>
      </c>
      <c r="X641" t="str">
        <f>IF(M641="109595132","Material de Limpeza-Não Avaliar",IF(AND(K641="F20",M641&lt;&gt;109595132),IF(RIGHT(F641,2)="70","Infraestrutura de Planta","Prédios e Instalações"),IF(K641="FPC",VLOOKUP(F641,[1]Info!$E$2:$F$11,2,0),IF(K641="FGP",VLOOKUP(F641,[1]Info!$E$9:$F$10,2,0),IF(K641="F10",VLOOKUP(F641,[1]Info!$E$2:$F$3,2,0),VLOOKUP(K641,[1]Info!$A$1:$B$21,2,0))))))</f>
        <v>Carboval Canabrava</v>
      </c>
    </row>
    <row r="642" spans="1:24" x14ac:dyDescent="0.35">
      <c r="A642" t="s">
        <v>41</v>
      </c>
      <c r="B642" t="s">
        <v>1</v>
      </c>
      <c r="C642" t="s">
        <v>70</v>
      </c>
      <c r="D642" t="s">
        <v>100</v>
      </c>
      <c r="E642" t="s">
        <v>65</v>
      </c>
      <c r="F642">
        <v>7090170</v>
      </c>
      <c r="G642" t="s">
        <v>1</v>
      </c>
      <c r="H642" t="s">
        <v>43</v>
      </c>
      <c r="I642" t="s">
        <v>44</v>
      </c>
      <c r="J642" t="s">
        <v>72</v>
      </c>
      <c r="K642" t="s">
        <v>0</v>
      </c>
      <c r="L642" t="s">
        <v>51</v>
      </c>
      <c r="M642" t="s">
        <v>347</v>
      </c>
      <c r="N642" t="s">
        <v>222</v>
      </c>
      <c r="O642" t="s">
        <v>214</v>
      </c>
      <c r="P642" t="s">
        <v>1292</v>
      </c>
      <c r="Q642" t="s">
        <v>46</v>
      </c>
      <c r="R642" t="s">
        <v>47</v>
      </c>
      <c r="S642" t="s">
        <v>46</v>
      </c>
      <c r="T642" t="s">
        <v>46</v>
      </c>
      <c r="U642" s="4">
        <v>103.23</v>
      </c>
      <c r="V642" t="str">
        <f t="shared" si="9"/>
        <v>WD01</v>
      </c>
      <c r="W642" t="str">
        <f>VLOOKUP(K642,[1]Info!A$1:B$21,2,0)</f>
        <v>Carboval</v>
      </c>
      <c r="X642" t="str">
        <f>IF(M642="109595132","Material de Limpeza-Não Avaliar",IF(AND(K642="F20",M642&lt;&gt;109595132),IF(RIGHT(F642,2)="70","Infraestrutura de Planta","Prédios e Instalações"),IF(K642="FPC",VLOOKUP(F642,[1]Info!$E$2:$F$11,2,0),IF(K642="FGP",VLOOKUP(F642,[1]Info!$E$9:$F$10,2,0),IF(K642="F10",VLOOKUP(F642,[1]Info!$E$2:$F$3,2,0),VLOOKUP(K642,[1]Info!$A$1:$B$21,2,0))))))</f>
        <v>Carboval Canabrava</v>
      </c>
    </row>
    <row r="643" spans="1:24" x14ac:dyDescent="0.35">
      <c r="A643" t="s">
        <v>41</v>
      </c>
      <c r="B643" t="s">
        <v>1</v>
      </c>
      <c r="C643" t="s">
        <v>70</v>
      </c>
      <c r="D643" t="s">
        <v>100</v>
      </c>
      <c r="E643" t="s">
        <v>65</v>
      </c>
      <c r="F643">
        <v>7090170</v>
      </c>
      <c r="G643" t="s">
        <v>1</v>
      </c>
      <c r="H643" t="s">
        <v>43</v>
      </c>
      <c r="I643" t="s">
        <v>44</v>
      </c>
      <c r="J643" t="s">
        <v>72</v>
      </c>
      <c r="K643" t="s">
        <v>0</v>
      </c>
      <c r="L643" t="s">
        <v>51</v>
      </c>
      <c r="M643" t="s">
        <v>1681</v>
      </c>
      <c r="N643" t="s">
        <v>771</v>
      </c>
      <c r="O643" t="s">
        <v>211</v>
      </c>
      <c r="P643" t="s">
        <v>1292</v>
      </c>
      <c r="Q643" t="s">
        <v>46</v>
      </c>
      <c r="R643" t="s">
        <v>47</v>
      </c>
      <c r="S643" t="s">
        <v>46</v>
      </c>
      <c r="T643" t="s">
        <v>46</v>
      </c>
      <c r="U643" s="4">
        <v>41599.9</v>
      </c>
      <c r="V643" t="str">
        <f t="shared" si="9"/>
        <v>0300</v>
      </c>
      <c r="W643" t="str">
        <f>VLOOKUP(K643,[1]Info!A$1:B$21,2,0)</f>
        <v>Carboval</v>
      </c>
      <c r="X643" t="str">
        <f>IF(M643="109595132","Material de Limpeza-Não Avaliar",IF(AND(K643="F20",M643&lt;&gt;109595132),IF(RIGHT(F643,2)="70","Infraestrutura de Planta","Prédios e Instalações"),IF(K643="FPC",VLOOKUP(F643,[1]Info!$E$2:$F$11,2,0),IF(K643="FGP",VLOOKUP(F643,[1]Info!$E$9:$F$10,2,0),IF(K643="F10",VLOOKUP(F643,[1]Info!$E$2:$F$3,2,0),VLOOKUP(K643,[1]Info!$A$1:$B$21,2,0))))))</f>
        <v>Carboval Canabrava</v>
      </c>
    </row>
    <row r="644" spans="1:24" x14ac:dyDescent="0.35">
      <c r="A644" t="s">
        <v>41</v>
      </c>
      <c r="B644" t="s">
        <v>1</v>
      </c>
      <c r="C644" t="s">
        <v>70</v>
      </c>
      <c r="D644" t="s">
        <v>100</v>
      </c>
      <c r="E644" t="s">
        <v>65</v>
      </c>
      <c r="F644">
        <v>7090170</v>
      </c>
      <c r="G644" t="s">
        <v>1</v>
      </c>
      <c r="H644" t="s">
        <v>43</v>
      </c>
      <c r="I644" t="s">
        <v>44</v>
      </c>
      <c r="J644" t="s">
        <v>72</v>
      </c>
      <c r="K644" t="s">
        <v>0</v>
      </c>
      <c r="L644" t="s">
        <v>51</v>
      </c>
      <c r="M644" t="s">
        <v>743</v>
      </c>
      <c r="N644" t="s">
        <v>744</v>
      </c>
      <c r="O644" t="s">
        <v>745</v>
      </c>
      <c r="P644" t="s">
        <v>1292</v>
      </c>
      <c r="Q644" t="s">
        <v>46</v>
      </c>
      <c r="R644" t="s">
        <v>47</v>
      </c>
      <c r="S644" t="s">
        <v>46</v>
      </c>
      <c r="T644" t="s">
        <v>46</v>
      </c>
      <c r="U644" s="4">
        <v>14141.94</v>
      </c>
      <c r="V644" t="str">
        <f t="shared" ref="V644:V707" si="10">RIGHT(O644,4)</f>
        <v>0100</v>
      </c>
      <c r="W644" t="str">
        <f>VLOOKUP(K644,[1]Info!A$1:B$21,2,0)</f>
        <v>Carboval</v>
      </c>
      <c r="X644" t="str">
        <f>IF(M644="109595132","Material de Limpeza-Não Avaliar",IF(AND(K644="F20",M644&lt;&gt;109595132),IF(RIGHT(F644,2)="70","Infraestrutura de Planta","Prédios e Instalações"),IF(K644="FPC",VLOOKUP(F644,[1]Info!$E$2:$F$11,2,0),IF(K644="FGP",VLOOKUP(F644,[1]Info!$E$9:$F$10,2,0),IF(K644="F10",VLOOKUP(F644,[1]Info!$E$2:$F$3,2,0),VLOOKUP(K644,[1]Info!$A$1:$B$21,2,0))))))</f>
        <v>Carboval Canabrava</v>
      </c>
    </row>
    <row r="645" spans="1:24" x14ac:dyDescent="0.35">
      <c r="A645" t="s">
        <v>41</v>
      </c>
      <c r="B645" t="s">
        <v>1</v>
      </c>
      <c r="C645" t="s">
        <v>70</v>
      </c>
      <c r="D645" t="s">
        <v>100</v>
      </c>
      <c r="E645" t="s">
        <v>65</v>
      </c>
      <c r="F645">
        <v>7090170</v>
      </c>
      <c r="G645" t="s">
        <v>1</v>
      </c>
      <c r="H645" t="s">
        <v>43</v>
      </c>
      <c r="I645" t="s">
        <v>44</v>
      </c>
      <c r="J645" t="s">
        <v>72</v>
      </c>
      <c r="K645" t="s">
        <v>0</v>
      </c>
      <c r="L645" t="s">
        <v>51</v>
      </c>
      <c r="M645" t="s">
        <v>1682</v>
      </c>
      <c r="N645" t="s">
        <v>1665</v>
      </c>
      <c r="O645" t="s">
        <v>1554</v>
      </c>
      <c r="P645" t="s">
        <v>1292</v>
      </c>
      <c r="Q645" t="s">
        <v>46</v>
      </c>
      <c r="R645" t="s">
        <v>47</v>
      </c>
      <c r="S645" t="s">
        <v>46</v>
      </c>
      <c r="T645" t="s">
        <v>46</v>
      </c>
      <c r="U645" s="4">
        <v>2064.5100000000002</v>
      </c>
      <c r="V645" t="str">
        <f t="shared" si="10"/>
        <v>-C01</v>
      </c>
      <c r="W645" t="str">
        <f>VLOOKUP(K645,[1]Info!A$1:B$21,2,0)</f>
        <v>Carboval</v>
      </c>
      <c r="X645" t="str">
        <f>IF(M645="109595132","Material de Limpeza-Não Avaliar",IF(AND(K645="F20",M645&lt;&gt;109595132),IF(RIGHT(F645,2)="70","Infraestrutura de Planta","Prédios e Instalações"),IF(K645="FPC",VLOOKUP(F645,[1]Info!$E$2:$F$11,2,0),IF(K645="FGP",VLOOKUP(F645,[1]Info!$E$9:$F$10,2,0),IF(K645="F10",VLOOKUP(F645,[1]Info!$E$2:$F$3,2,0),VLOOKUP(K645,[1]Info!$A$1:$B$21,2,0))))))</f>
        <v>Carboval Canabrava</v>
      </c>
    </row>
    <row r="646" spans="1:24" x14ac:dyDescent="0.35">
      <c r="A646" t="s">
        <v>41</v>
      </c>
      <c r="B646" t="s">
        <v>1</v>
      </c>
      <c r="C646" t="s">
        <v>70</v>
      </c>
      <c r="D646" t="s">
        <v>100</v>
      </c>
      <c r="E646" t="s">
        <v>65</v>
      </c>
      <c r="F646">
        <v>7090170</v>
      </c>
      <c r="G646" t="s">
        <v>1</v>
      </c>
      <c r="H646" t="s">
        <v>43</v>
      </c>
      <c r="I646" t="s">
        <v>44</v>
      </c>
      <c r="J646" t="s">
        <v>72</v>
      </c>
      <c r="K646" t="s">
        <v>0</v>
      </c>
      <c r="L646" t="s">
        <v>51</v>
      </c>
      <c r="M646" t="s">
        <v>730</v>
      </c>
      <c r="N646" t="s">
        <v>731</v>
      </c>
      <c r="O646" t="s">
        <v>211</v>
      </c>
      <c r="P646" t="s">
        <v>1292</v>
      </c>
      <c r="Q646" t="s">
        <v>46</v>
      </c>
      <c r="R646" t="s">
        <v>47</v>
      </c>
      <c r="S646" t="s">
        <v>46</v>
      </c>
      <c r="T646" t="s">
        <v>46</v>
      </c>
      <c r="U646" s="4">
        <v>23969.19</v>
      </c>
      <c r="V646" t="str">
        <f t="shared" si="10"/>
        <v>0300</v>
      </c>
      <c r="W646" t="str">
        <f>VLOOKUP(K646,[1]Info!A$1:B$21,2,0)</f>
        <v>Carboval</v>
      </c>
      <c r="X646" t="str">
        <f>IF(M646="109595132","Material de Limpeza-Não Avaliar",IF(AND(K646="F20",M646&lt;&gt;109595132),IF(RIGHT(F646,2)="70","Infraestrutura de Planta","Prédios e Instalações"),IF(K646="FPC",VLOOKUP(F646,[1]Info!$E$2:$F$11,2,0),IF(K646="FGP",VLOOKUP(F646,[1]Info!$E$9:$F$10,2,0),IF(K646="F10",VLOOKUP(F646,[1]Info!$E$2:$F$3,2,0),VLOOKUP(K646,[1]Info!$A$1:$B$21,2,0))))))</f>
        <v>Carboval Canabrava</v>
      </c>
    </row>
    <row r="647" spans="1:24" x14ac:dyDescent="0.35">
      <c r="A647" t="s">
        <v>41</v>
      </c>
      <c r="B647" t="s">
        <v>1</v>
      </c>
      <c r="C647" t="s">
        <v>70</v>
      </c>
      <c r="D647" t="s">
        <v>100</v>
      </c>
      <c r="E647" t="s">
        <v>65</v>
      </c>
      <c r="F647">
        <v>7090170</v>
      </c>
      <c r="G647" t="s">
        <v>1</v>
      </c>
      <c r="H647" t="s">
        <v>43</v>
      </c>
      <c r="I647" t="s">
        <v>44</v>
      </c>
      <c r="J647" t="s">
        <v>72</v>
      </c>
      <c r="K647" t="s">
        <v>0</v>
      </c>
      <c r="L647" t="s">
        <v>51</v>
      </c>
      <c r="M647" t="s">
        <v>1683</v>
      </c>
      <c r="N647" t="s">
        <v>1670</v>
      </c>
      <c r="O647" t="s">
        <v>1555</v>
      </c>
      <c r="P647" t="s">
        <v>1292</v>
      </c>
      <c r="Q647" t="s">
        <v>46</v>
      </c>
      <c r="R647" t="s">
        <v>47</v>
      </c>
      <c r="S647" t="s">
        <v>46</v>
      </c>
      <c r="T647" t="s">
        <v>46</v>
      </c>
      <c r="U647" s="4">
        <v>49630.85</v>
      </c>
      <c r="V647" t="str">
        <f t="shared" si="10"/>
        <v>8000</v>
      </c>
      <c r="W647" t="str">
        <f>VLOOKUP(K647,[1]Info!A$1:B$21,2,0)</f>
        <v>Carboval</v>
      </c>
      <c r="X647" t="str">
        <f>IF(M647="109595132","Material de Limpeza-Não Avaliar",IF(AND(K647="F20",M647&lt;&gt;109595132),IF(RIGHT(F647,2)="70","Infraestrutura de Planta","Prédios e Instalações"),IF(K647="FPC",VLOOKUP(F647,[1]Info!$E$2:$F$11,2,0),IF(K647="FGP",VLOOKUP(F647,[1]Info!$E$9:$F$10,2,0),IF(K647="F10",VLOOKUP(F647,[1]Info!$E$2:$F$3,2,0),VLOOKUP(K647,[1]Info!$A$1:$B$21,2,0))))))</f>
        <v>Carboval Canabrava</v>
      </c>
    </row>
    <row r="648" spans="1:24" x14ac:dyDescent="0.35">
      <c r="A648" t="s">
        <v>41</v>
      </c>
      <c r="B648" t="s">
        <v>1</v>
      </c>
      <c r="C648" t="s">
        <v>70</v>
      </c>
      <c r="D648" t="s">
        <v>100</v>
      </c>
      <c r="E648" t="s">
        <v>65</v>
      </c>
      <c r="F648">
        <v>7090170</v>
      </c>
      <c r="G648" t="s">
        <v>1</v>
      </c>
      <c r="H648" t="s">
        <v>43</v>
      </c>
      <c r="I648" t="s">
        <v>44</v>
      </c>
      <c r="J648" t="s">
        <v>72</v>
      </c>
      <c r="K648" t="s">
        <v>0</v>
      </c>
      <c r="L648" t="s">
        <v>51</v>
      </c>
      <c r="M648" t="s">
        <v>1684</v>
      </c>
      <c r="N648" t="s">
        <v>763</v>
      </c>
      <c r="O648" t="s">
        <v>214</v>
      </c>
      <c r="P648" t="s">
        <v>1292</v>
      </c>
      <c r="Q648" t="s">
        <v>46</v>
      </c>
      <c r="R648" t="s">
        <v>47</v>
      </c>
      <c r="S648" t="s">
        <v>46</v>
      </c>
      <c r="T648" t="s">
        <v>46</v>
      </c>
      <c r="U648" s="4">
        <v>1445.15</v>
      </c>
      <c r="V648" t="str">
        <f t="shared" si="10"/>
        <v>WD01</v>
      </c>
      <c r="W648" t="str">
        <f>VLOOKUP(K648,[1]Info!A$1:B$21,2,0)</f>
        <v>Carboval</v>
      </c>
      <c r="X648" t="str">
        <f>IF(M648="109595132","Material de Limpeza-Não Avaliar",IF(AND(K648="F20",M648&lt;&gt;109595132),IF(RIGHT(F648,2)="70","Infraestrutura de Planta","Prédios e Instalações"),IF(K648="FPC",VLOOKUP(F648,[1]Info!$E$2:$F$11,2,0),IF(K648="FGP",VLOOKUP(F648,[1]Info!$E$9:$F$10,2,0),IF(K648="F10",VLOOKUP(F648,[1]Info!$E$2:$F$3,2,0),VLOOKUP(K648,[1]Info!$A$1:$B$21,2,0))))))</f>
        <v>Carboval Canabrava</v>
      </c>
    </row>
    <row r="649" spans="1:24" x14ac:dyDescent="0.35">
      <c r="A649" t="s">
        <v>41</v>
      </c>
      <c r="B649" t="s">
        <v>1</v>
      </c>
      <c r="C649" t="s">
        <v>70</v>
      </c>
      <c r="D649" t="s">
        <v>100</v>
      </c>
      <c r="E649" t="s">
        <v>65</v>
      </c>
      <c r="F649">
        <v>7090170</v>
      </c>
      <c r="G649" t="s">
        <v>1</v>
      </c>
      <c r="H649" t="s">
        <v>43</v>
      </c>
      <c r="I649" t="s">
        <v>44</v>
      </c>
      <c r="J649" t="s">
        <v>72</v>
      </c>
      <c r="K649" t="s">
        <v>0</v>
      </c>
      <c r="L649" t="s">
        <v>51</v>
      </c>
      <c r="M649" t="s">
        <v>1685</v>
      </c>
      <c r="N649" t="s">
        <v>1686</v>
      </c>
      <c r="O649" t="s">
        <v>788</v>
      </c>
      <c r="P649" t="s">
        <v>1292</v>
      </c>
      <c r="Q649" t="s">
        <v>46</v>
      </c>
      <c r="R649" t="s">
        <v>47</v>
      </c>
      <c r="S649" t="s">
        <v>46</v>
      </c>
      <c r="T649" t="s">
        <v>46</v>
      </c>
      <c r="U649" s="4">
        <v>3736.75</v>
      </c>
      <c r="V649" t="str">
        <f t="shared" si="10"/>
        <v>-115</v>
      </c>
      <c r="W649" t="str">
        <f>VLOOKUP(K649,[1]Info!A$1:B$21,2,0)</f>
        <v>Carboval</v>
      </c>
      <c r="X649" t="str">
        <f>IF(M649="109595132","Material de Limpeza-Não Avaliar",IF(AND(K649="F20",M649&lt;&gt;109595132),IF(RIGHT(F649,2)="70","Infraestrutura de Planta","Prédios e Instalações"),IF(K649="FPC",VLOOKUP(F649,[1]Info!$E$2:$F$11,2,0),IF(K649="FGP",VLOOKUP(F649,[1]Info!$E$9:$F$10,2,0),IF(K649="F10",VLOOKUP(F649,[1]Info!$E$2:$F$3,2,0),VLOOKUP(K649,[1]Info!$A$1:$B$21,2,0))))))</f>
        <v>Carboval Canabrava</v>
      </c>
    </row>
    <row r="650" spans="1:24" x14ac:dyDescent="0.35">
      <c r="A650" t="s">
        <v>41</v>
      </c>
      <c r="B650" t="s">
        <v>1</v>
      </c>
      <c r="C650" t="s">
        <v>70</v>
      </c>
      <c r="D650" t="s">
        <v>100</v>
      </c>
      <c r="E650" t="s">
        <v>65</v>
      </c>
      <c r="F650">
        <v>7090170</v>
      </c>
      <c r="G650" t="s">
        <v>1</v>
      </c>
      <c r="H650" t="s">
        <v>43</v>
      </c>
      <c r="I650" t="s">
        <v>44</v>
      </c>
      <c r="J650" t="s">
        <v>72</v>
      </c>
      <c r="K650" t="s">
        <v>0</v>
      </c>
      <c r="L650" t="s">
        <v>51</v>
      </c>
      <c r="M650" t="s">
        <v>1687</v>
      </c>
      <c r="N650" t="s">
        <v>388</v>
      </c>
      <c r="O650" t="s">
        <v>105</v>
      </c>
      <c r="P650" t="s">
        <v>1292</v>
      </c>
      <c r="Q650" t="s">
        <v>46</v>
      </c>
      <c r="R650" t="s">
        <v>47</v>
      </c>
      <c r="S650" t="s">
        <v>46</v>
      </c>
      <c r="T650" t="s">
        <v>46</v>
      </c>
      <c r="U650" s="4">
        <v>1032.25</v>
      </c>
      <c r="V650" t="str">
        <f t="shared" si="10"/>
        <v>0100</v>
      </c>
      <c r="W650" t="str">
        <f>VLOOKUP(K650,[1]Info!A$1:B$21,2,0)</f>
        <v>Carboval</v>
      </c>
      <c r="X650" t="str">
        <f>IF(M650="109595132","Material de Limpeza-Não Avaliar",IF(AND(K650="F20",M650&lt;&gt;109595132),IF(RIGHT(F650,2)="70","Infraestrutura de Planta","Prédios e Instalações"),IF(K650="FPC",VLOOKUP(F650,[1]Info!$E$2:$F$11,2,0),IF(K650="FGP",VLOOKUP(F650,[1]Info!$E$9:$F$10,2,0),IF(K650="F10",VLOOKUP(F650,[1]Info!$E$2:$F$3,2,0),VLOOKUP(K650,[1]Info!$A$1:$B$21,2,0))))))</f>
        <v>Carboval Canabrava</v>
      </c>
    </row>
    <row r="651" spans="1:24" x14ac:dyDescent="0.35">
      <c r="A651" t="s">
        <v>41</v>
      </c>
      <c r="B651" t="s">
        <v>1</v>
      </c>
      <c r="C651" t="s">
        <v>70</v>
      </c>
      <c r="D651" t="s">
        <v>100</v>
      </c>
      <c r="E651" t="s">
        <v>65</v>
      </c>
      <c r="F651">
        <v>7090170</v>
      </c>
      <c r="G651" t="s">
        <v>1</v>
      </c>
      <c r="H651" t="s">
        <v>43</v>
      </c>
      <c r="I651" t="s">
        <v>44</v>
      </c>
      <c r="J651" t="s">
        <v>72</v>
      </c>
      <c r="K651" t="s">
        <v>0</v>
      </c>
      <c r="L651" t="s">
        <v>51</v>
      </c>
      <c r="M651" t="s">
        <v>387</v>
      </c>
      <c r="N651" t="s">
        <v>348</v>
      </c>
      <c r="O651" t="s">
        <v>105</v>
      </c>
      <c r="P651" t="s">
        <v>1292</v>
      </c>
      <c r="Q651" t="s">
        <v>46</v>
      </c>
      <c r="R651" t="s">
        <v>47</v>
      </c>
      <c r="S651" t="s">
        <v>46</v>
      </c>
      <c r="T651" t="s">
        <v>46</v>
      </c>
      <c r="U651" s="4">
        <v>5821.9</v>
      </c>
      <c r="V651" t="str">
        <f t="shared" si="10"/>
        <v>0100</v>
      </c>
      <c r="W651" t="str">
        <f>VLOOKUP(K651,[1]Info!A$1:B$21,2,0)</f>
        <v>Carboval</v>
      </c>
      <c r="X651" t="str">
        <f>IF(M651="109595132","Material de Limpeza-Não Avaliar",IF(AND(K651="F20",M651&lt;&gt;109595132),IF(RIGHT(F651,2)="70","Infraestrutura de Planta","Prédios e Instalações"),IF(K651="FPC",VLOOKUP(F651,[1]Info!$E$2:$F$11,2,0),IF(K651="FGP",VLOOKUP(F651,[1]Info!$E$9:$F$10,2,0),IF(K651="F10",VLOOKUP(F651,[1]Info!$E$2:$F$3,2,0),VLOOKUP(K651,[1]Info!$A$1:$B$21,2,0))))))</f>
        <v>Carboval Canabrava</v>
      </c>
    </row>
    <row r="652" spans="1:24" x14ac:dyDescent="0.35">
      <c r="A652" t="s">
        <v>41</v>
      </c>
      <c r="B652" t="s">
        <v>1</v>
      </c>
      <c r="C652" t="s">
        <v>70</v>
      </c>
      <c r="D652" t="s">
        <v>100</v>
      </c>
      <c r="E652" t="s">
        <v>65</v>
      </c>
      <c r="F652">
        <v>7090170</v>
      </c>
      <c r="G652" t="s">
        <v>1</v>
      </c>
      <c r="H652" t="s">
        <v>43</v>
      </c>
      <c r="I652" t="s">
        <v>44</v>
      </c>
      <c r="J652" t="s">
        <v>72</v>
      </c>
      <c r="K652" t="s">
        <v>0</v>
      </c>
      <c r="L652" t="s">
        <v>51</v>
      </c>
      <c r="M652" t="s">
        <v>1688</v>
      </c>
      <c r="N652" t="s">
        <v>1689</v>
      </c>
      <c r="O652" t="s">
        <v>211</v>
      </c>
      <c r="P652" t="s">
        <v>1292</v>
      </c>
      <c r="Q652" t="s">
        <v>46</v>
      </c>
      <c r="R652" t="s">
        <v>47</v>
      </c>
      <c r="S652" t="s">
        <v>46</v>
      </c>
      <c r="T652" t="s">
        <v>46</v>
      </c>
      <c r="U652" s="4">
        <v>2704.51</v>
      </c>
      <c r="V652" t="str">
        <f t="shared" si="10"/>
        <v>0300</v>
      </c>
      <c r="W652" t="str">
        <f>VLOOKUP(K652,[1]Info!A$1:B$21,2,0)</f>
        <v>Carboval</v>
      </c>
      <c r="X652" t="str">
        <f>IF(M652="109595132","Material de Limpeza-Não Avaliar",IF(AND(K652="F20",M652&lt;&gt;109595132),IF(RIGHT(F652,2)="70","Infraestrutura de Planta","Prédios e Instalações"),IF(K652="FPC",VLOOKUP(F652,[1]Info!$E$2:$F$11,2,0),IF(K652="FGP",VLOOKUP(F652,[1]Info!$E$9:$F$10,2,0),IF(K652="F10",VLOOKUP(F652,[1]Info!$E$2:$F$3,2,0),VLOOKUP(K652,[1]Info!$A$1:$B$21,2,0))))))</f>
        <v>Carboval Canabrava</v>
      </c>
    </row>
    <row r="653" spans="1:24" x14ac:dyDescent="0.35">
      <c r="A653" t="s">
        <v>41</v>
      </c>
      <c r="B653" t="s">
        <v>1</v>
      </c>
      <c r="C653" t="s">
        <v>70</v>
      </c>
      <c r="D653" t="s">
        <v>329</v>
      </c>
      <c r="E653" t="s">
        <v>330</v>
      </c>
      <c r="F653">
        <v>7090170</v>
      </c>
      <c r="G653" t="s">
        <v>1</v>
      </c>
      <c r="H653" t="s">
        <v>43</v>
      </c>
      <c r="I653" t="s">
        <v>44</v>
      </c>
      <c r="J653" t="s">
        <v>72</v>
      </c>
      <c r="K653" t="s">
        <v>0</v>
      </c>
      <c r="L653" t="s">
        <v>51</v>
      </c>
      <c r="M653" t="s">
        <v>331</v>
      </c>
      <c r="N653" t="s">
        <v>332</v>
      </c>
      <c r="O653" t="s">
        <v>333</v>
      </c>
      <c r="P653" t="s">
        <v>1292</v>
      </c>
      <c r="Q653" t="s">
        <v>46</v>
      </c>
      <c r="R653" t="s">
        <v>47</v>
      </c>
      <c r="S653" t="s">
        <v>46</v>
      </c>
      <c r="T653" t="s">
        <v>46</v>
      </c>
      <c r="U653" s="4">
        <v>2145</v>
      </c>
      <c r="V653" t="str">
        <f t="shared" si="10"/>
        <v>-200</v>
      </c>
      <c r="W653" t="str">
        <f>VLOOKUP(K653,[1]Info!A$1:B$21,2,0)</f>
        <v>Carboval</v>
      </c>
      <c r="X653" t="str">
        <f>IF(M653="109595132","Material de Limpeza-Não Avaliar",IF(AND(K653="F20",M653&lt;&gt;109595132),IF(RIGHT(F653,2)="70","Infraestrutura de Planta","Prédios e Instalações"),IF(K653="FPC",VLOOKUP(F653,[1]Info!$E$2:$F$11,2,0),IF(K653="FGP",VLOOKUP(F653,[1]Info!$E$9:$F$10,2,0),IF(K653="F10",VLOOKUP(F653,[1]Info!$E$2:$F$3,2,0),VLOOKUP(K653,[1]Info!$A$1:$B$21,2,0))))))</f>
        <v>Carboval Canabrava</v>
      </c>
    </row>
    <row r="654" spans="1:24" x14ac:dyDescent="0.35">
      <c r="A654" t="s">
        <v>41</v>
      </c>
      <c r="B654" t="s">
        <v>1</v>
      </c>
      <c r="C654" t="s">
        <v>70</v>
      </c>
      <c r="D654" t="s">
        <v>106</v>
      </c>
      <c r="E654" t="s">
        <v>107</v>
      </c>
      <c r="F654">
        <v>7090170</v>
      </c>
      <c r="G654" t="s">
        <v>1</v>
      </c>
      <c r="H654" t="s">
        <v>43</v>
      </c>
      <c r="I654" t="s">
        <v>44</v>
      </c>
      <c r="J654" t="s">
        <v>72</v>
      </c>
      <c r="K654" t="s">
        <v>0</v>
      </c>
      <c r="L654" t="s">
        <v>59</v>
      </c>
      <c r="M654" t="s">
        <v>1690</v>
      </c>
      <c r="N654" t="s">
        <v>1691</v>
      </c>
      <c r="O654" t="s">
        <v>1692</v>
      </c>
      <c r="P654" t="s">
        <v>1292</v>
      </c>
      <c r="Q654" t="s">
        <v>46</v>
      </c>
      <c r="R654" t="s">
        <v>47</v>
      </c>
      <c r="S654" t="s">
        <v>1693</v>
      </c>
      <c r="T654" t="s">
        <v>1694</v>
      </c>
      <c r="U654" s="4">
        <v>819.33</v>
      </c>
      <c r="V654" t="str">
        <f t="shared" si="10"/>
        <v>-100</v>
      </c>
      <c r="W654" t="str">
        <f>VLOOKUP(K654,[1]Info!A$1:B$21,2,0)</f>
        <v>Carboval</v>
      </c>
      <c r="X654" t="str">
        <f>IF(M654="109595132","Material de Limpeza-Não Avaliar",IF(AND(K654="F20",M654&lt;&gt;109595132),IF(RIGHT(F654,2)="70","Infraestrutura de Planta","Prédios e Instalações"),IF(K654="FPC",VLOOKUP(F654,[1]Info!$E$2:$F$11,2,0),IF(K654="FGP",VLOOKUP(F654,[1]Info!$E$9:$F$10,2,0),IF(K654="F10",VLOOKUP(F654,[1]Info!$E$2:$F$3,2,0),VLOOKUP(K654,[1]Info!$A$1:$B$21,2,0))))))</f>
        <v>Carboval Canabrava</v>
      </c>
    </row>
    <row r="655" spans="1:24" x14ac:dyDescent="0.35">
      <c r="A655" t="s">
        <v>41</v>
      </c>
      <c r="B655" t="s">
        <v>1</v>
      </c>
      <c r="C655" t="s">
        <v>70</v>
      </c>
      <c r="D655" t="s">
        <v>106</v>
      </c>
      <c r="E655" t="s">
        <v>107</v>
      </c>
      <c r="F655">
        <v>7090170</v>
      </c>
      <c r="G655" t="s">
        <v>1</v>
      </c>
      <c r="H655" t="s">
        <v>43</v>
      </c>
      <c r="I655" t="s">
        <v>44</v>
      </c>
      <c r="J655" t="s">
        <v>72</v>
      </c>
      <c r="K655" t="s">
        <v>0</v>
      </c>
      <c r="L655" t="s">
        <v>1545</v>
      </c>
      <c r="M655" t="s">
        <v>1695</v>
      </c>
      <c r="N655" t="s">
        <v>1696</v>
      </c>
      <c r="O655" t="s">
        <v>211</v>
      </c>
      <c r="P655" t="s">
        <v>1292</v>
      </c>
      <c r="Q655" t="s">
        <v>46</v>
      </c>
      <c r="R655" t="s">
        <v>47</v>
      </c>
      <c r="S655" t="s">
        <v>1697</v>
      </c>
      <c r="T655" t="s">
        <v>1698</v>
      </c>
      <c r="U655" s="4">
        <v>15944.67</v>
      </c>
      <c r="V655" t="str">
        <f t="shared" si="10"/>
        <v>0300</v>
      </c>
      <c r="W655" t="str">
        <f>VLOOKUP(K655,[1]Info!A$1:B$21,2,0)</f>
        <v>Carboval</v>
      </c>
      <c r="X655" t="str">
        <f>IF(M655="109595132","Material de Limpeza-Não Avaliar",IF(AND(K655="F20",M655&lt;&gt;109595132),IF(RIGHT(F655,2)="70","Infraestrutura de Planta","Prédios e Instalações"),IF(K655="FPC",VLOOKUP(F655,[1]Info!$E$2:$F$11,2,0),IF(K655="FGP",VLOOKUP(F655,[1]Info!$E$9:$F$10,2,0),IF(K655="F10",VLOOKUP(F655,[1]Info!$E$2:$F$3,2,0),VLOOKUP(K655,[1]Info!$A$1:$B$21,2,0))))))</f>
        <v>Carboval Canabrava</v>
      </c>
    </row>
    <row r="656" spans="1:24" x14ac:dyDescent="0.35">
      <c r="A656" t="s">
        <v>41</v>
      </c>
      <c r="B656" t="s">
        <v>1</v>
      </c>
      <c r="C656" t="s">
        <v>70</v>
      </c>
      <c r="D656" t="s">
        <v>106</v>
      </c>
      <c r="E656" t="s">
        <v>107</v>
      </c>
      <c r="F656">
        <v>7090170</v>
      </c>
      <c r="G656" t="s">
        <v>1</v>
      </c>
      <c r="H656" t="s">
        <v>43</v>
      </c>
      <c r="I656" t="s">
        <v>44</v>
      </c>
      <c r="J656" t="s">
        <v>72</v>
      </c>
      <c r="K656" t="s">
        <v>0</v>
      </c>
      <c r="L656" t="s">
        <v>1545</v>
      </c>
      <c r="M656" t="s">
        <v>1699</v>
      </c>
      <c r="N656" t="s">
        <v>1617</v>
      </c>
      <c r="O656" t="s">
        <v>211</v>
      </c>
      <c r="P656" t="s">
        <v>1292</v>
      </c>
      <c r="Q656" t="s">
        <v>46</v>
      </c>
      <c r="R656" t="s">
        <v>47</v>
      </c>
      <c r="S656" t="s">
        <v>1697</v>
      </c>
      <c r="T656" t="s">
        <v>1698</v>
      </c>
      <c r="U656" s="4">
        <v>15945.8</v>
      </c>
      <c r="V656" t="str">
        <f t="shared" si="10"/>
        <v>0300</v>
      </c>
      <c r="W656" t="str">
        <f>VLOOKUP(K656,[1]Info!A$1:B$21,2,0)</f>
        <v>Carboval</v>
      </c>
      <c r="X656" t="str">
        <f>IF(M656="109595132","Material de Limpeza-Não Avaliar",IF(AND(K656="F20",M656&lt;&gt;109595132),IF(RIGHT(F656,2)="70","Infraestrutura de Planta","Prédios e Instalações"),IF(K656="FPC",VLOOKUP(F656,[1]Info!$E$2:$F$11,2,0),IF(K656="FGP",VLOOKUP(F656,[1]Info!$E$9:$F$10,2,0),IF(K656="F10",VLOOKUP(F656,[1]Info!$E$2:$F$3,2,0),VLOOKUP(K656,[1]Info!$A$1:$B$21,2,0))))))</f>
        <v>Carboval Canabrava</v>
      </c>
    </row>
    <row r="657" spans="1:24" x14ac:dyDescent="0.35">
      <c r="A657" t="s">
        <v>41</v>
      </c>
      <c r="B657" t="s">
        <v>1</v>
      </c>
      <c r="C657" t="s">
        <v>70</v>
      </c>
      <c r="D657" t="s">
        <v>106</v>
      </c>
      <c r="E657" t="s">
        <v>107</v>
      </c>
      <c r="F657">
        <v>7090170</v>
      </c>
      <c r="G657" t="s">
        <v>1</v>
      </c>
      <c r="H657" t="s">
        <v>43</v>
      </c>
      <c r="I657" t="s">
        <v>44</v>
      </c>
      <c r="J657" t="s">
        <v>72</v>
      </c>
      <c r="K657" t="s">
        <v>0</v>
      </c>
      <c r="L657" t="s">
        <v>51</v>
      </c>
      <c r="M657" t="s">
        <v>1700</v>
      </c>
      <c r="N657" t="s">
        <v>348</v>
      </c>
      <c r="O657" t="s">
        <v>105</v>
      </c>
      <c r="P657" t="s">
        <v>1292</v>
      </c>
      <c r="Q657" t="s">
        <v>46</v>
      </c>
      <c r="R657" t="s">
        <v>47</v>
      </c>
      <c r="S657" t="s">
        <v>1483</v>
      </c>
      <c r="T657" t="s">
        <v>1484</v>
      </c>
      <c r="U657" s="4">
        <v>8915.86</v>
      </c>
      <c r="V657" t="str">
        <f t="shared" si="10"/>
        <v>0100</v>
      </c>
      <c r="W657" t="str">
        <f>VLOOKUP(K657,[1]Info!A$1:B$21,2,0)</f>
        <v>Carboval</v>
      </c>
      <c r="X657" t="str">
        <f>IF(M657="109595132","Material de Limpeza-Não Avaliar",IF(AND(K657="F20",M657&lt;&gt;109595132),IF(RIGHT(F657,2)="70","Infraestrutura de Planta","Prédios e Instalações"),IF(K657="FPC",VLOOKUP(F657,[1]Info!$E$2:$F$11,2,0),IF(K657="FGP",VLOOKUP(F657,[1]Info!$E$9:$F$10,2,0),IF(K657="F10",VLOOKUP(F657,[1]Info!$E$2:$F$3,2,0),VLOOKUP(K657,[1]Info!$A$1:$B$21,2,0))))))</f>
        <v>Carboval Canabrava</v>
      </c>
    </row>
    <row r="658" spans="1:24" x14ac:dyDescent="0.35">
      <c r="A658" t="s">
        <v>41</v>
      </c>
      <c r="B658" t="s">
        <v>1</v>
      </c>
      <c r="C658" t="s">
        <v>70</v>
      </c>
      <c r="D658" t="s">
        <v>106</v>
      </c>
      <c r="E658" t="s">
        <v>107</v>
      </c>
      <c r="F658">
        <v>7090170</v>
      </c>
      <c r="G658" t="s">
        <v>1</v>
      </c>
      <c r="H658" t="s">
        <v>43</v>
      </c>
      <c r="I658" t="s">
        <v>44</v>
      </c>
      <c r="J658" t="s">
        <v>72</v>
      </c>
      <c r="K658" t="s">
        <v>0</v>
      </c>
      <c r="L658" t="s">
        <v>51</v>
      </c>
      <c r="M658" t="s">
        <v>1701</v>
      </c>
      <c r="N658" t="s">
        <v>830</v>
      </c>
      <c r="O658" t="s">
        <v>783</v>
      </c>
      <c r="P658" t="s">
        <v>1292</v>
      </c>
      <c r="Q658" t="s">
        <v>46</v>
      </c>
      <c r="R658" t="s">
        <v>47</v>
      </c>
      <c r="S658" t="s">
        <v>1483</v>
      </c>
      <c r="T658" t="s">
        <v>1484</v>
      </c>
      <c r="U658" s="4">
        <v>1500.2</v>
      </c>
      <c r="V658" t="str">
        <f t="shared" si="10"/>
        <v>1100</v>
      </c>
      <c r="W658" t="str">
        <f>VLOOKUP(K658,[1]Info!A$1:B$21,2,0)</f>
        <v>Carboval</v>
      </c>
      <c r="X658" t="str">
        <f>IF(M658="109595132","Material de Limpeza-Não Avaliar",IF(AND(K658="F20",M658&lt;&gt;109595132),IF(RIGHT(F658,2)="70","Infraestrutura de Planta","Prédios e Instalações"),IF(K658="FPC",VLOOKUP(F658,[1]Info!$E$2:$F$11,2,0),IF(K658="FGP",VLOOKUP(F658,[1]Info!$E$9:$F$10,2,0),IF(K658="F10",VLOOKUP(F658,[1]Info!$E$2:$F$3,2,0),VLOOKUP(K658,[1]Info!$A$1:$B$21,2,0))))))</f>
        <v>Carboval Canabrava</v>
      </c>
    </row>
    <row r="659" spans="1:24" x14ac:dyDescent="0.35">
      <c r="A659" t="s">
        <v>41</v>
      </c>
      <c r="B659" t="s">
        <v>1</v>
      </c>
      <c r="C659" t="s">
        <v>70</v>
      </c>
      <c r="D659" t="s">
        <v>106</v>
      </c>
      <c r="E659" t="s">
        <v>107</v>
      </c>
      <c r="F659">
        <v>7090170</v>
      </c>
      <c r="G659" t="s">
        <v>1</v>
      </c>
      <c r="H659" t="s">
        <v>43</v>
      </c>
      <c r="I659" t="s">
        <v>44</v>
      </c>
      <c r="J659" t="s">
        <v>72</v>
      </c>
      <c r="K659" t="s">
        <v>0</v>
      </c>
      <c r="L659" t="s">
        <v>51</v>
      </c>
      <c r="M659" t="s">
        <v>1702</v>
      </c>
      <c r="N659" t="s">
        <v>223</v>
      </c>
      <c r="O659" t="s">
        <v>213</v>
      </c>
      <c r="P659" t="s">
        <v>1292</v>
      </c>
      <c r="Q659" t="s">
        <v>46</v>
      </c>
      <c r="R659" t="s">
        <v>47</v>
      </c>
      <c r="S659" t="s">
        <v>1483</v>
      </c>
      <c r="T659" t="s">
        <v>1484</v>
      </c>
      <c r="U659" s="4">
        <v>5143.5600000000004</v>
      </c>
      <c r="V659" t="str">
        <f t="shared" si="10"/>
        <v>0400</v>
      </c>
      <c r="W659" t="str">
        <f>VLOOKUP(K659,[1]Info!A$1:B$21,2,0)</f>
        <v>Carboval</v>
      </c>
      <c r="X659" t="str">
        <f>IF(M659="109595132","Material de Limpeza-Não Avaliar",IF(AND(K659="F20",M659&lt;&gt;109595132),IF(RIGHT(F659,2)="70","Infraestrutura de Planta","Prédios e Instalações"),IF(K659="FPC",VLOOKUP(F659,[1]Info!$E$2:$F$11,2,0),IF(K659="FGP",VLOOKUP(F659,[1]Info!$E$9:$F$10,2,0),IF(K659="F10",VLOOKUP(F659,[1]Info!$E$2:$F$3,2,0),VLOOKUP(K659,[1]Info!$A$1:$B$21,2,0))))))</f>
        <v>Carboval Canabrava</v>
      </c>
    </row>
    <row r="660" spans="1:24" x14ac:dyDescent="0.35">
      <c r="A660" t="s">
        <v>41</v>
      </c>
      <c r="B660" t="s">
        <v>1</v>
      </c>
      <c r="C660" t="s">
        <v>70</v>
      </c>
      <c r="D660" t="s">
        <v>106</v>
      </c>
      <c r="E660" t="s">
        <v>107</v>
      </c>
      <c r="F660">
        <v>7090170</v>
      </c>
      <c r="G660" t="s">
        <v>1</v>
      </c>
      <c r="H660" t="s">
        <v>43</v>
      </c>
      <c r="I660" t="s">
        <v>44</v>
      </c>
      <c r="J660" t="s">
        <v>72</v>
      </c>
      <c r="K660" t="s">
        <v>0</v>
      </c>
      <c r="L660" t="s">
        <v>51</v>
      </c>
      <c r="M660" t="s">
        <v>1703</v>
      </c>
      <c r="N660" t="s">
        <v>771</v>
      </c>
      <c r="O660" t="s">
        <v>211</v>
      </c>
      <c r="P660" t="s">
        <v>1292</v>
      </c>
      <c r="Q660" t="s">
        <v>46</v>
      </c>
      <c r="R660" t="s">
        <v>47</v>
      </c>
      <c r="S660" t="s">
        <v>1483</v>
      </c>
      <c r="T660" t="s">
        <v>1484</v>
      </c>
      <c r="U660" s="4">
        <v>2571.7800000000002</v>
      </c>
      <c r="V660" t="str">
        <f t="shared" si="10"/>
        <v>0300</v>
      </c>
      <c r="W660" t="str">
        <f>VLOOKUP(K660,[1]Info!A$1:B$21,2,0)</f>
        <v>Carboval</v>
      </c>
      <c r="X660" t="str">
        <f>IF(M660="109595132","Material de Limpeza-Não Avaliar",IF(AND(K660="F20",M660&lt;&gt;109595132),IF(RIGHT(F660,2)="70","Infraestrutura de Planta","Prédios e Instalações"),IF(K660="FPC",VLOOKUP(F660,[1]Info!$E$2:$F$11,2,0),IF(K660="FGP",VLOOKUP(F660,[1]Info!$E$9:$F$10,2,0),IF(K660="F10",VLOOKUP(F660,[1]Info!$E$2:$F$3,2,0),VLOOKUP(K660,[1]Info!$A$1:$B$21,2,0))))))</f>
        <v>Carboval Canabrava</v>
      </c>
    </row>
    <row r="661" spans="1:24" x14ac:dyDescent="0.35">
      <c r="A661" t="s">
        <v>41</v>
      </c>
      <c r="B661" t="s">
        <v>1</v>
      </c>
      <c r="C661" t="s">
        <v>70</v>
      </c>
      <c r="D661" t="s">
        <v>106</v>
      </c>
      <c r="E661" t="s">
        <v>107</v>
      </c>
      <c r="F661">
        <v>7090170</v>
      </c>
      <c r="G661" t="s">
        <v>1</v>
      </c>
      <c r="H661" t="s">
        <v>43</v>
      </c>
      <c r="I661" t="s">
        <v>44</v>
      </c>
      <c r="J661" t="s">
        <v>72</v>
      </c>
      <c r="K661" t="s">
        <v>0</v>
      </c>
      <c r="L661" t="s">
        <v>51</v>
      </c>
      <c r="M661" t="s">
        <v>1704</v>
      </c>
      <c r="N661" t="s">
        <v>830</v>
      </c>
      <c r="O661" t="s">
        <v>211</v>
      </c>
      <c r="P661" t="s">
        <v>1292</v>
      </c>
      <c r="Q661" t="s">
        <v>46</v>
      </c>
      <c r="R661" t="s">
        <v>47</v>
      </c>
      <c r="S661" t="s">
        <v>1483</v>
      </c>
      <c r="T661" t="s">
        <v>1484</v>
      </c>
      <c r="U661" s="4">
        <v>355.19</v>
      </c>
      <c r="V661" t="str">
        <f t="shared" si="10"/>
        <v>0300</v>
      </c>
      <c r="W661" t="str">
        <f>VLOOKUP(K661,[1]Info!A$1:B$21,2,0)</f>
        <v>Carboval</v>
      </c>
      <c r="X661" t="str">
        <f>IF(M661="109595132","Material de Limpeza-Não Avaliar",IF(AND(K661="F20",M661&lt;&gt;109595132),IF(RIGHT(F661,2)="70","Infraestrutura de Planta","Prédios e Instalações"),IF(K661="FPC",VLOOKUP(F661,[1]Info!$E$2:$F$11,2,0),IF(K661="FGP",VLOOKUP(F661,[1]Info!$E$9:$F$10,2,0),IF(K661="F10",VLOOKUP(F661,[1]Info!$E$2:$F$3,2,0),VLOOKUP(K661,[1]Info!$A$1:$B$21,2,0))))))</f>
        <v>Carboval Canabrava</v>
      </c>
    </row>
    <row r="662" spans="1:24" x14ac:dyDescent="0.35">
      <c r="A662" t="s">
        <v>41</v>
      </c>
      <c r="B662" t="s">
        <v>1</v>
      </c>
      <c r="C662" t="s">
        <v>70</v>
      </c>
      <c r="D662" t="s">
        <v>106</v>
      </c>
      <c r="E662" t="s">
        <v>107</v>
      </c>
      <c r="F662">
        <v>7090170</v>
      </c>
      <c r="G662" t="s">
        <v>1</v>
      </c>
      <c r="H662" t="s">
        <v>43</v>
      </c>
      <c r="I662" t="s">
        <v>44</v>
      </c>
      <c r="J662" t="s">
        <v>72</v>
      </c>
      <c r="K662" t="s">
        <v>0</v>
      </c>
      <c r="L662" t="s">
        <v>51</v>
      </c>
      <c r="M662" t="s">
        <v>1705</v>
      </c>
      <c r="N662" t="s">
        <v>830</v>
      </c>
      <c r="O662" t="s">
        <v>783</v>
      </c>
      <c r="P662" t="s">
        <v>1292</v>
      </c>
      <c r="Q662" t="s">
        <v>46</v>
      </c>
      <c r="R662" t="s">
        <v>47</v>
      </c>
      <c r="S662" t="s">
        <v>1483</v>
      </c>
      <c r="T662" t="s">
        <v>1484</v>
      </c>
      <c r="U662" s="4">
        <v>710.39</v>
      </c>
      <c r="V662" t="str">
        <f t="shared" si="10"/>
        <v>1100</v>
      </c>
      <c r="W662" t="str">
        <f>VLOOKUP(K662,[1]Info!A$1:B$21,2,0)</f>
        <v>Carboval</v>
      </c>
      <c r="X662" t="str">
        <f>IF(M662="109595132","Material de Limpeza-Não Avaliar",IF(AND(K662="F20",M662&lt;&gt;109595132),IF(RIGHT(F662,2)="70","Infraestrutura de Planta","Prédios e Instalações"),IF(K662="FPC",VLOOKUP(F662,[1]Info!$E$2:$F$11,2,0),IF(K662="FGP",VLOOKUP(F662,[1]Info!$E$9:$F$10,2,0),IF(K662="F10",VLOOKUP(F662,[1]Info!$E$2:$F$3,2,0),VLOOKUP(K662,[1]Info!$A$1:$B$21,2,0))))))</f>
        <v>Carboval Canabrava</v>
      </c>
    </row>
    <row r="663" spans="1:24" x14ac:dyDescent="0.35">
      <c r="A663" t="s">
        <v>41</v>
      </c>
      <c r="B663" t="s">
        <v>1</v>
      </c>
      <c r="C663" t="s">
        <v>70</v>
      </c>
      <c r="D663" t="s">
        <v>106</v>
      </c>
      <c r="E663" t="s">
        <v>107</v>
      </c>
      <c r="F663">
        <v>7090170</v>
      </c>
      <c r="G663" t="s">
        <v>1</v>
      </c>
      <c r="H663" t="s">
        <v>43</v>
      </c>
      <c r="I663" t="s">
        <v>44</v>
      </c>
      <c r="J663" t="s">
        <v>72</v>
      </c>
      <c r="K663" t="s">
        <v>0</v>
      </c>
      <c r="L663" t="s">
        <v>51</v>
      </c>
      <c r="M663" t="s">
        <v>1706</v>
      </c>
      <c r="N663" t="s">
        <v>1659</v>
      </c>
      <c r="O663" t="s">
        <v>807</v>
      </c>
      <c r="P663" t="s">
        <v>1292</v>
      </c>
      <c r="Q663" t="s">
        <v>46</v>
      </c>
      <c r="R663" t="s">
        <v>47</v>
      </c>
      <c r="S663" t="s">
        <v>1483</v>
      </c>
      <c r="T663" t="s">
        <v>1484</v>
      </c>
      <c r="U663" s="4">
        <v>1065.5899999999999</v>
      </c>
      <c r="V663" t="str">
        <f t="shared" si="10"/>
        <v>1300</v>
      </c>
      <c r="W663" t="str">
        <f>VLOOKUP(K663,[1]Info!A$1:B$21,2,0)</f>
        <v>Carboval</v>
      </c>
      <c r="X663" t="str">
        <f>IF(M663="109595132","Material de Limpeza-Não Avaliar",IF(AND(K663="F20",M663&lt;&gt;109595132),IF(RIGHT(F663,2)="70","Infraestrutura de Planta","Prédios e Instalações"),IF(K663="FPC",VLOOKUP(F663,[1]Info!$E$2:$F$11,2,0),IF(K663="FGP",VLOOKUP(F663,[1]Info!$E$9:$F$10,2,0),IF(K663="F10",VLOOKUP(F663,[1]Info!$E$2:$F$3,2,0),VLOOKUP(K663,[1]Info!$A$1:$B$21,2,0))))))</f>
        <v>Carboval Canabrava</v>
      </c>
    </row>
    <row r="664" spans="1:24" x14ac:dyDescent="0.35">
      <c r="A664" t="s">
        <v>41</v>
      </c>
      <c r="B664" t="s">
        <v>1</v>
      </c>
      <c r="C664" t="s">
        <v>70</v>
      </c>
      <c r="D664" t="s">
        <v>106</v>
      </c>
      <c r="E664" t="s">
        <v>107</v>
      </c>
      <c r="F664">
        <v>7090170</v>
      </c>
      <c r="G664" t="s">
        <v>1</v>
      </c>
      <c r="H664" t="s">
        <v>43</v>
      </c>
      <c r="I664" t="s">
        <v>44</v>
      </c>
      <c r="J664" t="s">
        <v>72</v>
      </c>
      <c r="K664" t="s">
        <v>0</v>
      </c>
      <c r="L664" t="s">
        <v>51</v>
      </c>
      <c r="M664" t="s">
        <v>1707</v>
      </c>
      <c r="N664" t="s">
        <v>714</v>
      </c>
      <c r="O664" t="s">
        <v>715</v>
      </c>
      <c r="P664" t="s">
        <v>1292</v>
      </c>
      <c r="Q664" t="s">
        <v>46</v>
      </c>
      <c r="R664" t="s">
        <v>47</v>
      </c>
      <c r="S664" t="s">
        <v>1483</v>
      </c>
      <c r="T664" t="s">
        <v>1484</v>
      </c>
      <c r="U664" s="4">
        <v>2486.37</v>
      </c>
      <c r="V664" t="str">
        <f t="shared" si="10"/>
        <v>0800</v>
      </c>
      <c r="W664" t="str">
        <f>VLOOKUP(K664,[1]Info!A$1:B$21,2,0)</f>
        <v>Carboval</v>
      </c>
      <c r="X664" t="str">
        <f>IF(M664="109595132","Material de Limpeza-Não Avaliar",IF(AND(K664="F20",M664&lt;&gt;109595132),IF(RIGHT(F664,2)="70","Infraestrutura de Planta","Prédios e Instalações"),IF(K664="FPC",VLOOKUP(F664,[1]Info!$E$2:$F$11,2,0),IF(K664="FGP",VLOOKUP(F664,[1]Info!$E$9:$F$10,2,0),IF(K664="F10",VLOOKUP(F664,[1]Info!$E$2:$F$3,2,0),VLOOKUP(K664,[1]Info!$A$1:$B$21,2,0))))))</f>
        <v>Carboval Canabrava</v>
      </c>
    </row>
    <row r="665" spans="1:24" x14ac:dyDescent="0.35">
      <c r="A665" t="s">
        <v>41</v>
      </c>
      <c r="B665" t="s">
        <v>1</v>
      </c>
      <c r="C665" t="s">
        <v>70</v>
      </c>
      <c r="D665" t="s">
        <v>106</v>
      </c>
      <c r="E665" t="s">
        <v>107</v>
      </c>
      <c r="F665">
        <v>7090170</v>
      </c>
      <c r="G665" t="s">
        <v>1</v>
      </c>
      <c r="H665" t="s">
        <v>43</v>
      </c>
      <c r="I665" t="s">
        <v>44</v>
      </c>
      <c r="J665" t="s">
        <v>72</v>
      </c>
      <c r="K665" t="s">
        <v>0</v>
      </c>
      <c r="L665" t="s">
        <v>51</v>
      </c>
      <c r="M665" t="s">
        <v>1708</v>
      </c>
      <c r="N665" t="s">
        <v>222</v>
      </c>
      <c r="O665" t="s">
        <v>214</v>
      </c>
      <c r="P665" t="s">
        <v>1292</v>
      </c>
      <c r="Q665" t="s">
        <v>46</v>
      </c>
      <c r="R665" t="s">
        <v>47</v>
      </c>
      <c r="S665" t="s">
        <v>1483</v>
      </c>
      <c r="T665" t="s">
        <v>1484</v>
      </c>
      <c r="U665" s="4">
        <v>1065.5899999999999</v>
      </c>
      <c r="V665" t="str">
        <f t="shared" si="10"/>
        <v>WD01</v>
      </c>
      <c r="W665" t="str">
        <f>VLOOKUP(K665,[1]Info!A$1:B$21,2,0)</f>
        <v>Carboval</v>
      </c>
      <c r="X665" t="str">
        <f>IF(M665="109595132","Material de Limpeza-Não Avaliar",IF(AND(K665="F20",M665&lt;&gt;109595132),IF(RIGHT(F665,2)="70","Infraestrutura de Planta","Prédios e Instalações"),IF(K665="FPC",VLOOKUP(F665,[1]Info!$E$2:$F$11,2,0),IF(K665="FGP",VLOOKUP(F665,[1]Info!$E$9:$F$10,2,0),IF(K665="F10",VLOOKUP(F665,[1]Info!$E$2:$F$3,2,0),VLOOKUP(K665,[1]Info!$A$1:$B$21,2,0))))))</f>
        <v>Carboval Canabrava</v>
      </c>
    </row>
    <row r="666" spans="1:24" x14ac:dyDescent="0.35">
      <c r="A666" t="s">
        <v>41</v>
      </c>
      <c r="B666" t="s">
        <v>1</v>
      </c>
      <c r="C666" t="s">
        <v>70</v>
      </c>
      <c r="D666" t="s">
        <v>106</v>
      </c>
      <c r="E666" t="s">
        <v>107</v>
      </c>
      <c r="F666">
        <v>7090170</v>
      </c>
      <c r="G666" t="s">
        <v>1</v>
      </c>
      <c r="H666" t="s">
        <v>43</v>
      </c>
      <c r="I666" t="s">
        <v>44</v>
      </c>
      <c r="J666" t="s">
        <v>72</v>
      </c>
      <c r="K666" t="s">
        <v>0</v>
      </c>
      <c r="L666" t="s">
        <v>51</v>
      </c>
      <c r="M666" t="s">
        <v>1709</v>
      </c>
      <c r="N666" t="s">
        <v>223</v>
      </c>
      <c r="O666" t="s">
        <v>213</v>
      </c>
      <c r="P666" t="s">
        <v>1292</v>
      </c>
      <c r="Q666" t="s">
        <v>46</v>
      </c>
      <c r="R666" t="s">
        <v>47</v>
      </c>
      <c r="S666" t="s">
        <v>1604</v>
      </c>
      <c r="T666" t="s">
        <v>1605</v>
      </c>
      <c r="U666" s="4">
        <v>947.43</v>
      </c>
      <c r="V666" t="str">
        <f t="shared" si="10"/>
        <v>0400</v>
      </c>
      <c r="W666" t="str">
        <f>VLOOKUP(K666,[1]Info!A$1:B$21,2,0)</f>
        <v>Carboval</v>
      </c>
      <c r="X666" t="str">
        <f>IF(M666="109595132","Material de Limpeza-Não Avaliar",IF(AND(K666="F20",M666&lt;&gt;109595132),IF(RIGHT(F666,2)="70","Infraestrutura de Planta","Prédios e Instalações"),IF(K666="FPC",VLOOKUP(F666,[1]Info!$E$2:$F$11,2,0),IF(K666="FGP",VLOOKUP(F666,[1]Info!$E$9:$F$10,2,0),IF(K666="F10",VLOOKUP(F666,[1]Info!$E$2:$F$3,2,0),VLOOKUP(K666,[1]Info!$A$1:$B$21,2,0))))))</f>
        <v>Carboval Canabrava</v>
      </c>
    </row>
    <row r="667" spans="1:24" x14ac:dyDescent="0.35">
      <c r="A667" t="s">
        <v>41</v>
      </c>
      <c r="B667" t="s">
        <v>1</v>
      </c>
      <c r="C667" t="s">
        <v>70</v>
      </c>
      <c r="D667" t="s">
        <v>106</v>
      </c>
      <c r="E667" t="s">
        <v>107</v>
      </c>
      <c r="F667">
        <v>7090170</v>
      </c>
      <c r="G667" t="s">
        <v>1</v>
      </c>
      <c r="H667" t="s">
        <v>43</v>
      </c>
      <c r="I667" t="s">
        <v>44</v>
      </c>
      <c r="J667" t="s">
        <v>72</v>
      </c>
      <c r="K667" t="s">
        <v>0</v>
      </c>
      <c r="L667" t="s">
        <v>51</v>
      </c>
      <c r="M667" t="s">
        <v>224</v>
      </c>
      <c r="N667" t="s">
        <v>222</v>
      </c>
      <c r="O667" t="s">
        <v>214</v>
      </c>
      <c r="P667" t="s">
        <v>1292</v>
      </c>
      <c r="Q667" t="s">
        <v>46</v>
      </c>
      <c r="R667" t="s">
        <v>47</v>
      </c>
      <c r="S667" t="s">
        <v>1604</v>
      </c>
      <c r="T667" t="s">
        <v>1605</v>
      </c>
      <c r="U667" s="4">
        <v>2613.64</v>
      </c>
      <c r="V667" t="str">
        <f t="shared" si="10"/>
        <v>WD01</v>
      </c>
      <c r="W667" t="str">
        <f>VLOOKUP(K667,[1]Info!A$1:B$21,2,0)</f>
        <v>Carboval</v>
      </c>
      <c r="X667" t="str">
        <f>IF(M667="109595132","Material de Limpeza-Não Avaliar",IF(AND(K667="F20",M667&lt;&gt;109595132),IF(RIGHT(F667,2)="70","Infraestrutura de Planta","Prédios e Instalações"),IF(K667="FPC",VLOOKUP(F667,[1]Info!$E$2:$F$11,2,0),IF(K667="FGP",VLOOKUP(F667,[1]Info!$E$9:$F$10,2,0),IF(K667="F10",VLOOKUP(F667,[1]Info!$E$2:$F$3,2,0),VLOOKUP(K667,[1]Info!$A$1:$B$21,2,0))))))</f>
        <v>Carboval Canabrava</v>
      </c>
    </row>
    <row r="668" spans="1:24" x14ac:dyDescent="0.35">
      <c r="A668" t="s">
        <v>41</v>
      </c>
      <c r="B668" t="s">
        <v>1</v>
      </c>
      <c r="C668" t="s">
        <v>70</v>
      </c>
      <c r="D668" t="s">
        <v>106</v>
      </c>
      <c r="E668" t="s">
        <v>107</v>
      </c>
      <c r="F668">
        <v>7090170</v>
      </c>
      <c r="G668" t="s">
        <v>1</v>
      </c>
      <c r="H668" t="s">
        <v>43</v>
      </c>
      <c r="I668" t="s">
        <v>44</v>
      </c>
      <c r="J668" t="s">
        <v>72</v>
      </c>
      <c r="K668" t="s">
        <v>0</v>
      </c>
      <c r="L668" t="s">
        <v>51</v>
      </c>
      <c r="M668" t="s">
        <v>1710</v>
      </c>
      <c r="N668" t="s">
        <v>714</v>
      </c>
      <c r="O668" t="s">
        <v>715</v>
      </c>
      <c r="P668" t="s">
        <v>1292</v>
      </c>
      <c r="Q668" t="s">
        <v>46</v>
      </c>
      <c r="R668" t="s">
        <v>47</v>
      </c>
      <c r="S668" t="s">
        <v>1476</v>
      </c>
      <c r="T668" t="s">
        <v>1477</v>
      </c>
      <c r="U668" s="4">
        <v>3066.6</v>
      </c>
      <c r="V668" t="str">
        <f t="shared" si="10"/>
        <v>0800</v>
      </c>
      <c r="W668" t="str">
        <f>VLOOKUP(K668,[1]Info!A$1:B$21,2,0)</f>
        <v>Carboval</v>
      </c>
      <c r="X668" t="str">
        <f>IF(M668="109595132","Material de Limpeza-Não Avaliar",IF(AND(K668="F20",M668&lt;&gt;109595132),IF(RIGHT(F668,2)="70","Infraestrutura de Planta","Prédios e Instalações"),IF(K668="FPC",VLOOKUP(F668,[1]Info!$E$2:$F$11,2,0),IF(K668="FGP",VLOOKUP(F668,[1]Info!$E$9:$F$10,2,0),IF(K668="F10",VLOOKUP(F668,[1]Info!$E$2:$F$3,2,0),VLOOKUP(K668,[1]Info!$A$1:$B$21,2,0))))))</f>
        <v>Carboval Canabrava</v>
      </c>
    </row>
    <row r="669" spans="1:24" x14ac:dyDescent="0.35">
      <c r="A669" t="s">
        <v>41</v>
      </c>
      <c r="B669" t="s">
        <v>1</v>
      </c>
      <c r="C669" t="s">
        <v>70</v>
      </c>
      <c r="D669" t="s">
        <v>106</v>
      </c>
      <c r="E669" t="s">
        <v>107</v>
      </c>
      <c r="F669">
        <v>7090170</v>
      </c>
      <c r="G669" t="s">
        <v>1</v>
      </c>
      <c r="H669" t="s">
        <v>43</v>
      </c>
      <c r="I669" t="s">
        <v>44</v>
      </c>
      <c r="J669" t="s">
        <v>72</v>
      </c>
      <c r="K669" t="s">
        <v>0</v>
      </c>
      <c r="L669" t="s">
        <v>51</v>
      </c>
      <c r="M669" t="s">
        <v>1631</v>
      </c>
      <c r="N669" t="s">
        <v>1632</v>
      </c>
      <c r="O669" t="s">
        <v>105</v>
      </c>
      <c r="P669" t="s">
        <v>1292</v>
      </c>
      <c r="Q669" t="s">
        <v>46</v>
      </c>
      <c r="R669" t="s">
        <v>47</v>
      </c>
      <c r="S669" t="s">
        <v>1476</v>
      </c>
      <c r="T669" t="s">
        <v>1477</v>
      </c>
      <c r="U669" s="4">
        <v>7486.75</v>
      </c>
      <c r="V669" t="str">
        <f t="shared" si="10"/>
        <v>0100</v>
      </c>
      <c r="W669" t="str">
        <f>VLOOKUP(K669,[1]Info!A$1:B$21,2,0)</f>
        <v>Carboval</v>
      </c>
      <c r="X669" t="str">
        <f>IF(M669="109595132","Material de Limpeza-Não Avaliar",IF(AND(K669="F20",M669&lt;&gt;109595132),IF(RIGHT(F669,2)="70","Infraestrutura de Planta","Prédios e Instalações"),IF(K669="FPC",VLOOKUP(F669,[1]Info!$E$2:$F$11,2,0),IF(K669="FGP",VLOOKUP(F669,[1]Info!$E$9:$F$10,2,0),IF(K669="F10",VLOOKUP(F669,[1]Info!$E$2:$F$3,2,0),VLOOKUP(K669,[1]Info!$A$1:$B$21,2,0))))))</f>
        <v>Carboval Canabrava</v>
      </c>
    </row>
    <row r="670" spans="1:24" x14ac:dyDescent="0.35">
      <c r="A670" t="s">
        <v>41</v>
      </c>
      <c r="B670" t="s">
        <v>1</v>
      </c>
      <c r="C670" t="s">
        <v>70</v>
      </c>
      <c r="D670" t="s">
        <v>106</v>
      </c>
      <c r="E670" t="s">
        <v>107</v>
      </c>
      <c r="F670">
        <v>7090170</v>
      </c>
      <c r="G670" t="s">
        <v>1</v>
      </c>
      <c r="H670" t="s">
        <v>43</v>
      </c>
      <c r="I670" t="s">
        <v>44</v>
      </c>
      <c r="J670" t="s">
        <v>72</v>
      </c>
      <c r="K670" t="s">
        <v>0</v>
      </c>
      <c r="L670" t="s">
        <v>51</v>
      </c>
      <c r="M670" t="s">
        <v>738</v>
      </c>
      <c r="N670" t="s">
        <v>739</v>
      </c>
      <c r="O670" t="s">
        <v>740</v>
      </c>
      <c r="P670" t="s">
        <v>1292</v>
      </c>
      <c r="Q670" t="s">
        <v>46</v>
      </c>
      <c r="R670" t="s">
        <v>47</v>
      </c>
      <c r="S670" t="s">
        <v>1604</v>
      </c>
      <c r="T670" t="s">
        <v>1605</v>
      </c>
      <c r="U670" s="4">
        <v>779.18</v>
      </c>
      <c r="V670" t="str">
        <f t="shared" si="10"/>
        <v>-100</v>
      </c>
      <c r="W670" t="str">
        <f>VLOOKUP(K670,[1]Info!A$1:B$21,2,0)</f>
        <v>Carboval</v>
      </c>
      <c r="X670" t="str">
        <f>IF(M670="109595132","Material de Limpeza-Não Avaliar",IF(AND(K670="F20",M670&lt;&gt;109595132),IF(RIGHT(F670,2)="70","Infraestrutura de Planta","Prédios e Instalações"),IF(K670="FPC",VLOOKUP(F670,[1]Info!$E$2:$F$11,2,0),IF(K670="FGP",VLOOKUP(F670,[1]Info!$E$9:$F$10,2,0),IF(K670="F10",VLOOKUP(F670,[1]Info!$E$2:$F$3,2,0),VLOOKUP(K670,[1]Info!$A$1:$B$21,2,0))))))</f>
        <v>Carboval Canabrava</v>
      </c>
    </row>
    <row r="671" spans="1:24" x14ac:dyDescent="0.35">
      <c r="A671" t="s">
        <v>41</v>
      </c>
      <c r="B671" t="s">
        <v>1</v>
      </c>
      <c r="C671" t="s">
        <v>70</v>
      </c>
      <c r="D671" t="s">
        <v>106</v>
      </c>
      <c r="E671" t="s">
        <v>107</v>
      </c>
      <c r="F671">
        <v>7090170</v>
      </c>
      <c r="G671" t="s">
        <v>1</v>
      </c>
      <c r="H671" t="s">
        <v>43</v>
      </c>
      <c r="I671" t="s">
        <v>44</v>
      </c>
      <c r="J671" t="s">
        <v>72</v>
      </c>
      <c r="K671" t="s">
        <v>0</v>
      </c>
      <c r="L671" t="s">
        <v>51</v>
      </c>
      <c r="M671" t="s">
        <v>1641</v>
      </c>
      <c r="N671" t="s">
        <v>1642</v>
      </c>
      <c r="O671" t="s">
        <v>783</v>
      </c>
      <c r="P671" t="s">
        <v>1292</v>
      </c>
      <c r="Q671" t="s">
        <v>46</v>
      </c>
      <c r="R671" t="s">
        <v>47</v>
      </c>
      <c r="S671" t="s">
        <v>1604</v>
      </c>
      <c r="T671" t="s">
        <v>1605</v>
      </c>
      <c r="U671" s="4">
        <v>1501.6</v>
      </c>
      <c r="V671" t="str">
        <f t="shared" si="10"/>
        <v>1100</v>
      </c>
      <c r="W671" t="str">
        <f>VLOOKUP(K671,[1]Info!A$1:B$21,2,0)</f>
        <v>Carboval</v>
      </c>
      <c r="X671" t="str">
        <f>IF(M671="109595132","Material de Limpeza-Não Avaliar",IF(AND(K671="F20",M671&lt;&gt;109595132),IF(RIGHT(F671,2)="70","Infraestrutura de Planta","Prédios e Instalações"),IF(K671="FPC",VLOOKUP(F671,[1]Info!$E$2:$F$11,2,0),IF(K671="FGP",VLOOKUP(F671,[1]Info!$E$9:$F$10,2,0),IF(K671="F10",VLOOKUP(F671,[1]Info!$E$2:$F$3,2,0),VLOOKUP(K671,[1]Info!$A$1:$B$21,2,0))))))</f>
        <v>Carboval Canabrava</v>
      </c>
    </row>
    <row r="672" spans="1:24" x14ac:dyDescent="0.35">
      <c r="A672" t="s">
        <v>41</v>
      </c>
      <c r="B672" t="s">
        <v>1</v>
      </c>
      <c r="C672" t="s">
        <v>70</v>
      </c>
      <c r="D672" t="s">
        <v>106</v>
      </c>
      <c r="E672" t="s">
        <v>107</v>
      </c>
      <c r="F672">
        <v>7090170</v>
      </c>
      <c r="G672" t="s">
        <v>1</v>
      </c>
      <c r="H672" t="s">
        <v>43</v>
      </c>
      <c r="I672" t="s">
        <v>44</v>
      </c>
      <c r="J672" t="s">
        <v>72</v>
      </c>
      <c r="K672" t="s">
        <v>0</v>
      </c>
      <c r="L672" t="s">
        <v>51</v>
      </c>
      <c r="M672" t="s">
        <v>821</v>
      </c>
      <c r="N672" t="s">
        <v>822</v>
      </c>
      <c r="O672" t="s">
        <v>212</v>
      </c>
      <c r="P672" t="s">
        <v>1292</v>
      </c>
      <c r="Q672" t="s">
        <v>46</v>
      </c>
      <c r="R672" t="s">
        <v>47</v>
      </c>
      <c r="S672" t="s">
        <v>1604</v>
      </c>
      <c r="T672" t="s">
        <v>1605</v>
      </c>
      <c r="U672" s="4">
        <v>1501.6</v>
      </c>
      <c r="V672" t="str">
        <f t="shared" si="10"/>
        <v>-100</v>
      </c>
      <c r="W672" t="str">
        <f>VLOOKUP(K672,[1]Info!A$1:B$21,2,0)</f>
        <v>Carboval</v>
      </c>
      <c r="X672" t="str">
        <f>IF(M672="109595132","Material de Limpeza-Não Avaliar",IF(AND(K672="F20",M672&lt;&gt;109595132),IF(RIGHT(F672,2)="70","Infraestrutura de Planta","Prédios e Instalações"),IF(K672="FPC",VLOOKUP(F672,[1]Info!$E$2:$F$11,2,0),IF(K672="FGP",VLOOKUP(F672,[1]Info!$E$9:$F$10,2,0),IF(K672="F10",VLOOKUP(F672,[1]Info!$E$2:$F$3,2,0),VLOOKUP(K672,[1]Info!$A$1:$B$21,2,0))))))</f>
        <v>Carboval Canabrava</v>
      </c>
    </row>
    <row r="673" spans="1:24" x14ac:dyDescent="0.35">
      <c r="A673" t="s">
        <v>41</v>
      </c>
      <c r="B673" t="s">
        <v>1</v>
      </c>
      <c r="C673" t="s">
        <v>70</v>
      </c>
      <c r="D673" t="s">
        <v>106</v>
      </c>
      <c r="E673" t="s">
        <v>107</v>
      </c>
      <c r="F673">
        <v>7090170</v>
      </c>
      <c r="G673" t="s">
        <v>1</v>
      </c>
      <c r="H673" t="s">
        <v>43</v>
      </c>
      <c r="I673" t="s">
        <v>44</v>
      </c>
      <c r="J673" t="s">
        <v>72</v>
      </c>
      <c r="K673" t="s">
        <v>0</v>
      </c>
      <c r="L673" t="s">
        <v>51</v>
      </c>
      <c r="M673" t="s">
        <v>821</v>
      </c>
      <c r="N673" t="s">
        <v>822</v>
      </c>
      <c r="O673" t="s">
        <v>212</v>
      </c>
      <c r="P673" t="s">
        <v>1292</v>
      </c>
      <c r="Q673" t="s">
        <v>46</v>
      </c>
      <c r="R673" t="s">
        <v>47</v>
      </c>
      <c r="S673" t="s">
        <v>1711</v>
      </c>
      <c r="T673" t="s">
        <v>1712</v>
      </c>
      <c r="U673" s="4">
        <v>1603.13</v>
      </c>
      <c r="V673" t="str">
        <f t="shared" si="10"/>
        <v>-100</v>
      </c>
      <c r="W673" t="str">
        <f>VLOOKUP(K673,[1]Info!A$1:B$21,2,0)</f>
        <v>Carboval</v>
      </c>
      <c r="X673" t="str">
        <f>IF(M673="109595132","Material de Limpeza-Não Avaliar",IF(AND(K673="F20",M673&lt;&gt;109595132),IF(RIGHT(F673,2)="70","Infraestrutura de Planta","Prédios e Instalações"),IF(K673="FPC",VLOOKUP(F673,[1]Info!$E$2:$F$11,2,0),IF(K673="FGP",VLOOKUP(F673,[1]Info!$E$9:$F$10,2,0),IF(K673="F10",VLOOKUP(F673,[1]Info!$E$2:$F$3,2,0),VLOOKUP(K673,[1]Info!$A$1:$B$21,2,0))))))</f>
        <v>Carboval Canabrava</v>
      </c>
    </row>
    <row r="674" spans="1:24" x14ac:dyDescent="0.35">
      <c r="A674" t="s">
        <v>41</v>
      </c>
      <c r="B674" t="s">
        <v>1</v>
      </c>
      <c r="C674" t="s">
        <v>70</v>
      </c>
      <c r="D674" t="s">
        <v>106</v>
      </c>
      <c r="E674" t="s">
        <v>107</v>
      </c>
      <c r="F674">
        <v>7090170</v>
      </c>
      <c r="G674" t="s">
        <v>1</v>
      </c>
      <c r="H674" t="s">
        <v>43</v>
      </c>
      <c r="I674" t="s">
        <v>44</v>
      </c>
      <c r="J674" t="s">
        <v>72</v>
      </c>
      <c r="K674" t="s">
        <v>0</v>
      </c>
      <c r="L674" t="s">
        <v>51</v>
      </c>
      <c r="M674" t="s">
        <v>1645</v>
      </c>
      <c r="N674" t="s">
        <v>1646</v>
      </c>
      <c r="O674" t="s">
        <v>1551</v>
      </c>
      <c r="P674" t="s">
        <v>1292</v>
      </c>
      <c r="Q674" t="s">
        <v>46</v>
      </c>
      <c r="R674" t="s">
        <v>47</v>
      </c>
      <c r="S674" t="s">
        <v>1604</v>
      </c>
      <c r="T674" t="s">
        <v>1605</v>
      </c>
      <c r="U674" s="4">
        <v>1501.6</v>
      </c>
      <c r="V674" t="str">
        <f t="shared" si="10"/>
        <v>-300</v>
      </c>
      <c r="W674" t="str">
        <f>VLOOKUP(K674,[1]Info!A$1:B$21,2,0)</f>
        <v>Carboval</v>
      </c>
      <c r="X674" t="str">
        <f>IF(M674="109595132","Material de Limpeza-Não Avaliar",IF(AND(K674="F20",M674&lt;&gt;109595132),IF(RIGHT(F674,2)="70","Infraestrutura de Planta","Prédios e Instalações"),IF(K674="FPC",VLOOKUP(F674,[1]Info!$E$2:$F$11,2,0),IF(K674="FGP",VLOOKUP(F674,[1]Info!$E$9:$F$10,2,0),IF(K674="F10",VLOOKUP(F674,[1]Info!$E$2:$F$3,2,0),VLOOKUP(K674,[1]Info!$A$1:$B$21,2,0))))))</f>
        <v>Carboval Canabrava</v>
      </c>
    </row>
    <row r="675" spans="1:24" x14ac:dyDescent="0.35">
      <c r="A675" t="s">
        <v>41</v>
      </c>
      <c r="B675" t="s">
        <v>1</v>
      </c>
      <c r="C675" t="s">
        <v>70</v>
      </c>
      <c r="D675" t="s">
        <v>106</v>
      </c>
      <c r="E675" t="s">
        <v>107</v>
      </c>
      <c r="F675">
        <v>7090170</v>
      </c>
      <c r="G675" t="s">
        <v>1</v>
      </c>
      <c r="H675" t="s">
        <v>43</v>
      </c>
      <c r="I675" t="s">
        <v>44</v>
      </c>
      <c r="J675" t="s">
        <v>72</v>
      </c>
      <c r="K675" t="s">
        <v>0</v>
      </c>
      <c r="L675" t="s">
        <v>51</v>
      </c>
      <c r="M675" t="s">
        <v>1713</v>
      </c>
      <c r="N675" t="s">
        <v>388</v>
      </c>
      <c r="O675" t="s">
        <v>105</v>
      </c>
      <c r="P675" t="s">
        <v>1292</v>
      </c>
      <c r="Q675" t="s">
        <v>46</v>
      </c>
      <c r="R675" t="s">
        <v>47</v>
      </c>
      <c r="S675" t="s">
        <v>1604</v>
      </c>
      <c r="T675" t="s">
        <v>1605</v>
      </c>
      <c r="U675" s="4">
        <v>600.32000000000005</v>
      </c>
      <c r="V675" t="str">
        <f t="shared" si="10"/>
        <v>0100</v>
      </c>
      <c r="W675" t="str">
        <f>VLOOKUP(K675,[1]Info!A$1:B$21,2,0)</f>
        <v>Carboval</v>
      </c>
      <c r="X675" t="str">
        <f>IF(M675="109595132","Material de Limpeza-Não Avaliar",IF(AND(K675="F20",M675&lt;&gt;109595132),IF(RIGHT(F675,2)="70","Infraestrutura de Planta","Prédios e Instalações"),IF(K675="FPC",VLOOKUP(F675,[1]Info!$E$2:$F$11,2,0),IF(K675="FGP",VLOOKUP(F675,[1]Info!$E$9:$F$10,2,0),IF(K675="F10",VLOOKUP(F675,[1]Info!$E$2:$F$3,2,0),VLOOKUP(K675,[1]Info!$A$1:$B$21,2,0))))))</f>
        <v>Carboval Canabrava</v>
      </c>
    </row>
    <row r="676" spans="1:24" x14ac:dyDescent="0.35">
      <c r="A676" t="s">
        <v>41</v>
      </c>
      <c r="B676" t="s">
        <v>73</v>
      </c>
      <c r="C676" t="s">
        <v>74</v>
      </c>
      <c r="D676" t="s">
        <v>837</v>
      </c>
      <c r="E676" t="s">
        <v>838</v>
      </c>
      <c r="F676">
        <v>7091870</v>
      </c>
      <c r="G676" t="s">
        <v>162</v>
      </c>
      <c r="H676" t="s">
        <v>43</v>
      </c>
      <c r="I676" t="s">
        <v>44</v>
      </c>
      <c r="J676" t="s">
        <v>163</v>
      </c>
      <c r="K676" t="s">
        <v>6</v>
      </c>
      <c r="L676" t="s">
        <v>51</v>
      </c>
      <c r="M676" t="s">
        <v>839</v>
      </c>
      <c r="N676" t="s">
        <v>840</v>
      </c>
      <c r="O676" t="s">
        <v>841</v>
      </c>
      <c r="P676" t="s">
        <v>383</v>
      </c>
      <c r="Q676" t="s">
        <v>842</v>
      </c>
      <c r="R676" t="s">
        <v>843</v>
      </c>
      <c r="S676" t="s">
        <v>46</v>
      </c>
      <c r="T676" t="s">
        <v>46</v>
      </c>
      <c r="U676" s="4">
        <v>153.33000000000001</v>
      </c>
      <c r="V676" t="str">
        <f t="shared" si="10"/>
        <v>0050</v>
      </c>
      <c r="W676" t="str">
        <f>VLOOKUP(K676,[1]Info!A$1:B$21,2,0)</f>
        <v>Equipamentos Carbonização</v>
      </c>
      <c r="X676" t="str">
        <f>IF(M676="109595132","Material de Limpeza-Não Avaliar",IF(AND(K676="F20",M676&lt;&gt;109595132),IF(RIGHT(F676,2)="70","Infraestrutura de Planta","Prédios e Instalações"),IF(K676="FPC",VLOOKUP(F676,[1]Info!$E$2:$F$11,2,0),IF(K676="FGP",VLOOKUP(F676,[1]Info!$E$9:$F$10,2,0),IF(K676="F10",VLOOKUP(F676,[1]Info!$E$2:$F$3,2,0),VLOOKUP(K676,[1]Info!$A$1:$B$21,2,0))))))</f>
        <v>Equipamentos Carbonização</v>
      </c>
    </row>
    <row r="677" spans="1:24" x14ac:dyDescent="0.35">
      <c r="A677" t="s">
        <v>41</v>
      </c>
      <c r="B677" t="s">
        <v>73</v>
      </c>
      <c r="C677" t="s">
        <v>74</v>
      </c>
      <c r="D677" t="s">
        <v>837</v>
      </c>
      <c r="E677" t="s">
        <v>838</v>
      </c>
      <c r="F677">
        <v>7091370</v>
      </c>
      <c r="G677" t="s">
        <v>242</v>
      </c>
      <c r="H677" t="s">
        <v>43</v>
      </c>
      <c r="I677" t="s">
        <v>44</v>
      </c>
      <c r="J677" t="s">
        <v>50</v>
      </c>
      <c r="K677" t="s">
        <v>6</v>
      </c>
      <c r="L677" t="s">
        <v>51</v>
      </c>
      <c r="M677" t="s">
        <v>844</v>
      </c>
      <c r="N677" t="s">
        <v>845</v>
      </c>
      <c r="O677" t="s">
        <v>846</v>
      </c>
      <c r="P677" t="s">
        <v>383</v>
      </c>
      <c r="Q677" t="s">
        <v>842</v>
      </c>
      <c r="R677" t="s">
        <v>843</v>
      </c>
      <c r="S677" t="s">
        <v>46</v>
      </c>
      <c r="T677" t="s">
        <v>46</v>
      </c>
      <c r="U677" s="4">
        <v>153.33000000000001</v>
      </c>
      <c r="V677" t="str">
        <f t="shared" si="10"/>
        <v>-005</v>
      </c>
      <c r="W677" t="str">
        <f>VLOOKUP(K677,[1]Info!A$1:B$21,2,0)</f>
        <v>Equipamentos Carbonização</v>
      </c>
      <c r="X677" t="str">
        <f>IF(M677="109595132","Material de Limpeza-Não Avaliar",IF(AND(K677="F20",M677&lt;&gt;109595132),IF(RIGHT(F677,2)="70","Infraestrutura de Planta","Prédios e Instalações"),IF(K677="FPC",VLOOKUP(F677,[1]Info!$E$2:$F$11,2,0),IF(K677="FGP",VLOOKUP(F677,[1]Info!$E$9:$F$10,2,0),IF(K677="F10",VLOOKUP(F677,[1]Info!$E$2:$F$3,2,0),VLOOKUP(K677,[1]Info!$A$1:$B$21,2,0))))))</f>
        <v>Equipamentos Carbonização</v>
      </c>
    </row>
    <row r="678" spans="1:24" x14ac:dyDescent="0.35">
      <c r="A678" t="s">
        <v>41</v>
      </c>
      <c r="B678" t="s">
        <v>73</v>
      </c>
      <c r="C678" t="s">
        <v>74</v>
      </c>
      <c r="D678" t="s">
        <v>368</v>
      </c>
      <c r="E678" t="s">
        <v>369</v>
      </c>
      <c r="F678">
        <v>7098131</v>
      </c>
      <c r="G678" t="s">
        <v>75</v>
      </c>
      <c r="H678" t="s">
        <v>43</v>
      </c>
      <c r="I678" t="s">
        <v>44</v>
      </c>
      <c r="J678" t="s">
        <v>50</v>
      </c>
      <c r="K678" t="s">
        <v>3</v>
      </c>
      <c r="L678" t="s">
        <v>51</v>
      </c>
      <c r="M678" t="s">
        <v>1714</v>
      </c>
      <c r="N678" t="s">
        <v>1715</v>
      </c>
      <c r="O678" t="s">
        <v>1562</v>
      </c>
      <c r="P678" t="s">
        <v>1292</v>
      </c>
      <c r="Q678" t="s">
        <v>46</v>
      </c>
      <c r="R678" t="s">
        <v>47</v>
      </c>
      <c r="S678" t="s">
        <v>372</v>
      </c>
      <c r="T678" t="s">
        <v>373</v>
      </c>
      <c r="U678" s="4">
        <v>1479.22</v>
      </c>
      <c r="V678" t="str">
        <f t="shared" si="10"/>
        <v>C039</v>
      </c>
      <c r="W678" t="str">
        <f>VLOOKUP(K678,[1]Info!A$1:B$21,2,0)</f>
        <v>Carregadeira</v>
      </c>
      <c r="X678" t="str">
        <f>IF(M678="109595132","Material de Limpeza-Não Avaliar",IF(AND(K678="F20",M678&lt;&gt;109595132),IF(RIGHT(F678,2)="70","Infraestrutura de Planta","Prédios e Instalações"),IF(K678="FPC",VLOOKUP(F678,[1]Info!$E$2:$F$11,2,0),IF(K678="FGP",VLOOKUP(F678,[1]Info!$E$9:$F$10,2,0),IF(K678="F10",VLOOKUP(F678,[1]Info!$E$2:$F$3,2,0),VLOOKUP(K678,[1]Info!$A$1:$B$21,2,0))))))</f>
        <v>Carregadeira Plantas</v>
      </c>
    </row>
    <row r="679" spans="1:24" x14ac:dyDescent="0.35">
      <c r="A679" t="s">
        <v>41</v>
      </c>
      <c r="B679" t="s">
        <v>73</v>
      </c>
      <c r="C679" t="s">
        <v>74</v>
      </c>
      <c r="D679" t="s">
        <v>368</v>
      </c>
      <c r="E679" t="s">
        <v>369</v>
      </c>
      <c r="F679">
        <v>7092370</v>
      </c>
      <c r="G679" t="s">
        <v>292</v>
      </c>
      <c r="H679" t="s">
        <v>43</v>
      </c>
      <c r="I679" t="s">
        <v>44</v>
      </c>
      <c r="J679" t="s">
        <v>208</v>
      </c>
      <c r="K679" t="s">
        <v>7</v>
      </c>
      <c r="L679" t="s">
        <v>148</v>
      </c>
      <c r="M679" t="s">
        <v>1716</v>
      </c>
      <c r="N679" t="s">
        <v>1717</v>
      </c>
      <c r="O679" t="s">
        <v>1718</v>
      </c>
      <c r="P679" t="s">
        <v>1292</v>
      </c>
      <c r="Q679" t="s">
        <v>46</v>
      </c>
      <c r="R679" t="s">
        <v>47</v>
      </c>
      <c r="S679" t="s">
        <v>1719</v>
      </c>
      <c r="T679" t="s">
        <v>1720</v>
      </c>
      <c r="U679" s="4">
        <v>3178.04</v>
      </c>
      <c r="V679" t="str">
        <f t="shared" si="10"/>
        <v>-035</v>
      </c>
      <c r="W679" t="str">
        <f>VLOOKUP(K679,[1]Info!A$1:B$21,2,0)</f>
        <v>Fornos Retangulares - Engenharia e Obras</v>
      </c>
      <c r="X679" t="str">
        <f>IF(M679="109595132","Material de Limpeza-Não Avaliar",IF(AND(K679="F20",M679&lt;&gt;109595132),IF(RIGHT(F679,2)="70","Infraestrutura de Planta","Prédios e Instalações"),IF(K679="FPC",VLOOKUP(F679,[1]Info!$E$2:$F$11,2,0),IF(K679="FGP",VLOOKUP(F679,[1]Info!$E$9:$F$10,2,0),IF(K679="F10",VLOOKUP(F679,[1]Info!$E$2:$F$3,2,0),VLOOKUP(K679,[1]Info!$A$1:$B$21,2,0))))))</f>
        <v>Fornos Retangulares - Engenharia e Obras</v>
      </c>
    </row>
    <row r="680" spans="1:24" x14ac:dyDescent="0.35">
      <c r="A680" t="s">
        <v>41</v>
      </c>
      <c r="B680" t="s">
        <v>73</v>
      </c>
      <c r="C680" t="s">
        <v>74</v>
      </c>
      <c r="D680" t="s">
        <v>368</v>
      </c>
      <c r="E680" t="s">
        <v>369</v>
      </c>
      <c r="F680">
        <v>7091870</v>
      </c>
      <c r="G680" t="s">
        <v>162</v>
      </c>
      <c r="H680" t="s">
        <v>43</v>
      </c>
      <c r="I680" t="s">
        <v>44</v>
      </c>
      <c r="J680" t="s">
        <v>163</v>
      </c>
      <c r="K680" t="s">
        <v>7</v>
      </c>
      <c r="L680" t="s">
        <v>148</v>
      </c>
      <c r="M680" t="s">
        <v>1721</v>
      </c>
      <c r="N680" t="s">
        <v>1722</v>
      </c>
      <c r="O680" t="s">
        <v>1723</v>
      </c>
      <c r="P680" t="s">
        <v>1292</v>
      </c>
      <c r="Q680" t="s">
        <v>46</v>
      </c>
      <c r="R680" t="s">
        <v>47</v>
      </c>
      <c r="S680" t="s">
        <v>1719</v>
      </c>
      <c r="T680" t="s">
        <v>1720</v>
      </c>
      <c r="U680" s="4">
        <v>1370.73</v>
      </c>
      <c r="V680" t="str">
        <f t="shared" si="10"/>
        <v>-040</v>
      </c>
      <c r="W680" t="str">
        <f>VLOOKUP(K680,[1]Info!A$1:B$21,2,0)</f>
        <v>Fornos Retangulares - Engenharia e Obras</v>
      </c>
      <c r="X680" t="str">
        <f>IF(M680="109595132","Material de Limpeza-Não Avaliar",IF(AND(K680="F20",M680&lt;&gt;109595132),IF(RIGHT(F680,2)="70","Infraestrutura de Planta","Prédios e Instalações"),IF(K680="FPC",VLOOKUP(F680,[1]Info!$E$2:$F$11,2,0),IF(K680="FGP",VLOOKUP(F680,[1]Info!$E$9:$F$10,2,0),IF(K680="F10",VLOOKUP(F680,[1]Info!$E$2:$F$3,2,0),VLOOKUP(K680,[1]Info!$A$1:$B$21,2,0))))))</f>
        <v>Fornos Retangulares - Engenharia e Obras</v>
      </c>
    </row>
    <row r="681" spans="1:24" x14ac:dyDescent="0.35">
      <c r="A681" t="s">
        <v>41</v>
      </c>
      <c r="B681" t="s">
        <v>73</v>
      </c>
      <c r="C681" t="s">
        <v>74</v>
      </c>
      <c r="D681" t="s">
        <v>368</v>
      </c>
      <c r="E681" t="s">
        <v>369</v>
      </c>
      <c r="F681">
        <v>7091870</v>
      </c>
      <c r="G681" t="s">
        <v>162</v>
      </c>
      <c r="H681" t="s">
        <v>43</v>
      </c>
      <c r="I681" t="s">
        <v>44</v>
      </c>
      <c r="J681" t="s">
        <v>163</v>
      </c>
      <c r="K681" t="s">
        <v>7</v>
      </c>
      <c r="L681" t="s">
        <v>148</v>
      </c>
      <c r="M681" t="s">
        <v>1724</v>
      </c>
      <c r="N681" t="s">
        <v>1725</v>
      </c>
      <c r="O681" t="s">
        <v>1726</v>
      </c>
      <c r="P681" t="s">
        <v>1292</v>
      </c>
      <c r="Q681" t="s">
        <v>46</v>
      </c>
      <c r="R681" t="s">
        <v>47</v>
      </c>
      <c r="S681" t="s">
        <v>1719</v>
      </c>
      <c r="T681" t="s">
        <v>1720</v>
      </c>
      <c r="U681" s="4">
        <v>3178.04</v>
      </c>
      <c r="V681" t="str">
        <f t="shared" si="10"/>
        <v>-030</v>
      </c>
      <c r="W681" t="str">
        <f>VLOOKUP(K681,[1]Info!A$1:B$21,2,0)</f>
        <v>Fornos Retangulares - Engenharia e Obras</v>
      </c>
      <c r="X681" t="str">
        <f>IF(M681="109595132","Material de Limpeza-Não Avaliar",IF(AND(K681="F20",M681&lt;&gt;109595132),IF(RIGHT(F681,2)="70","Infraestrutura de Planta","Prédios e Instalações"),IF(K681="FPC",VLOOKUP(F681,[1]Info!$E$2:$F$11,2,0),IF(K681="FGP",VLOOKUP(F681,[1]Info!$E$9:$F$10,2,0),IF(K681="F10",VLOOKUP(F681,[1]Info!$E$2:$F$3,2,0),VLOOKUP(K681,[1]Info!$A$1:$B$21,2,0))))))</f>
        <v>Fornos Retangulares - Engenharia e Obras</v>
      </c>
    </row>
    <row r="682" spans="1:24" x14ac:dyDescent="0.35">
      <c r="A682" t="s">
        <v>41</v>
      </c>
      <c r="B682" t="s">
        <v>73</v>
      </c>
      <c r="C682" t="s">
        <v>74</v>
      </c>
      <c r="D682" t="s">
        <v>368</v>
      </c>
      <c r="E682" t="s">
        <v>369</v>
      </c>
      <c r="F682">
        <v>7091870</v>
      </c>
      <c r="G682" t="s">
        <v>162</v>
      </c>
      <c r="H682" t="s">
        <v>43</v>
      </c>
      <c r="I682" t="s">
        <v>44</v>
      </c>
      <c r="J682" t="s">
        <v>163</v>
      </c>
      <c r="K682" t="s">
        <v>7</v>
      </c>
      <c r="L682" t="s">
        <v>148</v>
      </c>
      <c r="M682" t="s">
        <v>1727</v>
      </c>
      <c r="N682" t="s">
        <v>1728</v>
      </c>
      <c r="O682" t="s">
        <v>1729</v>
      </c>
      <c r="P682" t="s">
        <v>1292</v>
      </c>
      <c r="Q682" t="s">
        <v>46</v>
      </c>
      <c r="R682" t="s">
        <v>47</v>
      </c>
      <c r="S682" t="s">
        <v>1719</v>
      </c>
      <c r="T682" t="s">
        <v>1720</v>
      </c>
      <c r="U682" s="4">
        <v>3178.04</v>
      </c>
      <c r="V682" t="str">
        <f t="shared" si="10"/>
        <v>-030</v>
      </c>
      <c r="W682" t="str">
        <f>VLOOKUP(K682,[1]Info!A$1:B$21,2,0)</f>
        <v>Fornos Retangulares - Engenharia e Obras</v>
      </c>
      <c r="X682" t="str">
        <f>IF(M682="109595132","Material de Limpeza-Não Avaliar",IF(AND(K682="F20",M682&lt;&gt;109595132),IF(RIGHT(F682,2)="70","Infraestrutura de Planta","Prédios e Instalações"),IF(K682="FPC",VLOOKUP(F682,[1]Info!$E$2:$F$11,2,0),IF(K682="FGP",VLOOKUP(F682,[1]Info!$E$9:$F$10,2,0),IF(K682="F10",VLOOKUP(F682,[1]Info!$E$2:$F$3,2,0),VLOOKUP(K682,[1]Info!$A$1:$B$21,2,0))))))</f>
        <v>Fornos Retangulares - Engenharia e Obras</v>
      </c>
    </row>
    <row r="683" spans="1:24" x14ac:dyDescent="0.35">
      <c r="A683" t="s">
        <v>41</v>
      </c>
      <c r="B683" t="s">
        <v>73</v>
      </c>
      <c r="C683" t="s">
        <v>74</v>
      </c>
      <c r="D683" t="s">
        <v>368</v>
      </c>
      <c r="E683" t="s">
        <v>369</v>
      </c>
      <c r="F683">
        <v>7091870</v>
      </c>
      <c r="G683" t="s">
        <v>162</v>
      </c>
      <c r="H683" t="s">
        <v>43</v>
      </c>
      <c r="I683" t="s">
        <v>44</v>
      </c>
      <c r="J683" t="s">
        <v>163</v>
      </c>
      <c r="K683" t="s">
        <v>7</v>
      </c>
      <c r="L683" t="s">
        <v>148</v>
      </c>
      <c r="M683" t="s">
        <v>1730</v>
      </c>
      <c r="N683" t="s">
        <v>1731</v>
      </c>
      <c r="O683" t="s">
        <v>1732</v>
      </c>
      <c r="P683" t="s">
        <v>1292</v>
      </c>
      <c r="Q683" t="s">
        <v>46</v>
      </c>
      <c r="R683" t="s">
        <v>47</v>
      </c>
      <c r="S683" t="s">
        <v>1719</v>
      </c>
      <c r="T683" t="s">
        <v>1720</v>
      </c>
      <c r="U683" s="4">
        <v>1857.82</v>
      </c>
      <c r="V683" t="str">
        <f t="shared" si="10"/>
        <v>-045</v>
      </c>
      <c r="W683" t="str">
        <f>VLOOKUP(K683,[1]Info!A$1:B$21,2,0)</f>
        <v>Fornos Retangulares - Engenharia e Obras</v>
      </c>
      <c r="X683" t="str">
        <f>IF(M683="109595132","Material de Limpeza-Não Avaliar",IF(AND(K683="F20",M683&lt;&gt;109595132),IF(RIGHT(F683,2)="70","Infraestrutura de Planta","Prédios e Instalações"),IF(K683="FPC",VLOOKUP(F683,[1]Info!$E$2:$F$11,2,0),IF(K683="FGP",VLOOKUP(F683,[1]Info!$E$9:$F$10,2,0),IF(K683="F10",VLOOKUP(F683,[1]Info!$E$2:$F$3,2,0),VLOOKUP(K683,[1]Info!$A$1:$B$21,2,0))))))</f>
        <v>Fornos Retangulares - Engenharia e Obras</v>
      </c>
    </row>
    <row r="684" spans="1:24" x14ac:dyDescent="0.35">
      <c r="A684" t="s">
        <v>41</v>
      </c>
      <c r="B684" t="s">
        <v>73</v>
      </c>
      <c r="C684" t="s">
        <v>74</v>
      </c>
      <c r="D684" t="s">
        <v>368</v>
      </c>
      <c r="E684" t="s">
        <v>369</v>
      </c>
      <c r="F684">
        <v>7091870</v>
      </c>
      <c r="G684" t="s">
        <v>162</v>
      </c>
      <c r="H684" t="s">
        <v>43</v>
      </c>
      <c r="I684" t="s">
        <v>44</v>
      </c>
      <c r="J684" t="s">
        <v>163</v>
      </c>
      <c r="K684" t="s">
        <v>7</v>
      </c>
      <c r="L684" t="s">
        <v>148</v>
      </c>
      <c r="M684" t="s">
        <v>1733</v>
      </c>
      <c r="N684" t="s">
        <v>1734</v>
      </c>
      <c r="O684" t="s">
        <v>1723</v>
      </c>
      <c r="P684" t="s">
        <v>1292</v>
      </c>
      <c r="Q684" t="s">
        <v>46</v>
      </c>
      <c r="R684" t="s">
        <v>47</v>
      </c>
      <c r="S684" t="s">
        <v>1719</v>
      </c>
      <c r="T684" t="s">
        <v>1720</v>
      </c>
      <c r="U684" s="4">
        <v>3879.99</v>
      </c>
      <c r="V684" t="str">
        <f t="shared" si="10"/>
        <v>-040</v>
      </c>
      <c r="W684" t="str">
        <f>VLOOKUP(K684,[1]Info!A$1:B$21,2,0)</f>
        <v>Fornos Retangulares - Engenharia e Obras</v>
      </c>
      <c r="X684" t="str">
        <f>IF(M684="109595132","Material de Limpeza-Não Avaliar",IF(AND(K684="F20",M684&lt;&gt;109595132),IF(RIGHT(F684,2)="70","Infraestrutura de Planta","Prédios e Instalações"),IF(K684="FPC",VLOOKUP(F684,[1]Info!$E$2:$F$11,2,0),IF(K684="FGP",VLOOKUP(F684,[1]Info!$E$9:$F$10,2,0),IF(K684="F10",VLOOKUP(F684,[1]Info!$E$2:$F$3,2,0),VLOOKUP(K684,[1]Info!$A$1:$B$21,2,0))))))</f>
        <v>Fornos Retangulares - Engenharia e Obras</v>
      </c>
    </row>
    <row r="685" spans="1:24" x14ac:dyDescent="0.35">
      <c r="A685" t="s">
        <v>41</v>
      </c>
      <c r="B685" t="s">
        <v>73</v>
      </c>
      <c r="C685" t="s">
        <v>74</v>
      </c>
      <c r="D685" t="s">
        <v>368</v>
      </c>
      <c r="E685" t="s">
        <v>369</v>
      </c>
      <c r="F685">
        <v>7091870</v>
      </c>
      <c r="G685" t="s">
        <v>162</v>
      </c>
      <c r="H685" t="s">
        <v>43</v>
      </c>
      <c r="I685" t="s">
        <v>44</v>
      </c>
      <c r="J685" t="s">
        <v>163</v>
      </c>
      <c r="K685" t="s">
        <v>5</v>
      </c>
      <c r="L685" t="s">
        <v>148</v>
      </c>
      <c r="M685" t="s">
        <v>1735</v>
      </c>
      <c r="N685" t="s">
        <v>1736</v>
      </c>
      <c r="O685" t="s">
        <v>1737</v>
      </c>
      <c r="P685" t="s">
        <v>1292</v>
      </c>
      <c r="Q685" t="s">
        <v>46</v>
      </c>
      <c r="R685" t="s">
        <v>47</v>
      </c>
      <c r="S685" t="s">
        <v>1719</v>
      </c>
      <c r="T685" t="s">
        <v>1720</v>
      </c>
      <c r="U685" s="4">
        <v>3127.38</v>
      </c>
      <c r="V685" t="str">
        <f t="shared" si="10"/>
        <v>-035</v>
      </c>
      <c r="W685" t="str">
        <f>VLOOKUP(K685,[1]Info!A$1:B$21,2,0)</f>
        <v>Fornos / Carbonização (Setup)</v>
      </c>
      <c r="X685" t="str">
        <f>IF(M685="109595132","Material de Limpeza-Não Avaliar",IF(AND(K685="F20",M685&lt;&gt;109595132),IF(RIGHT(F685,2)="70","Infraestrutura de Planta","Prédios e Instalações"),IF(K685="FPC",VLOOKUP(F685,[1]Info!$E$2:$F$11,2,0),IF(K685="FGP",VLOOKUP(F685,[1]Info!$E$9:$F$10,2,0),IF(K685="F10",VLOOKUP(F685,[1]Info!$E$2:$F$3,2,0),VLOOKUP(K685,[1]Info!$A$1:$B$21,2,0))))))</f>
        <v>Fornos / Carbonização (Setup)</v>
      </c>
    </row>
    <row r="686" spans="1:24" x14ac:dyDescent="0.35">
      <c r="A686" t="s">
        <v>41</v>
      </c>
      <c r="B686" t="s">
        <v>73</v>
      </c>
      <c r="C686" t="s">
        <v>74</v>
      </c>
      <c r="D686" t="s">
        <v>368</v>
      </c>
      <c r="E686" t="s">
        <v>369</v>
      </c>
      <c r="F686">
        <v>7091870</v>
      </c>
      <c r="G686" t="s">
        <v>162</v>
      </c>
      <c r="H686" t="s">
        <v>43</v>
      </c>
      <c r="I686" t="s">
        <v>44</v>
      </c>
      <c r="J686" t="s">
        <v>163</v>
      </c>
      <c r="K686" t="s">
        <v>5</v>
      </c>
      <c r="L686" t="s">
        <v>148</v>
      </c>
      <c r="M686" t="s">
        <v>1738</v>
      </c>
      <c r="N686" t="s">
        <v>1739</v>
      </c>
      <c r="O686" t="s">
        <v>1740</v>
      </c>
      <c r="P686" t="s">
        <v>1292</v>
      </c>
      <c r="Q686" t="s">
        <v>46</v>
      </c>
      <c r="R686" t="s">
        <v>47</v>
      </c>
      <c r="S686" t="s">
        <v>1719</v>
      </c>
      <c r="T686" t="s">
        <v>1720</v>
      </c>
      <c r="U686" s="4">
        <v>3127.38</v>
      </c>
      <c r="V686" t="str">
        <f t="shared" si="10"/>
        <v>-035</v>
      </c>
      <c r="W686" t="str">
        <f>VLOOKUP(K686,[1]Info!A$1:B$21,2,0)</f>
        <v>Fornos / Carbonização (Setup)</v>
      </c>
      <c r="X686" t="str">
        <f>IF(M686="109595132","Material de Limpeza-Não Avaliar",IF(AND(K686="F20",M686&lt;&gt;109595132),IF(RIGHT(F686,2)="70","Infraestrutura de Planta","Prédios e Instalações"),IF(K686="FPC",VLOOKUP(F686,[1]Info!$E$2:$F$11,2,0),IF(K686="FGP",VLOOKUP(F686,[1]Info!$E$9:$F$10,2,0),IF(K686="F10",VLOOKUP(F686,[1]Info!$E$2:$F$3,2,0),VLOOKUP(K686,[1]Info!$A$1:$B$21,2,0))))))</f>
        <v>Fornos / Carbonização (Setup)</v>
      </c>
    </row>
    <row r="687" spans="1:24" x14ac:dyDescent="0.35">
      <c r="A687" t="s">
        <v>41</v>
      </c>
      <c r="B687" t="s">
        <v>73</v>
      </c>
      <c r="C687" t="s">
        <v>74</v>
      </c>
      <c r="D687" t="s">
        <v>368</v>
      </c>
      <c r="E687" t="s">
        <v>369</v>
      </c>
      <c r="F687">
        <v>7091870</v>
      </c>
      <c r="G687" t="s">
        <v>162</v>
      </c>
      <c r="H687" t="s">
        <v>43</v>
      </c>
      <c r="I687" t="s">
        <v>44</v>
      </c>
      <c r="J687" t="s">
        <v>208</v>
      </c>
      <c r="K687" t="s">
        <v>7</v>
      </c>
      <c r="L687" t="s">
        <v>148</v>
      </c>
      <c r="M687" t="s">
        <v>1741</v>
      </c>
      <c r="N687" t="s">
        <v>1742</v>
      </c>
      <c r="O687" t="s">
        <v>1743</v>
      </c>
      <c r="P687" t="s">
        <v>1292</v>
      </c>
      <c r="Q687" t="s">
        <v>46</v>
      </c>
      <c r="R687" t="s">
        <v>47</v>
      </c>
      <c r="S687" t="s">
        <v>1719</v>
      </c>
      <c r="T687" t="s">
        <v>1720</v>
      </c>
      <c r="U687" s="4">
        <v>3178.04</v>
      </c>
      <c r="V687" t="str">
        <f t="shared" si="10"/>
        <v>-035</v>
      </c>
      <c r="W687" t="str">
        <f>VLOOKUP(K687,[1]Info!A$1:B$21,2,0)</f>
        <v>Fornos Retangulares - Engenharia e Obras</v>
      </c>
      <c r="X687" t="str">
        <f>IF(M687="109595132","Material de Limpeza-Não Avaliar",IF(AND(K687="F20",M687&lt;&gt;109595132),IF(RIGHT(F687,2)="70","Infraestrutura de Planta","Prédios e Instalações"),IF(K687="FPC",VLOOKUP(F687,[1]Info!$E$2:$F$11,2,0),IF(K687="FGP",VLOOKUP(F687,[1]Info!$E$9:$F$10,2,0),IF(K687="F10",VLOOKUP(F687,[1]Info!$E$2:$F$3,2,0),VLOOKUP(K687,[1]Info!$A$1:$B$21,2,0))))))</f>
        <v>Fornos Retangulares - Engenharia e Obras</v>
      </c>
    </row>
    <row r="688" spans="1:24" x14ac:dyDescent="0.35">
      <c r="A688" t="s">
        <v>41</v>
      </c>
      <c r="B688" t="s">
        <v>73</v>
      </c>
      <c r="C688" t="s">
        <v>74</v>
      </c>
      <c r="D688" t="s">
        <v>93</v>
      </c>
      <c r="E688" t="s">
        <v>56</v>
      </c>
      <c r="F688">
        <v>7098527</v>
      </c>
      <c r="G688" t="s">
        <v>172</v>
      </c>
      <c r="H688" t="s">
        <v>43</v>
      </c>
      <c r="I688" t="s">
        <v>44</v>
      </c>
      <c r="J688" t="s">
        <v>50</v>
      </c>
      <c r="K688" t="s">
        <v>4</v>
      </c>
      <c r="L688" t="s">
        <v>62</v>
      </c>
      <c r="M688" t="s">
        <v>847</v>
      </c>
      <c r="N688" t="s">
        <v>848</v>
      </c>
      <c r="O688" t="s">
        <v>173</v>
      </c>
      <c r="P688" t="s">
        <v>383</v>
      </c>
      <c r="Q688" t="s">
        <v>477</v>
      </c>
      <c r="R688" t="s">
        <v>478</v>
      </c>
      <c r="S688" t="s">
        <v>46</v>
      </c>
      <c r="T688" t="s">
        <v>46</v>
      </c>
      <c r="U688" s="4">
        <v>654.55999999999995</v>
      </c>
      <c r="V688" t="str">
        <f t="shared" si="10"/>
        <v>GP02</v>
      </c>
      <c r="W688" t="str">
        <f>VLOOKUP(K688,[1]Info!A$1:B$21,2,0)</f>
        <v>Garra Picadora</v>
      </c>
      <c r="X688" t="str">
        <f>IF(M688="109595132","Material de Limpeza-Não Avaliar",IF(AND(K688="F20",M688&lt;&gt;109595132),IF(RIGHT(F688,2)="70","Infraestrutura de Planta","Prédios e Instalações"),IF(K688="FPC",VLOOKUP(F688,[1]Info!$E$2:$F$11,2,0),IF(K688="FGP",VLOOKUP(F688,[1]Info!$E$9:$F$10,2,0),IF(K688="F10",VLOOKUP(F688,[1]Info!$E$2:$F$3,2,0),VLOOKUP(K688,[1]Info!$A$1:$B$21,2,0))))))</f>
        <v>Garra Picadora Diamante</v>
      </c>
    </row>
    <row r="689" spans="1:24" x14ac:dyDescent="0.35">
      <c r="A689" t="s">
        <v>41</v>
      </c>
      <c r="B689" t="s">
        <v>73</v>
      </c>
      <c r="C689" t="s">
        <v>74</v>
      </c>
      <c r="D689" t="s">
        <v>93</v>
      </c>
      <c r="E689" t="s">
        <v>56</v>
      </c>
      <c r="F689">
        <v>7098527</v>
      </c>
      <c r="G689" t="s">
        <v>172</v>
      </c>
      <c r="H689" t="s">
        <v>43</v>
      </c>
      <c r="I689" t="s">
        <v>44</v>
      </c>
      <c r="J689" t="s">
        <v>50</v>
      </c>
      <c r="K689" t="s">
        <v>4</v>
      </c>
      <c r="L689" t="s">
        <v>62</v>
      </c>
      <c r="M689" t="s">
        <v>847</v>
      </c>
      <c r="N689" t="s">
        <v>848</v>
      </c>
      <c r="O689" t="s">
        <v>173</v>
      </c>
      <c r="P689" t="s">
        <v>383</v>
      </c>
      <c r="Q689" t="s">
        <v>349</v>
      </c>
      <c r="R689" t="s">
        <v>350</v>
      </c>
      <c r="S689" t="s">
        <v>46</v>
      </c>
      <c r="T689" t="s">
        <v>46</v>
      </c>
      <c r="U689" s="4">
        <v>168.78</v>
      </c>
      <c r="V689" t="str">
        <f t="shared" si="10"/>
        <v>GP02</v>
      </c>
      <c r="W689" t="str">
        <f>VLOOKUP(K689,[1]Info!A$1:B$21,2,0)</f>
        <v>Garra Picadora</v>
      </c>
      <c r="X689" t="str">
        <f>IF(M689="109595132","Material de Limpeza-Não Avaliar",IF(AND(K689="F20",M689&lt;&gt;109595132),IF(RIGHT(F689,2)="70","Infraestrutura de Planta","Prédios e Instalações"),IF(K689="FPC",VLOOKUP(F689,[1]Info!$E$2:$F$11,2,0),IF(K689="FGP",VLOOKUP(F689,[1]Info!$E$9:$F$10,2,0),IF(K689="F10",VLOOKUP(F689,[1]Info!$E$2:$F$3,2,0),VLOOKUP(K689,[1]Info!$A$1:$B$21,2,0))))))</f>
        <v>Garra Picadora Diamante</v>
      </c>
    </row>
    <row r="690" spans="1:24" x14ac:dyDescent="0.35">
      <c r="A690" t="s">
        <v>41</v>
      </c>
      <c r="B690" t="s">
        <v>73</v>
      </c>
      <c r="C690" t="s">
        <v>74</v>
      </c>
      <c r="D690" t="s">
        <v>93</v>
      </c>
      <c r="E690" t="s">
        <v>56</v>
      </c>
      <c r="F690">
        <v>7098527</v>
      </c>
      <c r="G690" t="s">
        <v>172</v>
      </c>
      <c r="H690" t="s">
        <v>43</v>
      </c>
      <c r="I690" t="s">
        <v>44</v>
      </c>
      <c r="J690" t="s">
        <v>50</v>
      </c>
      <c r="K690" t="s">
        <v>4</v>
      </c>
      <c r="L690" t="s">
        <v>62</v>
      </c>
      <c r="M690" t="s">
        <v>847</v>
      </c>
      <c r="N690" t="s">
        <v>848</v>
      </c>
      <c r="O690" t="s">
        <v>173</v>
      </c>
      <c r="P690" t="s">
        <v>383</v>
      </c>
      <c r="Q690" t="s">
        <v>119</v>
      </c>
      <c r="R690" t="s">
        <v>120</v>
      </c>
      <c r="S690" t="s">
        <v>46</v>
      </c>
      <c r="T690" t="s">
        <v>46</v>
      </c>
      <c r="U690" s="4">
        <v>261.77</v>
      </c>
      <c r="V690" t="str">
        <f t="shared" si="10"/>
        <v>GP02</v>
      </c>
      <c r="W690" t="str">
        <f>VLOOKUP(K690,[1]Info!A$1:B$21,2,0)</f>
        <v>Garra Picadora</v>
      </c>
      <c r="X690" t="str">
        <f>IF(M690="109595132","Material de Limpeza-Não Avaliar",IF(AND(K690="F20",M690&lt;&gt;109595132),IF(RIGHT(F690,2)="70","Infraestrutura de Planta","Prédios e Instalações"),IF(K690="FPC",VLOOKUP(F690,[1]Info!$E$2:$F$11,2,0),IF(K690="FGP",VLOOKUP(F690,[1]Info!$E$9:$F$10,2,0),IF(K690="F10",VLOOKUP(F690,[1]Info!$E$2:$F$3,2,0),VLOOKUP(K690,[1]Info!$A$1:$B$21,2,0))))))</f>
        <v>Garra Picadora Diamante</v>
      </c>
    </row>
    <row r="691" spans="1:24" x14ac:dyDescent="0.35">
      <c r="A691" t="s">
        <v>41</v>
      </c>
      <c r="B691" t="s">
        <v>73</v>
      </c>
      <c r="C691" t="s">
        <v>74</v>
      </c>
      <c r="D691" t="s">
        <v>93</v>
      </c>
      <c r="E691" t="s">
        <v>56</v>
      </c>
      <c r="F691">
        <v>7098527</v>
      </c>
      <c r="G691" t="s">
        <v>172</v>
      </c>
      <c r="H691" t="s">
        <v>43</v>
      </c>
      <c r="I691" t="s">
        <v>44</v>
      </c>
      <c r="J691" t="s">
        <v>50</v>
      </c>
      <c r="K691" t="s">
        <v>4</v>
      </c>
      <c r="L691" t="s">
        <v>62</v>
      </c>
      <c r="M691" t="s">
        <v>847</v>
      </c>
      <c r="N691" t="s">
        <v>848</v>
      </c>
      <c r="O691" t="s">
        <v>173</v>
      </c>
      <c r="P691" t="s">
        <v>383</v>
      </c>
      <c r="Q691" t="s">
        <v>849</v>
      </c>
      <c r="R691" t="s">
        <v>850</v>
      </c>
      <c r="S691" t="s">
        <v>46</v>
      </c>
      <c r="T691" t="s">
        <v>46</v>
      </c>
      <c r="U691" s="4">
        <v>857.22</v>
      </c>
      <c r="V691" t="str">
        <f t="shared" si="10"/>
        <v>GP02</v>
      </c>
      <c r="W691" t="str">
        <f>VLOOKUP(K691,[1]Info!A$1:B$21,2,0)</f>
        <v>Garra Picadora</v>
      </c>
      <c r="X691" t="str">
        <f>IF(M691="109595132","Material de Limpeza-Não Avaliar",IF(AND(K691="F20",M691&lt;&gt;109595132),IF(RIGHT(F691,2)="70","Infraestrutura de Planta","Prédios e Instalações"),IF(K691="FPC",VLOOKUP(F691,[1]Info!$E$2:$F$11,2,0),IF(K691="FGP",VLOOKUP(F691,[1]Info!$E$9:$F$10,2,0),IF(K691="F10",VLOOKUP(F691,[1]Info!$E$2:$F$3,2,0),VLOOKUP(K691,[1]Info!$A$1:$B$21,2,0))))))</f>
        <v>Garra Picadora Diamante</v>
      </c>
    </row>
    <row r="692" spans="1:24" x14ac:dyDescent="0.35">
      <c r="A692" t="s">
        <v>41</v>
      </c>
      <c r="B692" t="s">
        <v>73</v>
      </c>
      <c r="C692" t="s">
        <v>74</v>
      </c>
      <c r="D692" t="s">
        <v>93</v>
      </c>
      <c r="E692" t="s">
        <v>56</v>
      </c>
      <c r="F692">
        <v>7098527</v>
      </c>
      <c r="G692" t="s">
        <v>172</v>
      </c>
      <c r="H692" t="s">
        <v>43</v>
      </c>
      <c r="I692" t="s">
        <v>44</v>
      </c>
      <c r="J692" t="s">
        <v>50</v>
      </c>
      <c r="K692" t="s">
        <v>4</v>
      </c>
      <c r="L692" t="s">
        <v>62</v>
      </c>
      <c r="M692" t="s">
        <v>847</v>
      </c>
      <c r="N692" t="s">
        <v>848</v>
      </c>
      <c r="O692" t="s">
        <v>173</v>
      </c>
      <c r="P692" t="s">
        <v>383</v>
      </c>
      <c r="Q692" t="s">
        <v>351</v>
      </c>
      <c r="R692" t="s">
        <v>352</v>
      </c>
      <c r="S692" t="s">
        <v>46</v>
      </c>
      <c r="T692" t="s">
        <v>46</v>
      </c>
      <c r="U692" s="4">
        <v>507.75</v>
      </c>
      <c r="V692" t="str">
        <f t="shared" si="10"/>
        <v>GP02</v>
      </c>
      <c r="W692" t="str">
        <f>VLOOKUP(K692,[1]Info!A$1:B$21,2,0)</f>
        <v>Garra Picadora</v>
      </c>
      <c r="X692" t="str">
        <f>IF(M692="109595132","Material de Limpeza-Não Avaliar",IF(AND(K692="F20",M692&lt;&gt;109595132),IF(RIGHT(F692,2)="70","Infraestrutura de Planta","Prédios e Instalações"),IF(K692="FPC",VLOOKUP(F692,[1]Info!$E$2:$F$11,2,0),IF(K692="FGP",VLOOKUP(F692,[1]Info!$E$9:$F$10,2,0),IF(K692="F10",VLOOKUP(F692,[1]Info!$E$2:$F$3,2,0),VLOOKUP(K692,[1]Info!$A$1:$B$21,2,0))))))</f>
        <v>Garra Picadora Diamante</v>
      </c>
    </row>
    <row r="693" spans="1:24" x14ac:dyDescent="0.35">
      <c r="A693" t="s">
        <v>41</v>
      </c>
      <c r="B693" t="s">
        <v>73</v>
      </c>
      <c r="C693" t="s">
        <v>74</v>
      </c>
      <c r="D693" t="s">
        <v>93</v>
      </c>
      <c r="E693" t="s">
        <v>56</v>
      </c>
      <c r="F693">
        <v>7098527</v>
      </c>
      <c r="G693" t="s">
        <v>172</v>
      </c>
      <c r="H693" t="s">
        <v>43</v>
      </c>
      <c r="I693" t="s">
        <v>44</v>
      </c>
      <c r="J693" t="s">
        <v>50</v>
      </c>
      <c r="K693" t="s">
        <v>4</v>
      </c>
      <c r="L693" t="s">
        <v>62</v>
      </c>
      <c r="M693" t="s">
        <v>847</v>
      </c>
      <c r="N693" t="s">
        <v>848</v>
      </c>
      <c r="O693" t="s">
        <v>173</v>
      </c>
      <c r="P693" t="s">
        <v>383</v>
      </c>
      <c r="Q693" t="s">
        <v>353</v>
      </c>
      <c r="R693" t="s">
        <v>354</v>
      </c>
      <c r="S693" t="s">
        <v>46</v>
      </c>
      <c r="T693" t="s">
        <v>46</v>
      </c>
      <c r="U693" s="4">
        <v>495.04</v>
      </c>
      <c r="V693" t="str">
        <f t="shared" si="10"/>
        <v>GP02</v>
      </c>
      <c r="W693" t="str">
        <f>VLOOKUP(K693,[1]Info!A$1:B$21,2,0)</f>
        <v>Garra Picadora</v>
      </c>
      <c r="X693" t="str">
        <f>IF(M693="109595132","Material de Limpeza-Não Avaliar",IF(AND(K693="F20",M693&lt;&gt;109595132),IF(RIGHT(F693,2)="70","Infraestrutura de Planta","Prédios e Instalações"),IF(K693="FPC",VLOOKUP(F693,[1]Info!$E$2:$F$11,2,0),IF(K693="FGP",VLOOKUP(F693,[1]Info!$E$9:$F$10,2,0),IF(K693="F10",VLOOKUP(F693,[1]Info!$E$2:$F$3,2,0),VLOOKUP(K693,[1]Info!$A$1:$B$21,2,0))))))</f>
        <v>Garra Picadora Diamante</v>
      </c>
    </row>
    <row r="694" spans="1:24" x14ac:dyDescent="0.35">
      <c r="A694" t="s">
        <v>41</v>
      </c>
      <c r="B694" t="s">
        <v>73</v>
      </c>
      <c r="C694" t="s">
        <v>74</v>
      </c>
      <c r="D694" t="s">
        <v>93</v>
      </c>
      <c r="E694" t="s">
        <v>56</v>
      </c>
      <c r="F694">
        <v>7098527</v>
      </c>
      <c r="G694" t="s">
        <v>172</v>
      </c>
      <c r="H694" t="s">
        <v>43</v>
      </c>
      <c r="I694" t="s">
        <v>44</v>
      </c>
      <c r="J694" t="s">
        <v>50</v>
      </c>
      <c r="K694" t="s">
        <v>4</v>
      </c>
      <c r="L694" t="s">
        <v>51</v>
      </c>
      <c r="M694" t="s">
        <v>1744</v>
      </c>
      <c r="N694" t="s">
        <v>1745</v>
      </c>
      <c r="O694" t="s">
        <v>546</v>
      </c>
      <c r="P694" t="s">
        <v>1292</v>
      </c>
      <c r="Q694" t="s">
        <v>46</v>
      </c>
      <c r="R694" t="s">
        <v>47</v>
      </c>
      <c r="S694" t="s">
        <v>46</v>
      </c>
      <c r="T694" t="s">
        <v>46</v>
      </c>
      <c r="U694" s="4">
        <v>4042.35</v>
      </c>
      <c r="V694" t="str">
        <f t="shared" si="10"/>
        <v>GP01</v>
      </c>
      <c r="W694" t="str">
        <f>VLOOKUP(K694,[1]Info!A$1:B$21,2,0)</f>
        <v>Garra Picadora</v>
      </c>
      <c r="X694" t="str">
        <f>IF(M694="109595132","Material de Limpeza-Não Avaliar",IF(AND(K694="F20",M694&lt;&gt;109595132),IF(RIGHT(F694,2)="70","Infraestrutura de Planta","Prédios e Instalações"),IF(K694="FPC",VLOOKUP(F694,[1]Info!$E$2:$F$11,2,0),IF(K694="FGP",VLOOKUP(F694,[1]Info!$E$9:$F$10,2,0),IF(K694="F10",VLOOKUP(F694,[1]Info!$E$2:$F$3,2,0),VLOOKUP(K694,[1]Info!$A$1:$B$21,2,0))))))</f>
        <v>Garra Picadora Diamante</v>
      </c>
    </row>
    <row r="695" spans="1:24" x14ac:dyDescent="0.35">
      <c r="A695" t="s">
        <v>41</v>
      </c>
      <c r="B695" t="s">
        <v>73</v>
      </c>
      <c r="C695" t="s">
        <v>74</v>
      </c>
      <c r="D695" t="s">
        <v>93</v>
      </c>
      <c r="E695" t="s">
        <v>56</v>
      </c>
      <c r="F695">
        <v>7098134</v>
      </c>
      <c r="G695" t="s">
        <v>851</v>
      </c>
      <c r="H695" t="s">
        <v>43</v>
      </c>
      <c r="I695" t="s">
        <v>44</v>
      </c>
      <c r="J695" t="s">
        <v>50</v>
      </c>
      <c r="K695" t="s">
        <v>3</v>
      </c>
      <c r="L695" t="s">
        <v>62</v>
      </c>
      <c r="M695" t="s">
        <v>852</v>
      </c>
      <c r="N695" t="s">
        <v>853</v>
      </c>
      <c r="O695" t="s">
        <v>854</v>
      </c>
      <c r="P695" t="s">
        <v>383</v>
      </c>
      <c r="Q695" t="s">
        <v>855</v>
      </c>
      <c r="R695" t="s">
        <v>856</v>
      </c>
      <c r="S695" t="s">
        <v>46</v>
      </c>
      <c r="T695" t="s">
        <v>46</v>
      </c>
      <c r="U695" s="4">
        <v>329.71</v>
      </c>
      <c r="V695" t="str">
        <f t="shared" si="10"/>
        <v>C020</v>
      </c>
      <c r="W695" t="str">
        <f>VLOOKUP(K695,[1]Info!A$1:B$21,2,0)</f>
        <v>Carregadeira</v>
      </c>
      <c r="X695" t="str">
        <f>IF(M695="109595132","Material de Limpeza-Não Avaliar",IF(AND(K695="F20",M695&lt;&gt;109595132),IF(RIGHT(F695,2)="70","Infraestrutura de Planta","Prédios e Instalações"),IF(K695="FPC",VLOOKUP(F695,[1]Info!$E$2:$F$11,2,0),IF(K695="FGP",VLOOKUP(F695,[1]Info!$E$9:$F$10,2,0),IF(K695="F10",VLOOKUP(F695,[1]Info!$E$2:$F$3,2,0),VLOOKUP(K695,[1]Info!$A$1:$B$21,2,0))))))</f>
        <v>Carregadeira Diamante</v>
      </c>
    </row>
    <row r="696" spans="1:24" x14ac:dyDescent="0.35">
      <c r="A696" t="s">
        <v>41</v>
      </c>
      <c r="B696" t="s">
        <v>73</v>
      </c>
      <c r="C696" t="s">
        <v>74</v>
      </c>
      <c r="D696" t="s">
        <v>93</v>
      </c>
      <c r="E696" t="s">
        <v>56</v>
      </c>
      <c r="F696">
        <v>7098131</v>
      </c>
      <c r="G696" t="s">
        <v>75</v>
      </c>
      <c r="H696" t="s">
        <v>43</v>
      </c>
      <c r="I696" t="s">
        <v>44</v>
      </c>
      <c r="J696" t="s">
        <v>50</v>
      </c>
      <c r="K696" t="s">
        <v>16</v>
      </c>
      <c r="L696" t="s">
        <v>59</v>
      </c>
      <c r="M696" t="s">
        <v>857</v>
      </c>
      <c r="N696" t="s">
        <v>858</v>
      </c>
      <c r="O696" t="s">
        <v>859</v>
      </c>
      <c r="P696" t="s">
        <v>383</v>
      </c>
      <c r="Q696" t="s">
        <v>860</v>
      </c>
      <c r="R696" t="s">
        <v>861</v>
      </c>
      <c r="S696" t="s">
        <v>46</v>
      </c>
      <c r="T696" t="s">
        <v>46</v>
      </c>
      <c r="U696" s="4">
        <v>2015.56</v>
      </c>
      <c r="V696" t="str">
        <f t="shared" si="10"/>
        <v>-015</v>
      </c>
      <c r="W696" t="str">
        <f>VLOOKUP(K696,[1]Info!A$1:B$21,2,0)</f>
        <v>Trator Pneu</v>
      </c>
      <c r="X696" t="str">
        <f>IF(M696="109595132","Material de Limpeza-Não Avaliar",IF(AND(K696="F20",M696&lt;&gt;109595132),IF(RIGHT(F696,2)="70","Infraestrutura de Planta","Prédios e Instalações"),IF(K696="FPC",VLOOKUP(F696,[1]Info!$E$2:$F$11,2,0),IF(K696="FGP",VLOOKUP(F696,[1]Info!$E$9:$F$10,2,0),IF(K696="F10",VLOOKUP(F696,[1]Info!$E$2:$F$3,2,0),VLOOKUP(K696,[1]Info!$A$1:$B$21,2,0))))))</f>
        <v>Trator Pneu</v>
      </c>
    </row>
    <row r="697" spans="1:24" x14ac:dyDescent="0.35">
      <c r="A697" t="s">
        <v>41</v>
      </c>
      <c r="B697" t="s">
        <v>73</v>
      </c>
      <c r="C697" t="s">
        <v>74</v>
      </c>
      <c r="D697" t="s">
        <v>93</v>
      </c>
      <c r="E697" t="s">
        <v>56</v>
      </c>
      <c r="F697">
        <v>7098131</v>
      </c>
      <c r="G697" t="s">
        <v>75</v>
      </c>
      <c r="H697" t="s">
        <v>43</v>
      </c>
      <c r="I697" t="s">
        <v>44</v>
      </c>
      <c r="J697" t="s">
        <v>50</v>
      </c>
      <c r="K697" t="s">
        <v>16</v>
      </c>
      <c r="L697" t="s">
        <v>51</v>
      </c>
      <c r="M697" t="s">
        <v>862</v>
      </c>
      <c r="N697" t="s">
        <v>863</v>
      </c>
      <c r="O697" t="s">
        <v>864</v>
      </c>
      <c r="P697" t="s">
        <v>383</v>
      </c>
      <c r="Q697" t="s">
        <v>865</v>
      </c>
      <c r="R697" t="s">
        <v>866</v>
      </c>
      <c r="S697" t="s">
        <v>46</v>
      </c>
      <c r="T697" t="s">
        <v>46</v>
      </c>
      <c r="U697" s="4">
        <v>9443.9</v>
      </c>
      <c r="V697" t="str">
        <f t="shared" si="10"/>
        <v>TP31</v>
      </c>
      <c r="W697" t="str">
        <f>VLOOKUP(K697,[1]Info!A$1:B$21,2,0)</f>
        <v>Trator Pneu</v>
      </c>
      <c r="X697" t="str">
        <f>IF(M697="109595132","Material de Limpeza-Não Avaliar",IF(AND(K697="F20",M697&lt;&gt;109595132),IF(RIGHT(F697,2)="70","Infraestrutura de Planta","Prédios e Instalações"),IF(K697="FPC",VLOOKUP(F697,[1]Info!$E$2:$F$11,2,0),IF(K697="FGP",VLOOKUP(F697,[1]Info!$E$9:$F$10,2,0),IF(K697="F10",VLOOKUP(F697,[1]Info!$E$2:$F$3,2,0),VLOOKUP(K697,[1]Info!$A$1:$B$21,2,0))))))</f>
        <v>Trator Pneu</v>
      </c>
    </row>
    <row r="698" spans="1:24" x14ac:dyDescent="0.35">
      <c r="A698" t="s">
        <v>41</v>
      </c>
      <c r="B698" t="s">
        <v>73</v>
      </c>
      <c r="C698" t="s">
        <v>74</v>
      </c>
      <c r="D698" t="s">
        <v>93</v>
      </c>
      <c r="E698" t="s">
        <v>56</v>
      </c>
      <c r="F698">
        <v>7098131</v>
      </c>
      <c r="G698" t="s">
        <v>75</v>
      </c>
      <c r="H698" t="s">
        <v>43</v>
      </c>
      <c r="I698" t="s">
        <v>44</v>
      </c>
      <c r="J698" t="s">
        <v>50</v>
      </c>
      <c r="K698" t="s">
        <v>16</v>
      </c>
      <c r="L698" t="s">
        <v>51</v>
      </c>
      <c r="M698" t="s">
        <v>867</v>
      </c>
      <c r="N698" t="s">
        <v>868</v>
      </c>
      <c r="O698" t="s">
        <v>227</v>
      </c>
      <c r="P698" t="s">
        <v>383</v>
      </c>
      <c r="Q698" t="s">
        <v>869</v>
      </c>
      <c r="R698" t="s">
        <v>870</v>
      </c>
      <c r="S698" t="s">
        <v>46</v>
      </c>
      <c r="T698" t="s">
        <v>46</v>
      </c>
      <c r="U698" s="4">
        <v>7954.63</v>
      </c>
      <c r="V698" t="str">
        <f t="shared" si="10"/>
        <v>TP32</v>
      </c>
      <c r="W698" t="str">
        <f>VLOOKUP(K698,[1]Info!A$1:B$21,2,0)</f>
        <v>Trator Pneu</v>
      </c>
      <c r="X698" t="str">
        <f>IF(M698="109595132","Material de Limpeza-Não Avaliar",IF(AND(K698="F20",M698&lt;&gt;109595132),IF(RIGHT(F698,2)="70","Infraestrutura de Planta","Prédios e Instalações"),IF(K698="FPC",VLOOKUP(F698,[1]Info!$E$2:$F$11,2,0),IF(K698="FGP",VLOOKUP(F698,[1]Info!$E$9:$F$10,2,0),IF(K698="F10",VLOOKUP(F698,[1]Info!$E$2:$F$3,2,0),VLOOKUP(K698,[1]Info!$A$1:$B$21,2,0))))))</f>
        <v>Trator Pneu</v>
      </c>
    </row>
    <row r="699" spans="1:24" x14ac:dyDescent="0.35">
      <c r="A699" t="s">
        <v>41</v>
      </c>
      <c r="B699" t="s">
        <v>73</v>
      </c>
      <c r="C699" t="s">
        <v>74</v>
      </c>
      <c r="D699" t="s">
        <v>93</v>
      </c>
      <c r="E699" t="s">
        <v>56</v>
      </c>
      <c r="F699">
        <v>7098131</v>
      </c>
      <c r="G699" t="s">
        <v>75</v>
      </c>
      <c r="H699" t="s">
        <v>43</v>
      </c>
      <c r="I699" t="s">
        <v>44</v>
      </c>
      <c r="J699" t="s">
        <v>50</v>
      </c>
      <c r="K699" t="s">
        <v>16</v>
      </c>
      <c r="L699" t="s">
        <v>51</v>
      </c>
      <c r="M699" t="s">
        <v>871</v>
      </c>
      <c r="N699" t="s">
        <v>872</v>
      </c>
      <c r="O699" t="s">
        <v>873</v>
      </c>
      <c r="P699" t="s">
        <v>383</v>
      </c>
      <c r="Q699" t="s">
        <v>874</v>
      </c>
      <c r="R699" t="s">
        <v>875</v>
      </c>
      <c r="S699" t="s">
        <v>46</v>
      </c>
      <c r="T699" t="s">
        <v>46</v>
      </c>
      <c r="U699" s="4">
        <v>1362.15</v>
      </c>
      <c r="V699" t="str">
        <f t="shared" si="10"/>
        <v>0110</v>
      </c>
      <c r="W699" t="str">
        <f>VLOOKUP(K699,[1]Info!A$1:B$21,2,0)</f>
        <v>Trator Pneu</v>
      </c>
      <c r="X699" t="str">
        <f>IF(M699="109595132","Material de Limpeza-Não Avaliar",IF(AND(K699="F20",M699&lt;&gt;109595132),IF(RIGHT(F699,2)="70","Infraestrutura de Planta","Prédios e Instalações"),IF(K699="FPC",VLOOKUP(F699,[1]Info!$E$2:$F$11,2,0),IF(K699="FGP",VLOOKUP(F699,[1]Info!$E$9:$F$10,2,0),IF(K699="F10",VLOOKUP(F699,[1]Info!$E$2:$F$3,2,0),VLOOKUP(K699,[1]Info!$A$1:$B$21,2,0))))))</f>
        <v>Trator Pneu</v>
      </c>
    </row>
    <row r="700" spans="1:24" x14ac:dyDescent="0.35">
      <c r="A700" t="s">
        <v>41</v>
      </c>
      <c r="B700" t="s">
        <v>73</v>
      </c>
      <c r="C700" t="s">
        <v>74</v>
      </c>
      <c r="D700" t="s">
        <v>93</v>
      </c>
      <c r="E700" t="s">
        <v>56</v>
      </c>
      <c r="F700">
        <v>7098131</v>
      </c>
      <c r="G700" t="s">
        <v>75</v>
      </c>
      <c r="H700" t="s">
        <v>43</v>
      </c>
      <c r="I700" t="s">
        <v>44</v>
      </c>
      <c r="J700" t="s">
        <v>50</v>
      </c>
      <c r="K700" t="s">
        <v>16</v>
      </c>
      <c r="L700" t="s">
        <v>51</v>
      </c>
      <c r="M700" t="s">
        <v>876</v>
      </c>
      <c r="N700" t="s">
        <v>877</v>
      </c>
      <c r="O700" t="s">
        <v>285</v>
      </c>
      <c r="P700" t="s">
        <v>383</v>
      </c>
      <c r="Q700" t="s">
        <v>878</v>
      </c>
      <c r="R700" t="s">
        <v>879</v>
      </c>
      <c r="S700" t="s">
        <v>46</v>
      </c>
      <c r="T700" t="s">
        <v>46</v>
      </c>
      <c r="U700" s="4">
        <v>140.57</v>
      </c>
      <c r="V700" t="str">
        <f t="shared" si="10"/>
        <v>TP29</v>
      </c>
      <c r="W700" t="str">
        <f>VLOOKUP(K700,[1]Info!A$1:B$21,2,0)</f>
        <v>Trator Pneu</v>
      </c>
      <c r="X700" t="str">
        <f>IF(M700="109595132","Material de Limpeza-Não Avaliar",IF(AND(K700="F20",M700&lt;&gt;109595132),IF(RIGHT(F700,2)="70","Infraestrutura de Planta","Prédios e Instalações"),IF(K700="FPC",VLOOKUP(F700,[1]Info!$E$2:$F$11,2,0),IF(K700="FGP",VLOOKUP(F700,[1]Info!$E$9:$F$10,2,0),IF(K700="F10",VLOOKUP(F700,[1]Info!$E$2:$F$3,2,0),VLOOKUP(K700,[1]Info!$A$1:$B$21,2,0))))))</f>
        <v>Trator Pneu</v>
      </c>
    </row>
    <row r="701" spans="1:24" x14ac:dyDescent="0.35">
      <c r="A701" t="s">
        <v>41</v>
      </c>
      <c r="B701" t="s">
        <v>73</v>
      </c>
      <c r="C701" t="s">
        <v>74</v>
      </c>
      <c r="D701" t="s">
        <v>93</v>
      </c>
      <c r="E701" t="s">
        <v>56</v>
      </c>
      <c r="F701">
        <v>7098131</v>
      </c>
      <c r="G701" t="s">
        <v>75</v>
      </c>
      <c r="H701" t="s">
        <v>43</v>
      </c>
      <c r="I701" t="s">
        <v>44</v>
      </c>
      <c r="J701" t="s">
        <v>50</v>
      </c>
      <c r="K701" t="s">
        <v>16</v>
      </c>
      <c r="L701" t="s">
        <v>51</v>
      </c>
      <c r="M701" t="s">
        <v>876</v>
      </c>
      <c r="N701" t="s">
        <v>877</v>
      </c>
      <c r="O701" t="s">
        <v>285</v>
      </c>
      <c r="P701" t="s">
        <v>383</v>
      </c>
      <c r="Q701" t="s">
        <v>880</v>
      </c>
      <c r="R701" t="s">
        <v>881</v>
      </c>
      <c r="S701" t="s">
        <v>46</v>
      </c>
      <c r="T701" t="s">
        <v>46</v>
      </c>
      <c r="U701" s="4">
        <v>162.21</v>
      </c>
      <c r="V701" t="str">
        <f t="shared" si="10"/>
        <v>TP29</v>
      </c>
      <c r="W701" t="str">
        <f>VLOOKUP(K701,[1]Info!A$1:B$21,2,0)</f>
        <v>Trator Pneu</v>
      </c>
      <c r="X701" t="str">
        <f>IF(M701="109595132","Material de Limpeza-Não Avaliar",IF(AND(K701="F20",M701&lt;&gt;109595132),IF(RIGHT(F701,2)="70","Infraestrutura de Planta","Prédios e Instalações"),IF(K701="FPC",VLOOKUP(F701,[1]Info!$E$2:$F$11,2,0),IF(K701="FGP",VLOOKUP(F701,[1]Info!$E$9:$F$10,2,0),IF(K701="F10",VLOOKUP(F701,[1]Info!$E$2:$F$3,2,0),VLOOKUP(K701,[1]Info!$A$1:$B$21,2,0))))))</f>
        <v>Trator Pneu</v>
      </c>
    </row>
    <row r="702" spans="1:24" x14ac:dyDescent="0.35">
      <c r="A702" t="s">
        <v>41</v>
      </c>
      <c r="B702" t="s">
        <v>73</v>
      </c>
      <c r="C702" t="s">
        <v>74</v>
      </c>
      <c r="D702" t="s">
        <v>93</v>
      </c>
      <c r="E702" t="s">
        <v>56</v>
      </c>
      <c r="F702">
        <v>7098131</v>
      </c>
      <c r="G702" t="s">
        <v>75</v>
      </c>
      <c r="H702" t="s">
        <v>43</v>
      </c>
      <c r="I702" t="s">
        <v>44</v>
      </c>
      <c r="J702" t="s">
        <v>50</v>
      </c>
      <c r="K702" t="s">
        <v>16</v>
      </c>
      <c r="L702" t="s">
        <v>51</v>
      </c>
      <c r="M702" t="s">
        <v>876</v>
      </c>
      <c r="N702" t="s">
        <v>877</v>
      </c>
      <c r="O702" t="s">
        <v>285</v>
      </c>
      <c r="P702" t="s">
        <v>383</v>
      </c>
      <c r="Q702" t="s">
        <v>882</v>
      </c>
      <c r="R702" t="s">
        <v>883</v>
      </c>
      <c r="S702" t="s">
        <v>46</v>
      </c>
      <c r="T702" t="s">
        <v>46</v>
      </c>
      <c r="U702" s="4">
        <v>4.92</v>
      </c>
      <c r="V702" t="str">
        <f t="shared" si="10"/>
        <v>TP29</v>
      </c>
      <c r="W702" t="str">
        <f>VLOOKUP(K702,[1]Info!A$1:B$21,2,0)</f>
        <v>Trator Pneu</v>
      </c>
      <c r="X702" t="str">
        <f>IF(M702="109595132","Material de Limpeza-Não Avaliar",IF(AND(K702="F20",M702&lt;&gt;109595132),IF(RIGHT(F702,2)="70","Infraestrutura de Planta","Prédios e Instalações"),IF(K702="FPC",VLOOKUP(F702,[1]Info!$E$2:$F$11,2,0),IF(K702="FGP",VLOOKUP(F702,[1]Info!$E$9:$F$10,2,0),IF(K702="F10",VLOOKUP(F702,[1]Info!$E$2:$F$3,2,0),VLOOKUP(K702,[1]Info!$A$1:$B$21,2,0))))))</f>
        <v>Trator Pneu</v>
      </c>
    </row>
    <row r="703" spans="1:24" x14ac:dyDescent="0.35">
      <c r="A703" t="s">
        <v>41</v>
      </c>
      <c r="B703" t="s">
        <v>73</v>
      </c>
      <c r="C703" t="s">
        <v>74</v>
      </c>
      <c r="D703" t="s">
        <v>93</v>
      </c>
      <c r="E703" t="s">
        <v>56</v>
      </c>
      <c r="F703">
        <v>7098131</v>
      </c>
      <c r="G703" t="s">
        <v>75</v>
      </c>
      <c r="H703" t="s">
        <v>43</v>
      </c>
      <c r="I703" t="s">
        <v>44</v>
      </c>
      <c r="J703" t="s">
        <v>50</v>
      </c>
      <c r="K703" t="s">
        <v>16</v>
      </c>
      <c r="L703" t="s">
        <v>51</v>
      </c>
      <c r="M703" t="s">
        <v>884</v>
      </c>
      <c r="N703" t="s">
        <v>885</v>
      </c>
      <c r="O703" t="s">
        <v>886</v>
      </c>
      <c r="P703" t="s">
        <v>383</v>
      </c>
      <c r="Q703" t="s">
        <v>878</v>
      </c>
      <c r="R703" t="s">
        <v>879</v>
      </c>
      <c r="S703" t="s">
        <v>46</v>
      </c>
      <c r="T703" t="s">
        <v>46</v>
      </c>
      <c r="U703" s="4">
        <v>140.56</v>
      </c>
      <c r="V703" t="str">
        <f t="shared" si="10"/>
        <v>TP30</v>
      </c>
      <c r="W703" t="str">
        <f>VLOOKUP(K703,[1]Info!A$1:B$21,2,0)</f>
        <v>Trator Pneu</v>
      </c>
      <c r="X703" t="str">
        <f>IF(M703="109595132","Material de Limpeza-Não Avaliar",IF(AND(K703="F20",M703&lt;&gt;109595132),IF(RIGHT(F703,2)="70","Infraestrutura de Planta","Prédios e Instalações"),IF(K703="FPC",VLOOKUP(F703,[1]Info!$E$2:$F$11,2,0),IF(K703="FGP",VLOOKUP(F703,[1]Info!$E$9:$F$10,2,0),IF(K703="F10",VLOOKUP(F703,[1]Info!$E$2:$F$3,2,0),VLOOKUP(K703,[1]Info!$A$1:$B$21,2,0))))))</f>
        <v>Trator Pneu</v>
      </c>
    </row>
    <row r="704" spans="1:24" x14ac:dyDescent="0.35">
      <c r="A704" t="s">
        <v>41</v>
      </c>
      <c r="B704" t="s">
        <v>73</v>
      </c>
      <c r="C704" t="s">
        <v>74</v>
      </c>
      <c r="D704" t="s">
        <v>93</v>
      </c>
      <c r="E704" t="s">
        <v>56</v>
      </c>
      <c r="F704">
        <v>7098131</v>
      </c>
      <c r="G704" t="s">
        <v>75</v>
      </c>
      <c r="H704" t="s">
        <v>43</v>
      </c>
      <c r="I704" t="s">
        <v>44</v>
      </c>
      <c r="J704" t="s">
        <v>50</v>
      </c>
      <c r="K704" t="s">
        <v>16</v>
      </c>
      <c r="L704" t="s">
        <v>51</v>
      </c>
      <c r="M704" t="s">
        <v>884</v>
      </c>
      <c r="N704" t="s">
        <v>885</v>
      </c>
      <c r="O704" t="s">
        <v>886</v>
      </c>
      <c r="P704" t="s">
        <v>383</v>
      </c>
      <c r="Q704" t="s">
        <v>880</v>
      </c>
      <c r="R704" t="s">
        <v>881</v>
      </c>
      <c r="S704" t="s">
        <v>46</v>
      </c>
      <c r="T704" t="s">
        <v>46</v>
      </c>
      <c r="U704" s="4">
        <v>162.19999999999999</v>
      </c>
      <c r="V704" t="str">
        <f t="shared" si="10"/>
        <v>TP30</v>
      </c>
      <c r="W704" t="str">
        <f>VLOOKUP(K704,[1]Info!A$1:B$21,2,0)</f>
        <v>Trator Pneu</v>
      </c>
      <c r="X704" t="str">
        <f>IF(M704="109595132","Material de Limpeza-Não Avaliar",IF(AND(K704="F20",M704&lt;&gt;109595132),IF(RIGHT(F704,2)="70","Infraestrutura de Planta","Prédios e Instalações"),IF(K704="FPC",VLOOKUP(F704,[1]Info!$E$2:$F$11,2,0),IF(K704="FGP",VLOOKUP(F704,[1]Info!$E$9:$F$10,2,0),IF(K704="F10",VLOOKUP(F704,[1]Info!$E$2:$F$3,2,0),VLOOKUP(K704,[1]Info!$A$1:$B$21,2,0))))))</f>
        <v>Trator Pneu</v>
      </c>
    </row>
    <row r="705" spans="1:24" x14ac:dyDescent="0.35">
      <c r="A705" t="s">
        <v>41</v>
      </c>
      <c r="B705" t="s">
        <v>73</v>
      </c>
      <c r="C705" t="s">
        <v>74</v>
      </c>
      <c r="D705" t="s">
        <v>93</v>
      </c>
      <c r="E705" t="s">
        <v>56</v>
      </c>
      <c r="F705">
        <v>7098131</v>
      </c>
      <c r="G705" t="s">
        <v>75</v>
      </c>
      <c r="H705" t="s">
        <v>43</v>
      </c>
      <c r="I705" t="s">
        <v>44</v>
      </c>
      <c r="J705" t="s">
        <v>50</v>
      </c>
      <c r="K705" t="s">
        <v>16</v>
      </c>
      <c r="L705" t="s">
        <v>51</v>
      </c>
      <c r="M705" t="s">
        <v>884</v>
      </c>
      <c r="N705" t="s">
        <v>885</v>
      </c>
      <c r="O705" t="s">
        <v>886</v>
      </c>
      <c r="P705" t="s">
        <v>383</v>
      </c>
      <c r="Q705" t="s">
        <v>882</v>
      </c>
      <c r="R705" t="s">
        <v>883</v>
      </c>
      <c r="S705" t="s">
        <v>46</v>
      </c>
      <c r="T705" t="s">
        <v>46</v>
      </c>
      <c r="U705" s="4">
        <v>4.92</v>
      </c>
      <c r="V705" t="str">
        <f t="shared" si="10"/>
        <v>TP30</v>
      </c>
      <c r="W705" t="str">
        <f>VLOOKUP(K705,[1]Info!A$1:B$21,2,0)</f>
        <v>Trator Pneu</v>
      </c>
      <c r="X705" t="str">
        <f>IF(M705="109595132","Material de Limpeza-Não Avaliar",IF(AND(K705="F20",M705&lt;&gt;109595132),IF(RIGHT(F705,2)="70","Infraestrutura de Planta","Prédios e Instalações"),IF(K705="FPC",VLOOKUP(F705,[1]Info!$E$2:$F$11,2,0),IF(K705="FGP",VLOOKUP(F705,[1]Info!$E$9:$F$10,2,0),IF(K705="F10",VLOOKUP(F705,[1]Info!$E$2:$F$3,2,0),VLOOKUP(K705,[1]Info!$A$1:$B$21,2,0))))))</f>
        <v>Trator Pneu</v>
      </c>
    </row>
    <row r="706" spans="1:24" x14ac:dyDescent="0.35">
      <c r="A706" t="s">
        <v>41</v>
      </c>
      <c r="B706" t="s">
        <v>73</v>
      </c>
      <c r="C706" t="s">
        <v>74</v>
      </c>
      <c r="D706" t="s">
        <v>93</v>
      </c>
      <c r="E706" t="s">
        <v>56</v>
      </c>
      <c r="F706">
        <v>7098131</v>
      </c>
      <c r="G706" t="s">
        <v>75</v>
      </c>
      <c r="H706" t="s">
        <v>43</v>
      </c>
      <c r="I706" t="s">
        <v>44</v>
      </c>
      <c r="J706" t="s">
        <v>50</v>
      </c>
      <c r="K706" t="s">
        <v>16</v>
      </c>
      <c r="L706" t="s">
        <v>51</v>
      </c>
      <c r="M706" t="s">
        <v>887</v>
      </c>
      <c r="N706" t="s">
        <v>888</v>
      </c>
      <c r="O706" t="s">
        <v>889</v>
      </c>
      <c r="P706" t="s">
        <v>383</v>
      </c>
      <c r="Q706" t="s">
        <v>890</v>
      </c>
      <c r="R706" t="s">
        <v>891</v>
      </c>
      <c r="S706" t="s">
        <v>46</v>
      </c>
      <c r="T706" t="s">
        <v>46</v>
      </c>
      <c r="U706" s="4">
        <v>1054.06</v>
      </c>
      <c r="V706" t="str">
        <f t="shared" si="10"/>
        <v>0060</v>
      </c>
      <c r="W706" t="str">
        <f>VLOOKUP(K706,[1]Info!A$1:B$21,2,0)</f>
        <v>Trator Pneu</v>
      </c>
      <c r="X706" t="str">
        <f>IF(M706="109595132","Material de Limpeza-Não Avaliar",IF(AND(K706="F20",M706&lt;&gt;109595132),IF(RIGHT(F706,2)="70","Infraestrutura de Planta","Prédios e Instalações"),IF(K706="FPC",VLOOKUP(F706,[1]Info!$E$2:$F$11,2,0),IF(K706="FGP",VLOOKUP(F706,[1]Info!$E$9:$F$10,2,0),IF(K706="F10",VLOOKUP(F706,[1]Info!$E$2:$F$3,2,0),VLOOKUP(K706,[1]Info!$A$1:$B$21,2,0))))))</f>
        <v>Trator Pneu</v>
      </c>
    </row>
    <row r="707" spans="1:24" x14ac:dyDescent="0.35">
      <c r="A707" t="s">
        <v>41</v>
      </c>
      <c r="B707" t="s">
        <v>73</v>
      </c>
      <c r="C707" t="s">
        <v>74</v>
      </c>
      <c r="D707" t="s">
        <v>93</v>
      </c>
      <c r="E707" t="s">
        <v>56</v>
      </c>
      <c r="F707">
        <v>7098131</v>
      </c>
      <c r="G707" t="s">
        <v>75</v>
      </c>
      <c r="H707" t="s">
        <v>43</v>
      </c>
      <c r="I707" t="s">
        <v>44</v>
      </c>
      <c r="J707" t="s">
        <v>50</v>
      </c>
      <c r="K707" t="s">
        <v>16</v>
      </c>
      <c r="L707" t="s">
        <v>51</v>
      </c>
      <c r="M707" t="s">
        <v>892</v>
      </c>
      <c r="N707" t="s">
        <v>893</v>
      </c>
      <c r="O707" t="s">
        <v>894</v>
      </c>
      <c r="P707" t="s">
        <v>383</v>
      </c>
      <c r="Q707" t="s">
        <v>890</v>
      </c>
      <c r="R707" t="s">
        <v>891</v>
      </c>
      <c r="S707" t="s">
        <v>46</v>
      </c>
      <c r="T707" t="s">
        <v>46</v>
      </c>
      <c r="U707" s="4">
        <v>1054.06</v>
      </c>
      <c r="V707" t="str">
        <f t="shared" si="10"/>
        <v>0060</v>
      </c>
      <c r="W707" t="str">
        <f>VLOOKUP(K707,[1]Info!A$1:B$21,2,0)</f>
        <v>Trator Pneu</v>
      </c>
      <c r="X707" t="str">
        <f>IF(M707="109595132","Material de Limpeza-Não Avaliar",IF(AND(K707="F20",M707&lt;&gt;109595132),IF(RIGHT(F707,2)="70","Infraestrutura de Planta","Prédios e Instalações"),IF(K707="FPC",VLOOKUP(F707,[1]Info!$E$2:$F$11,2,0),IF(K707="FGP",VLOOKUP(F707,[1]Info!$E$9:$F$10,2,0),IF(K707="F10",VLOOKUP(F707,[1]Info!$E$2:$F$3,2,0),VLOOKUP(K707,[1]Info!$A$1:$B$21,2,0))))))</f>
        <v>Trator Pneu</v>
      </c>
    </row>
    <row r="708" spans="1:24" x14ac:dyDescent="0.35">
      <c r="A708" t="s">
        <v>41</v>
      </c>
      <c r="B708" t="s">
        <v>73</v>
      </c>
      <c r="C708" t="s">
        <v>74</v>
      </c>
      <c r="D708" t="s">
        <v>93</v>
      </c>
      <c r="E708" t="s">
        <v>56</v>
      </c>
      <c r="F708">
        <v>7098131</v>
      </c>
      <c r="G708" t="s">
        <v>75</v>
      </c>
      <c r="H708" t="s">
        <v>43</v>
      </c>
      <c r="I708" t="s">
        <v>44</v>
      </c>
      <c r="J708" t="s">
        <v>50</v>
      </c>
      <c r="K708" t="s">
        <v>16</v>
      </c>
      <c r="L708" t="s">
        <v>51</v>
      </c>
      <c r="M708" t="s">
        <v>895</v>
      </c>
      <c r="N708" t="s">
        <v>896</v>
      </c>
      <c r="O708" t="s">
        <v>897</v>
      </c>
      <c r="P708" t="s">
        <v>383</v>
      </c>
      <c r="Q708" t="s">
        <v>898</v>
      </c>
      <c r="R708" t="s">
        <v>899</v>
      </c>
      <c r="S708" t="s">
        <v>46</v>
      </c>
      <c r="T708" t="s">
        <v>46</v>
      </c>
      <c r="U708" s="4">
        <v>841.3</v>
      </c>
      <c r="V708" t="str">
        <f t="shared" ref="V708:V771" si="11">RIGHT(O708,4)</f>
        <v>-045</v>
      </c>
      <c r="W708" t="str">
        <f>VLOOKUP(K708,[1]Info!A$1:B$21,2,0)</f>
        <v>Trator Pneu</v>
      </c>
      <c r="X708" t="str">
        <f>IF(M708="109595132","Material de Limpeza-Não Avaliar",IF(AND(K708="F20",M708&lt;&gt;109595132),IF(RIGHT(F708,2)="70","Infraestrutura de Planta","Prédios e Instalações"),IF(K708="FPC",VLOOKUP(F708,[1]Info!$E$2:$F$11,2,0),IF(K708="FGP",VLOOKUP(F708,[1]Info!$E$9:$F$10,2,0),IF(K708="F10",VLOOKUP(F708,[1]Info!$E$2:$F$3,2,0),VLOOKUP(K708,[1]Info!$A$1:$B$21,2,0))))))</f>
        <v>Trator Pneu</v>
      </c>
    </row>
    <row r="709" spans="1:24" x14ac:dyDescent="0.35">
      <c r="A709" t="s">
        <v>41</v>
      </c>
      <c r="B709" t="s">
        <v>73</v>
      </c>
      <c r="C709" t="s">
        <v>74</v>
      </c>
      <c r="D709" t="s">
        <v>93</v>
      </c>
      <c r="E709" t="s">
        <v>56</v>
      </c>
      <c r="F709">
        <v>7098131</v>
      </c>
      <c r="G709" t="s">
        <v>75</v>
      </c>
      <c r="H709" t="s">
        <v>43</v>
      </c>
      <c r="I709" t="s">
        <v>44</v>
      </c>
      <c r="J709" t="s">
        <v>50</v>
      </c>
      <c r="K709" t="s">
        <v>16</v>
      </c>
      <c r="L709" t="s">
        <v>51</v>
      </c>
      <c r="M709" t="s">
        <v>900</v>
      </c>
      <c r="N709" t="s">
        <v>901</v>
      </c>
      <c r="O709" t="s">
        <v>902</v>
      </c>
      <c r="P709" t="s">
        <v>383</v>
      </c>
      <c r="Q709" t="s">
        <v>898</v>
      </c>
      <c r="R709" t="s">
        <v>899</v>
      </c>
      <c r="S709" t="s">
        <v>46</v>
      </c>
      <c r="T709" t="s">
        <v>46</v>
      </c>
      <c r="U709" s="4">
        <v>841.3</v>
      </c>
      <c r="V709" t="str">
        <f t="shared" si="11"/>
        <v>-045</v>
      </c>
      <c r="W709" t="str">
        <f>VLOOKUP(K709,[1]Info!A$1:B$21,2,0)</f>
        <v>Trator Pneu</v>
      </c>
      <c r="X709" t="str">
        <f>IF(M709="109595132","Material de Limpeza-Não Avaliar",IF(AND(K709="F20",M709&lt;&gt;109595132),IF(RIGHT(F709,2)="70","Infraestrutura de Planta","Prédios e Instalações"),IF(K709="FPC",VLOOKUP(F709,[1]Info!$E$2:$F$11,2,0),IF(K709="FGP",VLOOKUP(F709,[1]Info!$E$9:$F$10,2,0),IF(K709="F10",VLOOKUP(F709,[1]Info!$E$2:$F$3,2,0),VLOOKUP(K709,[1]Info!$A$1:$B$21,2,0))))))</f>
        <v>Trator Pneu</v>
      </c>
    </row>
    <row r="710" spans="1:24" x14ac:dyDescent="0.35">
      <c r="A710" t="s">
        <v>41</v>
      </c>
      <c r="B710" t="s">
        <v>73</v>
      </c>
      <c r="C710" t="s">
        <v>74</v>
      </c>
      <c r="D710" t="s">
        <v>93</v>
      </c>
      <c r="E710" t="s">
        <v>56</v>
      </c>
      <c r="F710">
        <v>7098131</v>
      </c>
      <c r="G710" t="s">
        <v>75</v>
      </c>
      <c r="H710" t="s">
        <v>43</v>
      </c>
      <c r="I710" t="s">
        <v>44</v>
      </c>
      <c r="J710" t="s">
        <v>50</v>
      </c>
      <c r="K710" t="s">
        <v>16</v>
      </c>
      <c r="L710" t="s">
        <v>51</v>
      </c>
      <c r="M710" t="s">
        <v>903</v>
      </c>
      <c r="N710" t="s">
        <v>904</v>
      </c>
      <c r="O710" t="s">
        <v>905</v>
      </c>
      <c r="P710" t="s">
        <v>383</v>
      </c>
      <c r="Q710" t="s">
        <v>898</v>
      </c>
      <c r="R710" t="s">
        <v>899</v>
      </c>
      <c r="S710" t="s">
        <v>46</v>
      </c>
      <c r="T710" t="s">
        <v>46</v>
      </c>
      <c r="U710" s="4">
        <v>841.3</v>
      </c>
      <c r="V710" t="str">
        <f t="shared" si="11"/>
        <v>-045</v>
      </c>
      <c r="W710" t="str">
        <f>VLOOKUP(K710,[1]Info!A$1:B$21,2,0)</f>
        <v>Trator Pneu</v>
      </c>
      <c r="X710" t="str">
        <f>IF(M710="109595132","Material de Limpeza-Não Avaliar",IF(AND(K710="F20",M710&lt;&gt;109595132),IF(RIGHT(F710,2)="70","Infraestrutura de Planta","Prédios e Instalações"),IF(K710="FPC",VLOOKUP(F710,[1]Info!$E$2:$F$11,2,0),IF(K710="FGP",VLOOKUP(F710,[1]Info!$E$9:$F$10,2,0),IF(K710="F10",VLOOKUP(F710,[1]Info!$E$2:$F$3,2,0),VLOOKUP(K710,[1]Info!$A$1:$B$21,2,0))))))</f>
        <v>Trator Pneu</v>
      </c>
    </row>
    <row r="711" spans="1:24" x14ac:dyDescent="0.35">
      <c r="A711" t="s">
        <v>41</v>
      </c>
      <c r="B711" t="s">
        <v>73</v>
      </c>
      <c r="C711" t="s">
        <v>74</v>
      </c>
      <c r="D711" t="s">
        <v>93</v>
      </c>
      <c r="E711" t="s">
        <v>56</v>
      </c>
      <c r="F711">
        <v>7098131</v>
      </c>
      <c r="G711" t="s">
        <v>75</v>
      </c>
      <c r="H711" t="s">
        <v>43</v>
      </c>
      <c r="I711" t="s">
        <v>44</v>
      </c>
      <c r="J711" t="s">
        <v>50</v>
      </c>
      <c r="K711" t="s">
        <v>16</v>
      </c>
      <c r="L711" t="s">
        <v>51</v>
      </c>
      <c r="M711" t="s">
        <v>906</v>
      </c>
      <c r="N711" t="s">
        <v>907</v>
      </c>
      <c r="O711" t="s">
        <v>284</v>
      </c>
      <c r="P711" t="s">
        <v>383</v>
      </c>
      <c r="Q711" t="s">
        <v>874</v>
      </c>
      <c r="R711" t="s">
        <v>875</v>
      </c>
      <c r="S711" t="s">
        <v>46</v>
      </c>
      <c r="T711" t="s">
        <v>46</v>
      </c>
      <c r="U711" s="4">
        <v>1434.75</v>
      </c>
      <c r="V711" t="str">
        <f t="shared" si="11"/>
        <v>TP27</v>
      </c>
      <c r="W711" t="str">
        <f>VLOOKUP(K711,[1]Info!A$1:B$21,2,0)</f>
        <v>Trator Pneu</v>
      </c>
      <c r="X711" t="str">
        <f>IF(M711="109595132","Material de Limpeza-Não Avaliar",IF(AND(K711="F20",M711&lt;&gt;109595132),IF(RIGHT(F711,2)="70","Infraestrutura de Planta","Prédios e Instalações"),IF(K711="FPC",VLOOKUP(F711,[1]Info!$E$2:$F$11,2,0),IF(K711="FGP",VLOOKUP(F711,[1]Info!$E$9:$F$10,2,0),IF(K711="F10",VLOOKUP(F711,[1]Info!$E$2:$F$3,2,0),VLOOKUP(K711,[1]Info!$A$1:$B$21,2,0))))))</f>
        <v>Trator Pneu</v>
      </c>
    </row>
    <row r="712" spans="1:24" x14ac:dyDescent="0.35">
      <c r="A712" t="s">
        <v>41</v>
      </c>
      <c r="B712" t="s">
        <v>73</v>
      </c>
      <c r="C712" t="s">
        <v>74</v>
      </c>
      <c r="D712" t="s">
        <v>93</v>
      </c>
      <c r="E712" t="s">
        <v>56</v>
      </c>
      <c r="F712">
        <v>7098131</v>
      </c>
      <c r="G712" t="s">
        <v>75</v>
      </c>
      <c r="H712" t="s">
        <v>43</v>
      </c>
      <c r="I712" t="s">
        <v>44</v>
      </c>
      <c r="J712" t="s">
        <v>50</v>
      </c>
      <c r="K712" t="s">
        <v>16</v>
      </c>
      <c r="L712" t="s">
        <v>51</v>
      </c>
      <c r="M712" t="s">
        <v>906</v>
      </c>
      <c r="N712" t="s">
        <v>907</v>
      </c>
      <c r="O712" t="s">
        <v>284</v>
      </c>
      <c r="P712" t="s">
        <v>383</v>
      </c>
      <c r="Q712" t="s">
        <v>334</v>
      </c>
      <c r="R712" t="s">
        <v>335</v>
      </c>
      <c r="S712" t="s">
        <v>46</v>
      </c>
      <c r="T712" t="s">
        <v>46</v>
      </c>
      <c r="U712" s="4">
        <v>0</v>
      </c>
      <c r="V712" t="str">
        <f t="shared" si="11"/>
        <v>TP27</v>
      </c>
      <c r="W712" t="str">
        <f>VLOOKUP(K712,[1]Info!A$1:B$21,2,0)</f>
        <v>Trator Pneu</v>
      </c>
      <c r="X712" t="str">
        <f>IF(M712="109595132","Material de Limpeza-Não Avaliar",IF(AND(K712="F20",M712&lt;&gt;109595132),IF(RIGHT(F712,2)="70","Infraestrutura de Planta","Prédios e Instalações"),IF(K712="FPC",VLOOKUP(F712,[1]Info!$E$2:$F$11,2,0),IF(K712="FGP",VLOOKUP(F712,[1]Info!$E$9:$F$10,2,0),IF(K712="F10",VLOOKUP(F712,[1]Info!$E$2:$F$3,2,0),VLOOKUP(K712,[1]Info!$A$1:$B$21,2,0))))))</f>
        <v>Trator Pneu</v>
      </c>
    </row>
    <row r="713" spans="1:24" x14ac:dyDescent="0.35">
      <c r="A713" t="s">
        <v>41</v>
      </c>
      <c r="B713" t="s">
        <v>73</v>
      </c>
      <c r="C713" t="s">
        <v>74</v>
      </c>
      <c r="D713" t="s">
        <v>93</v>
      </c>
      <c r="E713" t="s">
        <v>56</v>
      </c>
      <c r="F713">
        <v>7098131</v>
      </c>
      <c r="G713" t="s">
        <v>75</v>
      </c>
      <c r="H713" t="s">
        <v>43</v>
      </c>
      <c r="I713" t="s">
        <v>44</v>
      </c>
      <c r="J713" t="s">
        <v>50</v>
      </c>
      <c r="K713" t="s">
        <v>16</v>
      </c>
      <c r="L713" t="s">
        <v>51</v>
      </c>
      <c r="M713" t="s">
        <v>908</v>
      </c>
      <c r="N713" t="s">
        <v>909</v>
      </c>
      <c r="O713" t="s">
        <v>910</v>
      </c>
      <c r="P713" t="s">
        <v>383</v>
      </c>
      <c r="Q713" t="s">
        <v>865</v>
      </c>
      <c r="R713" t="s">
        <v>866</v>
      </c>
      <c r="S713" t="s">
        <v>46</v>
      </c>
      <c r="T713" t="s">
        <v>46</v>
      </c>
      <c r="U713" s="4">
        <v>9443.91</v>
      </c>
      <c r="V713" t="str">
        <f t="shared" si="11"/>
        <v>TP26</v>
      </c>
      <c r="W713" t="str">
        <f>VLOOKUP(K713,[1]Info!A$1:B$21,2,0)</f>
        <v>Trator Pneu</v>
      </c>
      <c r="X713" t="str">
        <f>IF(M713="109595132","Material de Limpeza-Não Avaliar",IF(AND(K713="F20",M713&lt;&gt;109595132),IF(RIGHT(F713,2)="70","Infraestrutura de Planta","Prédios e Instalações"),IF(K713="FPC",VLOOKUP(F713,[1]Info!$E$2:$F$11,2,0),IF(K713="FGP",VLOOKUP(F713,[1]Info!$E$9:$F$10,2,0),IF(K713="F10",VLOOKUP(F713,[1]Info!$E$2:$F$3,2,0),VLOOKUP(K713,[1]Info!$A$1:$B$21,2,0))))))</f>
        <v>Trator Pneu</v>
      </c>
    </row>
    <row r="714" spans="1:24" x14ac:dyDescent="0.35">
      <c r="A714" t="s">
        <v>41</v>
      </c>
      <c r="B714" t="s">
        <v>73</v>
      </c>
      <c r="C714" t="s">
        <v>74</v>
      </c>
      <c r="D714" t="s">
        <v>93</v>
      </c>
      <c r="E714" t="s">
        <v>56</v>
      </c>
      <c r="F714">
        <v>7098131</v>
      </c>
      <c r="G714" t="s">
        <v>75</v>
      </c>
      <c r="H714" t="s">
        <v>43</v>
      </c>
      <c r="I714" t="s">
        <v>44</v>
      </c>
      <c r="J714" t="s">
        <v>50</v>
      </c>
      <c r="K714" t="s">
        <v>3</v>
      </c>
      <c r="L714" t="s">
        <v>59</v>
      </c>
      <c r="M714" t="s">
        <v>911</v>
      </c>
      <c r="N714" t="s">
        <v>912</v>
      </c>
      <c r="O714" t="s">
        <v>913</v>
      </c>
      <c r="P714" t="s">
        <v>383</v>
      </c>
      <c r="Q714" t="s">
        <v>914</v>
      </c>
      <c r="R714" t="s">
        <v>915</v>
      </c>
      <c r="S714" t="s">
        <v>46</v>
      </c>
      <c r="T714" t="s">
        <v>46</v>
      </c>
      <c r="U714" s="4">
        <v>8980.36</v>
      </c>
      <c r="V714" t="str">
        <f t="shared" si="11"/>
        <v>0010</v>
      </c>
      <c r="W714" t="str">
        <f>VLOOKUP(K714,[1]Info!A$1:B$21,2,0)</f>
        <v>Carregadeira</v>
      </c>
      <c r="X714" t="str">
        <f>IF(M714="109595132","Material de Limpeza-Não Avaliar",IF(AND(K714="F20",M714&lt;&gt;109595132),IF(RIGHT(F714,2)="70","Infraestrutura de Planta","Prédios e Instalações"),IF(K714="FPC",VLOOKUP(F714,[1]Info!$E$2:$F$11,2,0),IF(K714="FGP",VLOOKUP(F714,[1]Info!$E$9:$F$10,2,0),IF(K714="F10",VLOOKUP(F714,[1]Info!$E$2:$F$3,2,0),VLOOKUP(K714,[1]Info!$A$1:$B$21,2,0))))))</f>
        <v>Carregadeira Plantas</v>
      </c>
    </row>
    <row r="715" spans="1:24" x14ac:dyDescent="0.35">
      <c r="A715" t="s">
        <v>41</v>
      </c>
      <c r="B715" t="s">
        <v>73</v>
      </c>
      <c r="C715" t="s">
        <v>74</v>
      </c>
      <c r="D715" t="s">
        <v>93</v>
      </c>
      <c r="E715" t="s">
        <v>56</v>
      </c>
      <c r="F715">
        <v>7098131</v>
      </c>
      <c r="G715" t="s">
        <v>75</v>
      </c>
      <c r="H715" t="s">
        <v>43</v>
      </c>
      <c r="I715" t="s">
        <v>44</v>
      </c>
      <c r="J715" t="s">
        <v>50</v>
      </c>
      <c r="K715" t="s">
        <v>3</v>
      </c>
      <c r="L715" t="s">
        <v>59</v>
      </c>
      <c r="M715" t="s">
        <v>916</v>
      </c>
      <c r="N715" t="s">
        <v>917</v>
      </c>
      <c r="O715" t="s">
        <v>918</v>
      </c>
      <c r="P715" t="s">
        <v>383</v>
      </c>
      <c r="Q715" t="s">
        <v>919</v>
      </c>
      <c r="R715" t="s">
        <v>920</v>
      </c>
      <c r="S715" t="s">
        <v>46</v>
      </c>
      <c r="T715" t="s">
        <v>46</v>
      </c>
      <c r="U715" s="4">
        <v>70.05</v>
      </c>
      <c r="V715" t="str">
        <f t="shared" si="11"/>
        <v>0010</v>
      </c>
      <c r="W715" t="str">
        <f>VLOOKUP(K715,[1]Info!A$1:B$21,2,0)</f>
        <v>Carregadeira</v>
      </c>
      <c r="X715" t="str">
        <f>IF(M715="109595132","Material de Limpeza-Não Avaliar",IF(AND(K715="F20",M715&lt;&gt;109595132),IF(RIGHT(F715,2)="70","Infraestrutura de Planta","Prédios e Instalações"),IF(K715="FPC",VLOOKUP(F715,[1]Info!$E$2:$F$11,2,0),IF(K715="FGP",VLOOKUP(F715,[1]Info!$E$9:$F$10,2,0),IF(K715="F10",VLOOKUP(F715,[1]Info!$E$2:$F$3,2,0),VLOOKUP(K715,[1]Info!$A$1:$B$21,2,0))))))</f>
        <v>Carregadeira Plantas</v>
      </c>
    </row>
    <row r="716" spans="1:24" x14ac:dyDescent="0.35">
      <c r="A716" t="s">
        <v>41</v>
      </c>
      <c r="B716" t="s">
        <v>73</v>
      </c>
      <c r="C716" t="s">
        <v>74</v>
      </c>
      <c r="D716" t="s">
        <v>93</v>
      </c>
      <c r="E716" t="s">
        <v>56</v>
      </c>
      <c r="F716">
        <v>7098131</v>
      </c>
      <c r="G716" t="s">
        <v>75</v>
      </c>
      <c r="H716" t="s">
        <v>43</v>
      </c>
      <c r="I716" t="s">
        <v>44</v>
      </c>
      <c r="J716" t="s">
        <v>50</v>
      </c>
      <c r="K716" t="s">
        <v>3</v>
      </c>
      <c r="L716" t="s">
        <v>59</v>
      </c>
      <c r="M716" t="s">
        <v>921</v>
      </c>
      <c r="N716" t="s">
        <v>922</v>
      </c>
      <c r="O716" t="s">
        <v>923</v>
      </c>
      <c r="P716" t="s">
        <v>383</v>
      </c>
      <c r="Q716" t="s">
        <v>924</v>
      </c>
      <c r="R716" t="s">
        <v>925</v>
      </c>
      <c r="S716" t="s">
        <v>46</v>
      </c>
      <c r="T716" t="s">
        <v>46</v>
      </c>
      <c r="U716" s="4">
        <v>9447.1</v>
      </c>
      <c r="V716" t="str">
        <f t="shared" si="11"/>
        <v>-020</v>
      </c>
      <c r="W716" t="str">
        <f>VLOOKUP(K716,[1]Info!A$1:B$21,2,0)</f>
        <v>Carregadeira</v>
      </c>
      <c r="X716" t="str">
        <f>IF(M716="109595132","Material de Limpeza-Não Avaliar",IF(AND(K716="F20",M716&lt;&gt;109595132),IF(RIGHT(F716,2)="70","Infraestrutura de Planta","Prédios e Instalações"),IF(K716="FPC",VLOOKUP(F716,[1]Info!$E$2:$F$11,2,0),IF(K716="FGP",VLOOKUP(F716,[1]Info!$E$9:$F$10,2,0),IF(K716="F10",VLOOKUP(F716,[1]Info!$E$2:$F$3,2,0),VLOOKUP(K716,[1]Info!$A$1:$B$21,2,0))))))</f>
        <v>Carregadeira Plantas</v>
      </c>
    </row>
    <row r="717" spans="1:24" x14ac:dyDescent="0.35">
      <c r="A717" t="s">
        <v>41</v>
      </c>
      <c r="B717" t="s">
        <v>73</v>
      </c>
      <c r="C717" t="s">
        <v>74</v>
      </c>
      <c r="D717" t="s">
        <v>93</v>
      </c>
      <c r="E717" t="s">
        <v>56</v>
      </c>
      <c r="F717">
        <v>7098131</v>
      </c>
      <c r="G717" t="s">
        <v>75</v>
      </c>
      <c r="H717" t="s">
        <v>43</v>
      </c>
      <c r="I717" t="s">
        <v>44</v>
      </c>
      <c r="J717" t="s">
        <v>50</v>
      </c>
      <c r="K717" t="s">
        <v>3</v>
      </c>
      <c r="L717" t="s">
        <v>62</v>
      </c>
      <c r="M717" t="s">
        <v>1746</v>
      </c>
      <c r="N717" t="s">
        <v>1747</v>
      </c>
      <c r="O717" t="s">
        <v>89</v>
      </c>
      <c r="P717" t="s">
        <v>1292</v>
      </c>
      <c r="Q717" t="s">
        <v>46</v>
      </c>
      <c r="R717" t="s">
        <v>47</v>
      </c>
      <c r="S717" t="s">
        <v>46</v>
      </c>
      <c r="T717" t="s">
        <v>46</v>
      </c>
      <c r="U717" s="4">
        <v>194.48</v>
      </c>
      <c r="V717" t="str">
        <f t="shared" si="11"/>
        <v>C046</v>
      </c>
      <c r="W717" t="str">
        <f>VLOOKUP(K717,[1]Info!A$1:B$21,2,0)</f>
        <v>Carregadeira</v>
      </c>
      <c r="X717" t="str">
        <f>IF(M717="109595132","Material de Limpeza-Não Avaliar",IF(AND(K717="F20",M717&lt;&gt;109595132),IF(RIGHT(F717,2)="70","Infraestrutura de Planta","Prédios e Instalações"),IF(K717="FPC",VLOOKUP(F717,[1]Info!$E$2:$F$11,2,0),IF(K717="FGP",VLOOKUP(F717,[1]Info!$E$9:$F$10,2,0),IF(K717="F10",VLOOKUP(F717,[1]Info!$E$2:$F$3,2,0),VLOOKUP(K717,[1]Info!$A$1:$B$21,2,0))))))</f>
        <v>Carregadeira Plantas</v>
      </c>
    </row>
    <row r="718" spans="1:24" x14ac:dyDescent="0.35">
      <c r="A718" t="s">
        <v>41</v>
      </c>
      <c r="B718" t="s">
        <v>73</v>
      </c>
      <c r="C718" t="s">
        <v>74</v>
      </c>
      <c r="D718" t="s">
        <v>93</v>
      </c>
      <c r="E718" t="s">
        <v>56</v>
      </c>
      <c r="F718">
        <v>7098131</v>
      </c>
      <c r="G718" t="s">
        <v>75</v>
      </c>
      <c r="H718" t="s">
        <v>43</v>
      </c>
      <c r="I718" t="s">
        <v>44</v>
      </c>
      <c r="J718" t="s">
        <v>50</v>
      </c>
      <c r="K718" t="s">
        <v>3</v>
      </c>
      <c r="L718" t="s">
        <v>62</v>
      </c>
      <c r="M718" t="s">
        <v>1748</v>
      </c>
      <c r="N718" t="s">
        <v>1749</v>
      </c>
      <c r="O718" t="s">
        <v>101</v>
      </c>
      <c r="P718" t="s">
        <v>1292</v>
      </c>
      <c r="Q718" t="s">
        <v>46</v>
      </c>
      <c r="R718" t="s">
        <v>47</v>
      </c>
      <c r="S718" t="s">
        <v>46</v>
      </c>
      <c r="T718" t="s">
        <v>46</v>
      </c>
      <c r="U718" s="4">
        <v>194.48</v>
      </c>
      <c r="V718" t="str">
        <f t="shared" si="11"/>
        <v>C031</v>
      </c>
      <c r="W718" t="str">
        <f>VLOOKUP(K718,[1]Info!A$1:B$21,2,0)</f>
        <v>Carregadeira</v>
      </c>
      <c r="X718" t="str">
        <f>IF(M718="109595132","Material de Limpeza-Não Avaliar",IF(AND(K718="F20",M718&lt;&gt;109595132),IF(RIGHT(F718,2)="70","Infraestrutura de Planta","Prédios e Instalações"),IF(K718="FPC",VLOOKUP(F718,[1]Info!$E$2:$F$11,2,0),IF(K718="FGP",VLOOKUP(F718,[1]Info!$E$9:$F$10,2,0),IF(K718="F10",VLOOKUP(F718,[1]Info!$E$2:$F$3,2,0),VLOOKUP(K718,[1]Info!$A$1:$B$21,2,0))))))</f>
        <v>Carregadeira Plantas</v>
      </c>
    </row>
    <row r="719" spans="1:24" x14ac:dyDescent="0.35">
      <c r="A719" t="s">
        <v>41</v>
      </c>
      <c r="B719" t="s">
        <v>73</v>
      </c>
      <c r="C719" t="s">
        <v>74</v>
      </c>
      <c r="D719" t="s">
        <v>93</v>
      </c>
      <c r="E719" t="s">
        <v>56</v>
      </c>
      <c r="F719">
        <v>7098131</v>
      </c>
      <c r="G719" t="s">
        <v>75</v>
      </c>
      <c r="H719" t="s">
        <v>43</v>
      </c>
      <c r="I719" t="s">
        <v>44</v>
      </c>
      <c r="J719" t="s">
        <v>50</v>
      </c>
      <c r="K719" t="s">
        <v>3</v>
      </c>
      <c r="L719" t="s">
        <v>62</v>
      </c>
      <c r="M719" t="s">
        <v>1750</v>
      </c>
      <c r="N719" t="s">
        <v>1751</v>
      </c>
      <c r="O719" t="s">
        <v>97</v>
      </c>
      <c r="P719" t="s">
        <v>1292</v>
      </c>
      <c r="Q719" t="s">
        <v>46</v>
      </c>
      <c r="R719" t="s">
        <v>47</v>
      </c>
      <c r="S719" t="s">
        <v>46</v>
      </c>
      <c r="T719" t="s">
        <v>46</v>
      </c>
      <c r="U719" s="4">
        <v>194.48</v>
      </c>
      <c r="V719" t="str">
        <f t="shared" si="11"/>
        <v>C047</v>
      </c>
      <c r="W719" t="str">
        <f>VLOOKUP(K719,[1]Info!A$1:B$21,2,0)</f>
        <v>Carregadeira</v>
      </c>
      <c r="X719" t="str">
        <f>IF(M719="109595132","Material de Limpeza-Não Avaliar",IF(AND(K719="F20",M719&lt;&gt;109595132),IF(RIGHT(F719,2)="70","Infraestrutura de Planta","Prédios e Instalações"),IF(K719="FPC",VLOOKUP(F719,[1]Info!$E$2:$F$11,2,0),IF(K719="FGP",VLOOKUP(F719,[1]Info!$E$9:$F$10,2,0),IF(K719="F10",VLOOKUP(F719,[1]Info!$E$2:$F$3,2,0),VLOOKUP(K719,[1]Info!$A$1:$B$21,2,0))))))</f>
        <v>Carregadeira Plantas</v>
      </c>
    </row>
    <row r="720" spans="1:24" x14ac:dyDescent="0.35">
      <c r="A720" t="s">
        <v>41</v>
      </c>
      <c r="B720" t="s">
        <v>73</v>
      </c>
      <c r="C720" t="s">
        <v>74</v>
      </c>
      <c r="D720" t="s">
        <v>93</v>
      </c>
      <c r="E720" t="s">
        <v>56</v>
      </c>
      <c r="F720">
        <v>7098131</v>
      </c>
      <c r="G720" t="s">
        <v>75</v>
      </c>
      <c r="H720" t="s">
        <v>43</v>
      </c>
      <c r="I720" t="s">
        <v>44</v>
      </c>
      <c r="J720" t="s">
        <v>50</v>
      </c>
      <c r="K720" t="s">
        <v>3</v>
      </c>
      <c r="L720" t="s">
        <v>62</v>
      </c>
      <c r="M720" t="s">
        <v>1752</v>
      </c>
      <c r="N720" t="s">
        <v>1753</v>
      </c>
      <c r="O720" t="s">
        <v>170</v>
      </c>
      <c r="P720" t="s">
        <v>1292</v>
      </c>
      <c r="Q720" t="s">
        <v>46</v>
      </c>
      <c r="R720" t="s">
        <v>47</v>
      </c>
      <c r="S720" t="s">
        <v>46</v>
      </c>
      <c r="T720" t="s">
        <v>46</v>
      </c>
      <c r="U720" s="4">
        <v>194.48</v>
      </c>
      <c r="V720" t="str">
        <f t="shared" si="11"/>
        <v>C032</v>
      </c>
      <c r="W720" t="str">
        <f>VLOOKUP(K720,[1]Info!A$1:B$21,2,0)</f>
        <v>Carregadeira</v>
      </c>
      <c r="X720" t="str">
        <f>IF(M720="109595132","Material de Limpeza-Não Avaliar",IF(AND(K720="F20",M720&lt;&gt;109595132),IF(RIGHT(F720,2)="70","Infraestrutura de Planta","Prédios e Instalações"),IF(K720="FPC",VLOOKUP(F720,[1]Info!$E$2:$F$11,2,0),IF(K720="FGP",VLOOKUP(F720,[1]Info!$E$9:$F$10,2,0),IF(K720="F10",VLOOKUP(F720,[1]Info!$E$2:$F$3,2,0),VLOOKUP(K720,[1]Info!$A$1:$B$21,2,0))))))</f>
        <v>Carregadeira Plantas</v>
      </c>
    </row>
    <row r="721" spans="1:24" x14ac:dyDescent="0.35">
      <c r="A721" t="s">
        <v>41</v>
      </c>
      <c r="B721" t="s">
        <v>73</v>
      </c>
      <c r="C721" t="s">
        <v>74</v>
      </c>
      <c r="D721" t="s">
        <v>93</v>
      </c>
      <c r="E721" t="s">
        <v>56</v>
      </c>
      <c r="F721">
        <v>7098131</v>
      </c>
      <c r="G721" t="s">
        <v>75</v>
      </c>
      <c r="H721" t="s">
        <v>43</v>
      </c>
      <c r="I721" t="s">
        <v>44</v>
      </c>
      <c r="J721" t="s">
        <v>50</v>
      </c>
      <c r="K721" t="s">
        <v>3</v>
      </c>
      <c r="L721" t="s">
        <v>62</v>
      </c>
      <c r="M721" t="s">
        <v>1754</v>
      </c>
      <c r="N721" t="s">
        <v>1755</v>
      </c>
      <c r="O721" t="s">
        <v>142</v>
      </c>
      <c r="P721" t="s">
        <v>1292</v>
      </c>
      <c r="Q721" t="s">
        <v>46</v>
      </c>
      <c r="R721" t="s">
        <v>47</v>
      </c>
      <c r="S721" t="s">
        <v>46</v>
      </c>
      <c r="T721" t="s">
        <v>46</v>
      </c>
      <c r="U721" s="4">
        <v>194.47</v>
      </c>
      <c r="V721" t="str">
        <f t="shared" si="11"/>
        <v>C027</v>
      </c>
      <c r="W721" t="str">
        <f>VLOOKUP(K721,[1]Info!A$1:B$21,2,0)</f>
        <v>Carregadeira</v>
      </c>
      <c r="X721" t="str">
        <f>IF(M721="109595132","Material de Limpeza-Não Avaliar",IF(AND(K721="F20",M721&lt;&gt;109595132),IF(RIGHT(F721,2)="70","Infraestrutura de Planta","Prédios e Instalações"),IF(K721="FPC",VLOOKUP(F721,[1]Info!$E$2:$F$11,2,0),IF(K721="FGP",VLOOKUP(F721,[1]Info!$E$9:$F$10,2,0),IF(K721="F10",VLOOKUP(F721,[1]Info!$E$2:$F$3,2,0),VLOOKUP(K721,[1]Info!$A$1:$B$21,2,0))))))</f>
        <v>Carregadeira Plantas</v>
      </c>
    </row>
    <row r="722" spans="1:24" x14ac:dyDescent="0.35">
      <c r="A722" t="s">
        <v>41</v>
      </c>
      <c r="B722" t="s">
        <v>73</v>
      </c>
      <c r="C722" t="s">
        <v>74</v>
      </c>
      <c r="D722" t="s">
        <v>93</v>
      </c>
      <c r="E722" t="s">
        <v>56</v>
      </c>
      <c r="F722">
        <v>7098131</v>
      </c>
      <c r="G722" t="s">
        <v>75</v>
      </c>
      <c r="H722" t="s">
        <v>43</v>
      </c>
      <c r="I722" t="s">
        <v>44</v>
      </c>
      <c r="J722" t="s">
        <v>50</v>
      </c>
      <c r="K722" t="s">
        <v>3</v>
      </c>
      <c r="L722" t="s">
        <v>62</v>
      </c>
      <c r="M722" t="s">
        <v>1756</v>
      </c>
      <c r="N722" t="s">
        <v>1757</v>
      </c>
      <c r="O722" t="s">
        <v>98</v>
      </c>
      <c r="P722" t="s">
        <v>1292</v>
      </c>
      <c r="Q722" t="s">
        <v>46</v>
      </c>
      <c r="R722" t="s">
        <v>47</v>
      </c>
      <c r="S722" t="s">
        <v>46</v>
      </c>
      <c r="T722" t="s">
        <v>46</v>
      </c>
      <c r="U722" s="4">
        <v>194.47</v>
      </c>
      <c r="V722" t="str">
        <f t="shared" si="11"/>
        <v>C030</v>
      </c>
      <c r="W722" t="str">
        <f>VLOOKUP(K722,[1]Info!A$1:B$21,2,0)</f>
        <v>Carregadeira</v>
      </c>
      <c r="X722" t="str">
        <f>IF(M722="109595132","Material de Limpeza-Não Avaliar",IF(AND(K722="F20",M722&lt;&gt;109595132),IF(RIGHT(F722,2)="70","Infraestrutura de Planta","Prédios e Instalações"),IF(K722="FPC",VLOOKUP(F722,[1]Info!$E$2:$F$11,2,0),IF(K722="FGP",VLOOKUP(F722,[1]Info!$E$9:$F$10,2,0),IF(K722="F10",VLOOKUP(F722,[1]Info!$E$2:$F$3,2,0),VLOOKUP(K722,[1]Info!$A$1:$B$21,2,0))))))</f>
        <v>Carregadeira Plantas</v>
      </c>
    </row>
    <row r="723" spans="1:24" x14ac:dyDescent="0.35">
      <c r="A723" t="s">
        <v>41</v>
      </c>
      <c r="B723" t="s">
        <v>73</v>
      </c>
      <c r="C723" t="s">
        <v>74</v>
      </c>
      <c r="D723" t="s">
        <v>93</v>
      </c>
      <c r="E723" t="s">
        <v>56</v>
      </c>
      <c r="F723">
        <v>7098131</v>
      </c>
      <c r="G723" t="s">
        <v>75</v>
      </c>
      <c r="H723" t="s">
        <v>43</v>
      </c>
      <c r="I723" t="s">
        <v>44</v>
      </c>
      <c r="J723" t="s">
        <v>50</v>
      </c>
      <c r="K723" t="s">
        <v>3</v>
      </c>
      <c r="L723" t="s">
        <v>62</v>
      </c>
      <c r="M723" t="s">
        <v>1758</v>
      </c>
      <c r="N723" t="s">
        <v>1759</v>
      </c>
      <c r="O723" t="s">
        <v>82</v>
      </c>
      <c r="P723" t="s">
        <v>1292</v>
      </c>
      <c r="Q723" t="s">
        <v>46</v>
      </c>
      <c r="R723" t="s">
        <v>47</v>
      </c>
      <c r="S723" t="s">
        <v>46</v>
      </c>
      <c r="T723" t="s">
        <v>46</v>
      </c>
      <c r="U723" s="4">
        <v>194.47</v>
      </c>
      <c r="V723" t="str">
        <f t="shared" si="11"/>
        <v>C043</v>
      </c>
      <c r="W723" t="str">
        <f>VLOOKUP(K723,[1]Info!A$1:B$21,2,0)</f>
        <v>Carregadeira</v>
      </c>
      <c r="X723" t="str">
        <f>IF(M723="109595132","Material de Limpeza-Não Avaliar",IF(AND(K723="F20",M723&lt;&gt;109595132),IF(RIGHT(F723,2)="70","Infraestrutura de Planta","Prédios e Instalações"),IF(K723="FPC",VLOOKUP(F723,[1]Info!$E$2:$F$11,2,0),IF(K723="FGP",VLOOKUP(F723,[1]Info!$E$9:$F$10,2,0),IF(K723="F10",VLOOKUP(F723,[1]Info!$E$2:$F$3,2,0),VLOOKUP(K723,[1]Info!$A$1:$B$21,2,0))))))</f>
        <v>Carregadeira Plantas</v>
      </c>
    </row>
    <row r="724" spans="1:24" x14ac:dyDescent="0.35">
      <c r="A724" t="s">
        <v>41</v>
      </c>
      <c r="B724" t="s">
        <v>73</v>
      </c>
      <c r="C724" t="s">
        <v>74</v>
      </c>
      <c r="D724" t="s">
        <v>93</v>
      </c>
      <c r="E724" t="s">
        <v>56</v>
      </c>
      <c r="F724">
        <v>7098131</v>
      </c>
      <c r="G724" t="s">
        <v>75</v>
      </c>
      <c r="H724" t="s">
        <v>43</v>
      </c>
      <c r="I724" t="s">
        <v>44</v>
      </c>
      <c r="J724" t="s">
        <v>50</v>
      </c>
      <c r="K724" t="s">
        <v>3</v>
      </c>
      <c r="L724" t="s">
        <v>62</v>
      </c>
      <c r="M724" t="s">
        <v>926</v>
      </c>
      <c r="N724" t="s">
        <v>927</v>
      </c>
      <c r="O724" t="s">
        <v>89</v>
      </c>
      <c r="P724" t="s">
        <v>383</v>
      </c>
      <c r="Q724" t="s">
        <v>855</v>
      </c>
      <c r="R724" t="s">
        <v>856</v>
      </c>
      <c r="S724" t="s">
        <v>46</v>
      </c>
      <c r="T724" t="s">
        <v>46</v>
      </c>
      <c r="U724" s="4">
        <v>329.71</v>
      </c>
      <c r="V724" t="str">
        <f t="shared" si="11"/>
        <v>C046</v>
      </c>
      <c r="W724" t="str">
        <f>VLOOKUP(K724,[1]Info!A$1:B$21,2,0)</f>
        <v>Carregadeira</v>
      </c>
      <c r="X724" t="str">
        <f>IF(M724="109595132","Material de Limpeza-Não Avaliar",IF(AND(K724="F20",M724&lt;&gt;109595132),IF(RIGHT(F724,2)="70","Infraestrutura de Planta","Prédios e Instalações"),IF(K724="FPC",VLOOKUP(F724,[1]Info!$E$2:$F$11,2,0),IF(K724="FGP",VLOOKUP(F724,[1]Info!$E$9:$F$10,2,0),IF(K724="F10",VLOOKUP(F724,[1]Info!$E$2:$F$3,2,0),VLOOKUP(K724,[1]Info!$A$1:$B$21,2,0))))))</f>
        <v>Carregadeira Plantas</v>
      </c>
    </row>
    <row r="725" spans="1:24" x14ac:dyDescent="0.35">
      <c r="A725" t="s">
        <v>41</v>
      </c>
      <c r="B725" t="s">
        <v>73</v>
      </c>
      <c r="C725" t="s">
        <v>74</v>
      </c>
      <c r="D725" t="s">
        <v>93</v>
      </c>
      <c r="E725" t="s">
        <v>56</v>
      </c>
      <c r="F725">
        <v>7098131</v>
      </c>
      <c r="G725" t="s">
        <v>75</v>
      </c>
      <c r="H725" t="s">
        <v>43</v>
      </c>
      <c r="I725" t="s">
        <v>44</v>
      </c>
      <c r="J725" t="s">
        <v>50</v>
      </c>
      <c r="K725" t="s">
        <v>3</v>
      </c>
      <c r="L725" t="s">
        <v>62</v>
      </c>
      <c r="M725" t="s">
        <v>1760</v>
      </c>
      <c r="N725" t="s">
        <v>1761</v>
      </c>
      <c r="O725" t="s">
        <v>121</v>
      </c>
      <c r="P725" t="s">
        <v>1292</v>
      </c>
      <c r="Q725" t="s">
        <v>46</v>
      </c>
      <c r="R725" t="s">
        <v>47</v>
      </c>
      <c r="S725" t="s">
        <v>46</v>
      </c>
      <c r="T725" t="s">
        <v>46</v>
      </c>
      <c r="U725" s="4">
        <v>194.48</v>
      </c>
      <c r="V725" t="str">
        <f t="shared" si="11"/>
        <v>C044</v>
      </c>
      <c r="W725" t="str">
        <f>VLOOKUP(K725,[1]Info!A$1:B$21,2,0)</f>
        <v>Carregadeira</v>
      </c>
      <c r="X725" t="str">
        <f>IF(M725="109595132","Material de Limpeza-Não Avaliar",IF(AND(K725="F20",M725&lt;&gt;109595132),IF(RIGHT(F725,2)="70","Infraestrutura de Planta","Prédios e Instalações"),IF(K725="FPC",VLOOKUP(F725,[1]Info!$E$2:$F$11,2,0),IF(K725="FGP",VLOOKUP(F725,[1]Info!$E$9:$F$10,2,0),IF(K725="F10",VLOOKUP(F725,[1]Info!$E$2:$F$3,2,0),VLOOKUP(K725,[1]Info!$A$1:$B$21,2,0))))))</f>
        <v>Carregadeira Plantas</v>
      </c>
    </row>
    <row r="726" spans="1:24" x14ac:dyDescent="0.35">
      <c r="A726" t="s">
        <v>41</v>
      </c>
      <c r="B726" t="s">
        <v>73</v>
      </c>
      <c r="C726" t="s">
        <v>74</v>
      </c>
      <c r="D726" t="s">
        <v>93</v>
      </c>
      <c r="E726" t="s">
        <v>56</v>
      </c>
      <c r="F726">
        <v>7098131</v>
      </c>
      <c r="G726" t="s">
        <v>75</v>
      </c>
      <c r="H726" t="s">
        <v>43</v>
      </c>
      <c r="I726" t="s">
        <v>44</v>
      </c>
      <c r="J726" t="s">
        <v>50</v>
      </c>
      <c r="K726" t="s">
        <v>3</v>
      </c>
      <c r="L726" t="s">
        <v>62</v>
      </c>
      <c r="M726" t="s">
        <v>928</v>
      </c>
      <c r="N726" t="s">
        <v>929</v>
      </c>
      <c r="O726" t="s">
        <v>170</v>
      </c>
      <c r="P726" t="s">
        <v>383</v>
      </c>
      <c r="Q726" t="s">
        <v>855</v>
      </c>
      <c r="R726" t="s">
        <v>856</v>
      </c>
      <c r="S726" t="s">
        <v>46</v>
      </c>
      <c r="T726" t="s">
        <v>46</v>
      </c>
      <c r="U726" s="4">
        <v>329.71</v>
      </c>
      <c r="V726" t="str">
        <f t="shared" si="11"/>
        <v>C032</v>
      </c>
      <c r="W726" t="str">
        <f>VLOOKUP(K726,[1]Info!A$1:B$21,2,0)</f>
        <v>Carregadeira</v>
      </c>
      <c r="X726" t="str">
        <f>IF(M726="109595132","Material de Limpeza-Não Avaliar",IF(AND(K726="F20",M726&lt;&gt;109595132),IF(RIGHT(F726,2)="70","Infraestrutura de Planta","Prédios e Instalações"),IF(K726="FPC",VLOOKUP(F726,[1]Info!$E$2:$F$11,2,0),IF(K726="FGP",VLOOKUP(F726,[1]Info!$E$9:$F$10,2,0),IF(K726="F10",VLOOKUP(F726,[1]Info!$E$2:$F$3,2,0),VLOOKUP(K726,[1]Info!$A$1:$B$21,2,0))))))</f>
        <v>Carregadeira Plantas</v>
      </c>
    </row>
    <row r="727" spans="1:24" x14ac:dyDescent="0.35">
      <c r="A727" t="s">
        <v>41</v>
      </c>
      <c r="B727" t="s">
        <v>73</v>
      </c>
      <c r="C727" t="s">
        <v>74</v>
      </c>
      <c r="D727" t="s">
        <v>93</v>
      </c>
      <c r="E727" t="s">
        <v>56</v>
      </c>
      <c r="F727">
        <v>7098131</v>
      </c>
      <c r="G727" t="s">
        <v>75</v>
      </c>
      <c r="H727" t="s">
        <v>43</v>
      </c>
      <c r="I727" t="s">
        <v>44</v>
      </c>
      <c r="J727" t="s">
        <v>50</v>
      </c>
      <c r="K727" t="s">
        <v>3</v>
      </c>
      <c r="L727" t="s">
        <v>62</v>
      </c>
      <c r="M727" t="s">
        <v>397</v>
      </c>
      <c r="N727" t="s">
        <v>398</v>
      </c>
      <c r="O727" t="s">
        <v>143</v>
      </c>
      <c r="P727" t="s">
        <v>383</v>
      </c>
      <c r="Q727" t="s">
        <v>855</v>
      </c>
      <c r="R727" t="s">
        <v>856</v>
      </c>
      <c r="S727" t="s">
        <v>46</v>
      </c>
      <c r="T727" t="s">
        <v>46</v>
      </c>
      <c r="U727" s="4">
        <v>329.72</v>
      </c>
      <c r="V727" t="str">
        <f t="shared" si="11"/>
        <v>C048</v>
      </c>
      <c r="W727" t="str">
        <f>VLOOKUP(K727,[1]Info!A$1:B$21,2,0)</f>
        <v>Carregadeira</v>
      </c>
      <c r="X727" t="str">
        <f>IF(M727="109595132","Material de Limpeza-Não Avaliar",IF(AND(K727="F20",M727&lt;&gt;109595132),IF(RIGHT(F727,2)="70","Infraestrutura de Planta","Prédios e Instalações"),IF(K727="FPC",VLOOKUP(F727,[1]Info!$E$2:$F$11,2,0),IF(K727="FGP",VLOOKUP(F727,[1]Info!$E$9:$F$10,2,0),IF(K727="F10",VLOOKUP(F727,[1]Info!$E$2:$F$3,2,0),VLOOKUP(K727,[1]Info!$A$1:$B$21,2,0))))))</f>
        <v>Carregadeira Plantas</v>
      </c>
    </row>
    <row r="728" spans="1:24" x14ac:dyDescent="0.35">
      <c r="A728" t="s">
        <v>41</v>
      </c>
      <c r="B728" t="s">
        <v>73</v>
      </c>
      <c r="C728" t="s">
        <v>74</v>
      </c>
      <c r="D728" t="s">
        <v>93</v>
      </c>
      <c r="E728" t="s">
        <v>56</v>
      </c>
      <c r="F728">
        <v>7098131</v>
      </c>
      <c r="G728" t="s">
        <v>75</v>
      </c>
      <c r="H728" t="s">
        <v>43</v>
      </c>
      <c r="I728" t="s">
        <v>44</v>
      </c>
      <c r="J728" t="s">
        <v>50</v>
      </c>
      <c r="K728" t="s">
        <v>3</v>
      </c>
      <c r="L728" t="s">
        <v>51</v>
      </c>
      <c r="M728" t="s">
        <v>930</v>
      </c>
      <c r="N728" t="s">
        <v>931</v>
      </c>
      <c r="O728" t="s">
        <v>98</v>
      </c>
      <c r="P728" t="s">
        <v>383</v>
      </c>
      <c r="Q728" t="s">
        <v>932</v>
      </c>
      <c r="R728" t="s">
        <v>933</v>
      </c>
      <c r="S728" t="s">
        <v>46</v>
      </c>
      <c r="T728" t="s">
        <v>46</v>
      </c>
      <c r="U728" s="4">
        <v>1914.8</v>
      </c>
      <c r="V728" t="str">
        <f t="shared" si="11"/>
        <v>C030</v>
      </c>
      <c r="W728" t="str">
        <f>VLOOKUP(K728,[1]Info!A$1:B$21,2,0)</f>
        <v>Carregadeira</v>
      </c>
      <c r="X728" t="str">
        <f>IF(M728="109595132","Material de Limpeza-Não Avaliar",IF(AND(K728="F20",M728&lt;&gt;109595132),IF(RIGHT(F728,2)="70","Infraestrutura de Planta","Prédios e Instalações"),IF(K728="FPC",VLOOKUP(F728,[1]Info!$E$2:$F$11,2,0),IF(K728="FGP",VLOOKUP(F728,[1]Info!$E$9:$F$10,2,0),IF(K728="F10",VLOOKUP(F728,[1]Info!$E$2:$F$3,2,0),VLOOKUP(K728,[1]Info!$A$1:$B$21,2,0))))))</f>
        <v>Carregadeira Plantas</v>
      </c>
    </row>
    <row r="729" spans="1:24" x14ac:dyDescent="0.35">
      <c r="A729" t="s">
        <v>41</v>
      </c>
      <c r="B729" t="s">
        <v>73</v>
      </c>
      <c r="C729" t="s">
        <v>74</v>
      </c>
      <c r="D729" t="s">
        <v>93</v>
      </c>
      <c r="E729" t="s">
        <v>56</v>
      </c>
      <c r="F729">
        <v>7098131</v>
      </c>
      <c r="G729" t="s">
        <v>75</v>
      </c>
      <c r="H729" t="s">
        <v>43</v>
      </c>
      <c r="I729" t="s">
        <v>44</v>
      </c>
      <c r="J729" t="s">
        <v>50</v>
      </c>
      <c r="K729" t="s">
        <v>3</v>
      </c>
      <c r="L729" t="s">
        <v>51</v>
      </c>
      <c r="M729" t="s">
        <v>1762</v>
      </c>
      <c r="N729" t="s">
        <v>1763</v>
      </c>
      <c r="O729" t="s">
        <v>204</v>
      </c>
      <c r="P729" t="s">
        <v>1292</v>
      </c>
      <c r="Q729" t="s">
        <v>46</v>
      </c>
      <c r="R729" t="s">
        <v>47</v>
      </c>
      <c r="S729" t="s">
        <v>46</v>
      </c>
      <c r="T729" t="s">
        <v>46</v>
      </c>
      <c r="U729" s="4">
        <v>194.48</v>
      </c>
      <c r="V729" t="str">
        <f t="shared" si="11"/>
        <v>C038</v>
      </c>
      <c r="W729" t="str">
        <f>VLOOKUP(K729,[1]Info!A$1:B$21,2,0)</f>
        <v>Carregadeira</v>
      </c>
      <c r="X729" t="str">
        <f>IF(M729="109595132","Material de Limpeza-Não Avaliar",IF(AND(K729="F20",M729&lt;&gt;109595132),IF(RIGHT(F729,2)="70","Infraestrutura de Planta","Prédios e Instalações"),IF(K729="FPC",VLOOKUP(F729,[1]Info!$E$2:$F$11,2,0),IF(K729="FGP",VLOOKUP(F729,[1]Info!$E$9:$F$10,2,0),IF(K729="F10",VLOOKUP(F729,[1]Info!$E$2:$F$3,2,0),VLOOKUP(K729,[1]Info!$A$1:$B$21,2,0))))))</f>
        <v>Carregadeira Plantas</v>
      </c>
    </row>
    <row r="730" spans="1:24" x14ac:dyDescent="0.35">
      <c r="A730" t="s">
        <v>41</v>
      </c>
      <c r="B730" t="s">
        <v>73</v>
      </c>
      <c r="C730" t="s">
        <v>74</v>
      </c>
      <c r="D730" t="s">
        <v>93</v>
      </c>
      <c r="E730" t="s">
        <v>56</v>
      </c>
      <c r="F730">
        <v>7098131</v>
      </c>
      <c r="G730" t="s">
        <v>75</v>
      </c>
      <c r="H730" t="s">
        <v>43</v>
      </c>
      <c r="I730" t="s">
        <v>44</v>
      </c>
      <c r="J730" t="s">
        <v>50</v>
      </c>
      <c r="K730" t="s">
        <v>3</v>
      </c>
      <c r="L730" t="s">
        <v>51</v>
      </c>
      <c r="M730" t="s">
        <v>1764</v>
      </c>
      <c r="N730" t="s">
        <v>1765</v>
      </c>
      <c r="O730" t="s">
        <v>97</v>
      </c>
      <c r="P730" t="s">
        <v>1292</v>
      </c>
      <c r="Q730" t="s">
        <v>46</v>
      </c>
      <c r="R730" t="s">
        <v>47</v>
      </c>
      <c r="S730" t="s">
        <v>46</v>
      </c>
      <c r="T730" t="s">
        <v>46</v>
      </c>
      <c r="U730" s="4">
        <v>1111.5999999999999</v>
      </c>
      <c r="V730" t="str">
        <f t="shared" si="11"/>
        <v>C047</v>
      </c>
      <c r="W730" t="str">
        <f>VLOOKUP(K730,[1]Info!A$1:B$21,2,0)</f>
        <v>Carregadeira</v>
      </c>
      <c r="X730" t="str">
        <f>IF(M730="109595132","Material de Limpeza-Não Avaliar",IF(AND(K730="F20",M730&lt;&gt;109595132),IF(RIGHT(F730,2)="70","Infraestrutura de Planta","Prédios e Instalações"),IF(K730="FPC",VLOOKUP(F730,[1]Info!$E$2:$F$11,2,0),IF(K730="FGP",VLOOKUP(F730,[1]Info!$E$9:$F$10,2,0),IF(K730="F10",VLOOKUP(F730,[1]Info!$E$2:$F$3,2,0),VLOOKUP(K730,[1]Info!$A$1:$B$21,2,0))))))</f>
        <v>Carregadeira Plantas</v>
      </c>
    </row>
    <row r="731" spans="1:24" x14ac:dyDescent="0.35">
      <c r="A731" t="s">
        <v>41</v>
      </c>
      <c r="B731" t="s">
        <v>73</v>
      </c>
      <c r="C731" t="s">
        <v>74</v>
      </c>
      <c r="D731" t="s">
        <v>93</v>
      </c>
      <c r="E731" t="s">
        <v>56</v>
      </c>
      <c r="F731">
        <v>7098131</v>
      </c>
      <c r="G731" t="s">
        <v>75</v>
      </c>
      <c r="H731" t="s">
        <v>43</v>
      </c>
      <c r="I731" t="s">
        <v>44</v>
      </c>
      <c r="J731" t="s">
        <v>50</v>
      </c>
      <c r="K731" t="s">
        <v>3</v>
      </c>
      <c r="L731" t="s">
        <v>51</v>
      </c>
      <c r="M731" t="s">
        <v>934</v>
      </c>
      <c r="N731" t="s">
        <v>935</v>
      </c>
      <c r="O731" t="s">
        <v>936</v>
      </c>
      <c r="P731" t="s">
        <v>383</v>
      </c>
      <c r="Q731" t="s">
        <v>919</v>
      </c>
      <c r="R731" t="s">
        <v>920</v>
      </c>
      <c r="S731" t="s">
        <v>46</v>
      </c>
      <c r="T731" t="s">
        <v>46</v>
      </c>
      <c r="U731" s="4">
        <v>140.1</v>
      </c>
      <c r="V731" t="str">
        <f t="shared" si="11"/>
        <v>IG39</v>
      </c>
      <c r="W731" t="str">
        <f>VLOOKUP(K731,[1]Info!A$1:B$21,2,0)</f>
        <v>Carregadeira</v>
      </c>
      <c r="X731" t="str">
        <f>IF(M731="109595132","Material de Limpeza-Não Avaliar",IF(AND(K731="F20",M731&lt;&gt;109595132),IF(RIGHT(F731,2)="70","Infraestrutura de Planta","Prédios e Instalações"),IF(K731="FPC",VLOOKUP(F731,[1]Info!$E$2:$F$11,2,0),IF(K731="FGP",VLOOKUP(F731,[1]Info!$E$9:$F$10,2,0),IF(K731="F10",VLOOKUP(F731,[1]Info!$E$2:$F$3,2,0),VLOOKUP(K731,[1]Info!$A$1:$B$21,2,0))))))</f>
        <v>Carregadeira Plantas</v>
      </c>
    </row>
    <row r="732" spans="1:24" x14ac:dyDescent="0.35">
      <c r="A732" t="s">
        <v>41</v>
      </c>
      <c r="B732" t="s">
        <v>73</v>
      </c>
      <c r="C732" t="s">
        <v>74</v>
      </c>
      <c r="D732" t="s">
        <v>93</v>
      </c>
      <c r="E732" t="s">
        <v>56</v>
      </c>
      <c r="F732">
        <v>7098131</v>
      </c>
      <c r="G732" t="s">
        <v>75</v>
      </c>
      <c r="H732" t="s">
        <v>43</v>
      </c>
      <c r="I732" t="s">
        <v>44</v>
      </c>
      <c r="J732" t="s">
        <v>50</v>
      </c>
      <c r="K732" t="s">
        <v>3</v>
      </c>
      <c r="L732" t="s">
        <v>51</v>
      </c>
      <c r="M732" t="s">
        <v>937</v>
      </c>
      <c r="N732" t="s">
        <v>938</v>
      </c>
      <c r="O732" t="s">
        <v>939</v>
      </c>
      <c r="P732" t="s">
        <v>383</v>
      </c>
      <c r="Q732" t="s">
        <v>919</v>
      </c>
      <c r="R732" t="s">
        <v>920</v>
      </c>
      <c r="S732" t="s">
        <v>46</v>
      </c>
      <c r="T732" t="s">
        <v>46</v>
      </c>
      <c r="U732" s="4">
        <v>140.1</v>
      </c>
      <c r="V732" t="str">
        <f t="shared" si="11"/>
        <v>IG41</v>
      </c>
      <c r="W732" t="str">
        <f>VLOOKUP(K732,[1]Info!A$1:B$21,2,0)</f>
        <v>Carregadeira</v>
      </c>
      <c r="X732" t="str">
        <f>IF(M732="109595132","Material de Limpeza-Não Avaliar",IF(AND(K732="F20",M732&lt;&gt;109595132),IF(RIGHT(F732,2)="70","Infraestrutura de Planta","Prédios e Instalações"),IF(K732="FPC",VLOOKUP(F732,[1]Info!$E$2:$F$11,2,0),IF(K732="FGP",VLOOKUP(F732,[1]Info!$E$9:$F$10,2,0),IF(K732="F10",VLOOKUP(F732,[1]Info!$E$2:$F$3,2,0),VLOOKUP(K732,[1]Info!$A$1:$B$21,2,0))))))</f>
        <v>Carregadeira Plantas</v>
      </c>
    </row>
    <row r="733" spans="1:24" x14ac:dyDescent="0.35">
      <c r="A733" t="s">
        <v>41</v>
      </c>
      <c r="B733" t="s">
        <v>73</v>
      </c>
      <c r="C733" t="s">
        <v>74</v>
      </c>
      <c r="D733" t="s">
        <v>93</v>
      </c>
      <c r="E733" t="s">
        <v>56</v>
      </c>
      <c r="F733">
        <v>7098131</v>
      </c>
      <c r="G733" t="s">
        <v>75</v>
      </c>
      <c r="H733" t="s">
        <v>43</v>
      </c>
      <c r="I733" t="s">
        <v>44</v>
      </c>
      <c r="J733" t="s">
        <v>50</v>
      </c>
      <c r="K733" t="s">
        <v>3</v>
      </c>
      <c r="L733" t="s">
        <v>51</v>
      </c>
      <c r="M733" t="s">
        <v>940</v>
      </c>
      <c r="N733" t="s">
        <v>941</v>
      </c>
      <c r="O733" t="s">
        <v>942</v>
      </c>
      <c r="P733" t="s">
        <v>383</v>
      </c>
      <c r="Q733" t="s">
        <v>919</v>
      </c>
      <c r="R733" t="s">
        <v>920</v>
      </c>
      <c r="S733" t="s">
        <v>46</v>
      </c>
      <c r="T733" t="s">
        <v>46</v>
      </c>
      <c r="U733" s="4">
        <v>140.1</v>
      </c>
      <c r="V733" t="str">
        <f t="shared" si="11"/>
        <v>IG65</v>
      </c>
      <c r="W733" t="str">
        <f>VLOOKUP(K733,[1]Info!A$1:B$21,2,0)</f>
        <v>Carregadeira</v>
      </c>
      <c r="X733" t="str">
        <f>IF(M733="109595132","Material de Limpeza-Não Avaliar",IF(AND(K733="F20",M733&lt;&gt;109595132),IF(RIGHT(F733,2)="70","Infraestrutura de Planta","Prédios e Instalações"),IF(K733="FPC",VLOOKUP(F733,[1]Info!$E$2:$F$11,2,0),IF(K733="FGP",VLOOKUP(F733,[1]Info!$E$9:$F$10,2,0),IF(K733="F10",VLOOKUP(F733,[1]Info!$E$2:$F$3,2,0),VLOOKUP(K733,[1]Info!$A$1:$B$21,2,0))))))</f>
        <v>Carregadeira Plantas</v>
      </c>
    </row>
    <row r="734" spans="1:24" x14ac:dyDescent="0.35">
      <c r="A734" t="s">
        <v>41</v>
      </c>
      <c r="B734" t="s">
        <v>73</v>
      </c>
      <c r="C734" t="s">
        <v>74</v>
      </c>
      <c r="D734" t="s">
        <v>93</v>
      </c>
      <c r="E734" t="s">
        <v>56</v>
      </c>
      <c r="F734">
        <v>7098131</v>
      </c>
      <c r="G734" t="s">
        <v>75</v>
      </c>
      <c r="H734" t="s">
        <v>43</v>
      </c>
      <c r="I734" t="s">
        <v>44</v>
      </c>
      <c r="J734" t="s">
        <v>50</v>
      </c>
      <c r="K734" t="s">
        <v>3</v>
      </c>
      <c r="L734" t="s">
        <v>51</v>
      </c>
      <c r="M734" t="s">
        <v>943</v>
      </c>
      <c r="N734" t="s">
        <v>944</v>
      </c>
      <c r="O734" t="s">
        <v>945</v>
      </c>
      <c r="P734" t="s">
        <v>383</v>
      </c>
      <c r="Q734" t="s">
        <v>946</v>
      </c>
      <c r="R734" t="s">
        <v>947</v>
      </c>
      <c r="S734" t="s">
        <v>46</v>
      </c>
      <c r="T734" t="s">
        <v>46</v>
      </c>
      <c r="U734" s="4">
        <v>11118.04</v>
      </c>
      <c r="V734" t="str">
        <f t="shared" si="11"/>
        <v>C035</v>
      </c>
      <c r="W734" t="str">
        <f>VLOOKUP(K734,[1]Info!A$1:B$21,2,0)</f>
        <v>Carregadeira</v>
      </c>
      <c r="X734" t="str">
        <f>IF(M734="109595132","Material de Limpeza-Não Avaliar",IF(AND(K734="F20",M734&lt;&gt;109595132),IF(RIGHT(F734,2)="70","Infraestrutura de Planta","Prédios e Instalações"),IF(K734="FPC",VLOOKUP(F734,[1]Info!$E$2:$F$11,2,0),IF(K734="FGP",VLOOKUP(F734,[1]Info!$E$9:$F$10,2,0),IF(K734="F10",VLOOKUP(F734,[1]Info!$E$2:$F$3,2,0),VLOOKUP(K734,[1]Info!$A$1:$B$21,2,0))))))</f>
        <v>Carregadeira Plantas</v>
      </c>
    </row>
    <row r="735" spans="1:24" x14ac:dyDescent="0.35">
      <c r="A735" t="s">
        <v>41</v>
      </c>
      <c r="B735" t="s">
        <v>73</v>
      </c>
      <c r="C735" t="s">
        <v>74</v>
      </c>
      <c r="D735" t="s">
        <v>93</v>
      </c>
      <c r="E735" t="s">
        <v>56</v>
      </c>
      <c r="F735">
        <v>7098131</v>
      </c>
      <c r="G735" t="s">
        <v>75</v>
      </c>
      <c r="H735" t="s">
        <v>43</v>
      </c>
      <c r="I735" t="s">
        <v>44</v>
      </c>
      <c r="J735" t="s">
        <v>50</v>
      </c>
      <c r="K735" t="s">
        <v>3</v>
      </c>
      <c r="L735" t="s">
        <v>51</v>
      </c>
      <c r="M735" t="s">
        <v>948</v>
      </c>
      <c r="N735" t="s">
        <v>949</v>
      </c>
      <c r="O735" t="s">
        <v>950</v>
      </c>
      <c r="P735" t="s">
        <v>383</v>
      </c>
      <c r="Q735" t="s">
        <v>951</v>
      </c>
      <c r="R735" t="s">
        <v>952</v>
      </c>
      <c r="S735" t="s">
        <v>46</v>
      </c>
      <c r="T735" t="s">
        <v>46</v>
      </c>
      <c r="U735" s="4">
        <v>3320.73</v>
      </c>
      <c r="V735" t="str">
        <f t="shared" si="11"/>
        <v>0090</v>
      </c>
      <c r="W735" t="str">
        <f>VLOOKUP(K735,[1]Info!A$1:B$21,2,0)</f>
        <v>Carregadeira</v>
      </c>
      <c r="X735" t="str">
        <f>IF(M735="109595132","Material de Limpeza-Não Avaliar",IF(AND(K735="F20",M735&lt;&gt;109595132),IF(RIGHT(F735,2)="70","Infraestrutura de Planta","Prédios e Instalações"),IF(K735="FPC",VLOOKUP(F735,[1]Info!$E$2:$F$11,2,0),IF(K735="FGP",VLOOKUP(F735,[1]Info!$E$9:$F$10,2,0),IF(K735="F10",VLOOKUP(F735,[1]Info!$E$2:$F$3,2,0),VLOOKUP(K735,[1]Info!$A$1:$B$21,2,0))))))</f>
        <v>Carregadeira Plantas</v>
      </c>
    </row>
    <row r="736" spans="1:24" x14ac:dyDescent="0.35">
      <c r="A736" t="s">
        <v>41</v>
      </c>
      <c r="B736" t="s">
        <v>73</v>
      </c>
      <c r="C736" t="s">
        <v>74</v>
      </c>
      <c r="D736" t="s">
        <v>93</v>
      </c>
      <c r="E736" t="s">
        <v>56</v>
      </c>
      <c r="F736">
        <v>7098131</v>
      </c>
      <c r="G736" t="s">
        <v>75</v>
      </c>
      <c r="H736" t="s">
        <v>43</v>
      </c>
      <c r="I736" t="s">
        <v>44</v>
      </c>
      <c r="J736" t="s">
        <v>50</v>
      </c>
      <c r="K736" t="s">
        <v>3</v>
      </c>
      <c r="L736" t="s">
        <v>51</v>
      </c>
      <c r="M736" t="s">
        <v>953</v>
      </c>
      <c r="N736" t="s">
        <v>954</v>
      </c>
      <c r="O736" t="s">
        <v>955</v>
      </c>
      <c r="P736" t="s">
        <v>383</v>
      </c>
      <c r="Q736" t="s">
        <v>951</v>
      </c>
      <c r="R736" t="s">
        <v>952</v>
      </c>
      <c r="S736" t="s">
        <v>46</v>
      </c>
      <c r="T736" t="s">
        <v>46</v>
      </c>
      <c r="U736" s="4">
        <v>3320.72</v>
      </c>
      <c r="V736" t="str">
        <f t="shared" si="11"/>
        <v>0090</v>
      </c>
      <c r="W736" t="str">
        <f>VLOOKUP(K736,[1]Info!A$1:B$21,2,0)</f>
        <v>Carregadeira</v>
      </c>
      <c r="X736" t="str">
        <f>IF(M736="109595132","Material de Limpeza-Não Avaliar",IF(AND(K736="F20",M736&lt;&gt;109595132),IF(RIGHT(F736,2)="70","Infraestrutura de Planta","Prédios e Instalações"),IF(K736="FPC",VLOOKUP(F736,[1]Info!$E$2:$F$11,2,0),IF(K736="FGP",VLOOKUP(F736,[1]Info!$E$9:$F$10,2,0),IF(K736="F10",VLOOKUP(F736,[1]Info!$E$2:$F$3,2,0),VLOOKUP(K736,[1]Info!$A$1:$B$21,2,0))))))</f>
        <v>Carregadeira Plantas</v>
      </c>
    </row>
    <row r="737" spans="1:24" x14ac:dyDescent="0.35">
      <c r="A737" t="s">
        <v>41</v>
      </c>
      <c r="B737" t="s">
        <v>73</v>
      </c>
      <c r="C737" t="s">
        <v>74</v>
      </c>
      <c r="D737" t="s">
        <v>93</v>
      </c>
      <c r="E737" t="s">
        <v>56</v>
      </c>
      <c r="F737">
        <v>7098131</v>
      </c>
      <c r="G737" t="s">
        <v>75</v>
      </c>
      <c r="H737" t="s">
        <v>43</v>
      </c>
      <c r="I737" t="s">
        <v>44</v>
      </c>
      <c r="J737" t="s">
        <v>50</v>
      </c>
      <c r="K737" t="s">
        <v>3</v>
      </c>
      <c r="L737" t="s">
        <v>51</v>
      </c>
      <c r="M737" t="s">
        <v>956</v>
      </c>
      <c r="N737" t="s">
        <v>957</v>
      </c>
      <c r="O737" t="s">
        <v>958</v>
      </c>
      <c r="P737" t="s">
        <v>383</v>
      </c>
      <c r="Q737" t="s">
        <v>959</v>
      </c>
      <c r="R737" t="s">
        <v>960</v>
      </c>
      <c r="S737" t="s">
        <v>46</v>
      </c>
      <c r="T737" t="s">
        <v>46</v>
      </c>
      <c r="U737" s="4">
        <v>12891.42</v>
      </c>
      <c r="V737" t="str">
        <f t="shared" si="11"/>
        <v>SI02</v>
      </c>
      <c r="W737" t="str">
        <f>VLOOKUP(K737,[1]Info!A$1:B$21,2,0)</f>
        <v>Carregadeira</v>
      </c>
      <c r="X737" t="str">
        <f>IF(M737="109595132","Material de Limpeza-Não Avaliar",IF(AND(K737="F20",M737&lt;&gt;109595132),IF(RIGHT(F737,2)="70","Infraestrutura de Planta","Prédios e Instalações"),IF(K737="FPC",VLOOKUP(F737,[1]Info!$E$2:$F$11,2,0),IF(K737="FGP",VLOOKUP(F737,[1]Info!$E$9:$F$10,2,0),IF(K737="F10",VLOOKUP(F737,[1]Info!$E$2:$F$3,2,0),VLOOKUP(K737,[1]Info!$A$1:$B$21,2,0))))))</f>
        <v>Carregadeira Plantas</v>
      </c>
    </row>
    <row r="738" spans="1:24" x14ac:dyDescent="0.35">
      <c r="A738" t="s">
        <v>41</v>
      </c>
      <c r="B738" t="s">
        <v>73</v>
      </c>
      <c r="C738" t="s">
        <v>74</v>
      </c>
      <c r="D738" t="s">
        <v>93</v>
      </c>
      <c r="E738" t="s">
        <v>56</v>
      </c>
      <c r="F738">
        <v>7098131</v>
      </c>
      <c r="G738" t="s">
        <v>75</v>
      </c>
      <c r="H738" t="s">
        <v>43</v>
      </c>
      <c r="I738" t="s">
        <v>44</v>
      </c>
      <c r="J738" t="s">
        <v>50</v>
      </c>
      <c r="K738" t="s">
        <v>3</v>
      </c>
      <c r="L738" t="s">
        <v>51</v>
      </c>
      <c r="M738" t="s">
        <v>961</v>
      </c>
      <c r="N738" t="s">
        <v>962</v>
      </c>
      <c r="O738" t="s">
        <v>963</v>
      </c>
      <c r="P738" t="s">
        <v>383</v>
      </c>
      <c r="Q738" t="s">
        <v>964</v>
      </c>
      <c r="R738" t="s">
        <v>965</v>
      </c>
      <c r="S738" t="s">
        <v>46</v>
      </c>
      <c r="T738" t="s">
        <v>46</v>
      </c>
      <c r="U738" s="4">
        <v>5656.44</v>
      </c>
      <c r="V738" t="str">
        <f t="shared" si="11"/>
        <v>IC33</v>
      </c>
      <c r="W738" t="str">
        <f>VLOOKUP(K738,[1]Info!A$1:B$21,2,0)</f>
        <v>Carregadeira</v>
      </c>
      <c r="X738" t="str">
        <f>IF(M738="109595132","Material de Limpeza-Não Avaliar",IF(AND(K738="F20",M738&lt;&gt;109595132),IF(RIGHT(F738,2)="70","Infraestrutura de Planta","Prédios e Instalações"),IF(K738="FPC",VLOOKUP(F738,[1]Info!$E$2:$F$11,2,0),IF(K738="FGP",VLOOKUP(F738,[1]Info!$E$9:$F$10,2,0),IF(K738="F10",VLOOKUP(F738,[1]Info!$E$2:$F$3,2,0),VLOOKUP(K738,[1]Info!$A$1:$B$21,2,0))))))</f>
        <v>Carregadeira Plantas</v>
      </c>
    </row>
    <row r="739" spans="1:24" x14ac:dyDescent="0.35">
      <c r="A739" t="s">
        <v>41</v>
      </c>
      <c r="B739" t="s">
        <v>73</v>
      </c>
      <c r="C739" t="s">
        <v>74</v>
      </c>
      <c r="D739" t="s">
        <v>93</v>
      </c>
      <c r="E739" t="s">
        <v>56</v>
      </c>
      <c r="F739">
        <v>7098131</v>
      </c>
      <c r="G739" t="s">
        <v>75</v>
      </c>
      <c r="H739" t="s">
        <v>43</v>
      </c>
      <c r="I739" t="s">
        <v>44</v>
      </c>
      <c r="J739" t="s">
        <v>50</v>
      </c>
      <c r="K739" t="s">
        <v>3</v>
      </c>
      <c r="L739" t="s">
        <v>51</v>
      </c>
      <c r="M739" t="s">
        <v>966</v>
      </c>
      <c r="N739" t="s">
        <v>967</v>
      </c>
      <c r="O739" t="s">
        <v>968</v>
      </c>
      <c r="P739" t="s">
        <v>383</v>
      </c>
      <c r="Q739" t="s">
        <v>964</v>
      </c>
      <c r="R739" t="s">
        <v>965</v>
      </c>
      <c r="S739" t="s">
        <v>46</v>
      </c>
      <c r="T739" t="s">
        <v>46</v>
      </c>
      <c r="U739" s="4">
        <v>5656.43</v>
      </c>
      <c r="V739" t="str">
        <f t="shared" si="11"/>
        <v>IC27</v>
      </c>
      <c r="W739" t="str">
        <f>VLOOKUP(K739,[1]Info!A$1:B$21,2,0)</f>
        <v>Carregadeira</v>
      </c>
      <c r="X739" t="str">
        <f>IF(M739="109595132","Material de Limpeza-Não Avaliar",IF(AND(K739="F20",M739&lt;&gt;109595132),IF(RIGHT(F739,2)="70","Infraestrutura de Planta","Prédios e Instalações"),IF(K739="FPC",VLOOKUP(F739,[1]Info!$E$2:$F$11,2,0),IF(K739="FGP",VLOOKUP(F739,[1]Info!$E$9:$F$10,2,0),IF(K739="F10",VLOOKUP(F739,[1]Info!$E$2:$F$3,2,0),VLOOKUP(K739,[1]Info!$A$1:$B$21,2,0))))))</f>
        <v>Carregadeira Plantas</v>
      </c>
    </row>
    <row r="740" spans="1:24" x14ac:dyDescent="0.35">
      <c r="A740" t="s">
        <v>41</v>
      </c>
      <c r="B740" t="s">
        <v>73</v>
      </c>
      <c r="C740" t="s">
        <v>74</v>
      </c>
      <c r="D740" t="s">
        <v>93</v>
      </c>
      <c r="E740" t="s">
        <v>56</v>
      </c>
      <c r="F740">
        <v>7098131</v>
      </c>
      <c r="G740" t="s">
        <v>75</v>
      </c>
      <c r="H740" t="s">
        <v>43</v>
      </c>
      <c r="I740" t="s">
        <v>44</v>
      </c>
      <c r="J740" t="s">
        <v>50</v>
      </c>
      <c r="K740" t="s">
        <v>3</v>
      </c>
      <c r="L740" t="s">
        <v>51</v>
      </c>
      <c r="M740" t="s">
        <v>969</v>
      </c>
      <c r="N740" t="s">
        <v>970</v>
      </c>
      <c r="O740" t="s">
        <v>971</v>
      </c>
      <c r="P740" t="s">
        <v>383</v>
      </c>
      <c r="Q740" t="s">
        <v>972</v>
      </c>
      <c r="R740" t="s">
        <v>973</v>
      </c>
      <c r="S740" t="s">
        <v>46</v>
      </c>
      <c r="T740" t="s">
        <v>46</v>
      </c>
      <c r="U740" s="4">
        <v>930.76</v>
      </c>
      <c r="V740" t="str">
        <f t="shared" si="11"/>
        <v>0020</v>
      </c>
      <c r="W740" t="str">
        <f>VLOOKUP(K740,[1]Info!A$1:B$21,2,0)</f>
        <v>Carregadeira</v>
      </c>
      <c r="X740" t="str">
        <f>IF(M740="109595132","Material de Limpeza-Não Avaliar",IF(AND(K740="F20",M740&lt;&gt;109595132),IF(RIGHT(F740,2)="70","Infraestrutura de Planta","Prédios e Instalações"),IF(K740="FPC",VLOOKUP(F740,[1]Info!$E$2:$F$11,2,0),IF(K740="FGP",VLOOKUP(F740,[1]Info!$E$9:$F$10,2,0),IF(K740="F10",VLOOKUP(F740,[1]Info!$E$2:$F$3,2,0),VLOOKUP(K740,[1]Info!$A$1:$B$21,2,0))))))</f>
        <v>Carregadeira Plantas</v>
      </c>
    </row>
    <row r="741" spans="1:24" x14ac:dyDescent="0.35">
      <c r="A741" t="s">
        <v>41</v>
      </c>
      <c r="B741" t="s">
        <v>73</v>
      </c>
      <c r="C741" t="s">
        <v>74</v>
      </c>
      <c r="D741" t="s">
        <v>93</v>
      </c>
      <c r="E741" t="s">
        <v>56</v>
      </c>
      <c r="F741">
        <v>7098131</v>
      </c>
      <c r="G741" t="s">
        <v>75</v>
      </c>
      <c r="H741" t="s">
        <v>43</v>
      </c>
      <c r="I741" t="s">
        <v>44</v>
      </c>
      <c r="J741" t="s">
        <v>50</v>
      </c>
      <c r="K741" t="s">
        <v>3</v>
      </c>
      <c r="L741" t="s">
        <v>51</v>
      </c>
      <c r="M741" t="s">
        <v>969</v>
      </c>
      <c r="N741" t="s">
        <v>970</v>
      </c>
      <c r="O741" t="s">
        <v>971</v>
      </c>
      <c r="P741" t="s">
        <v>383</v>
      </c>
      <c r="Q741" t="s">
        <v>919</v>
      </c>
      <c r="R741" t="s">
        <v>920</v>
      </c>
      <c r="S741" t="s">
        <v>46</v>
      </c>
      <c r="T741" t="s">
        <v>46</v>
      </c>
      <c r="U741" s="4">
        <v>140.1</v>
      </c>
      <c r="V741" t="str">
        <f t="shared" si="11"/>
        <v>0020</v>
      </c>
      <c r="W741" t="str">
        <f>VLOOKUP(K741,[1]Info!A$1:B$21,2,0)</f>
        <v>Carregadeira</v>
      </c>
      <c r="X741" t="str">
        <f>IF(M741="109595132","Material de Limpeza-Não Avaliar",IF(AND(K741="F20",M741&lt;&gt;109595132),IF(RIGHT(F741,2)="70","Infraestrutura de Planta","Prédios e Instalações"),IF(K741="FPC",VLOOKUP(F741,[1]Info!$E$2:$F$11,2,0),IF(K741="FGP",VLOOKUP(F741,[1]Info!$E$9:$F$10,2,0),IF(K741="F10",VLOOKUP(F741,[1]Info!$E$2:$F$3,2,0),VLOOKUP(K741,[1]Info!$A$1:$B$21,2,0))))))</f>
        <v>Carregadeira Plantas</v>
      </c>
    </row>
    <row r="742" spans="1:24" x14ac:dyDescent="0.35">
      <c r="A742" t="s">
        <v>41</v>
      </c>
      <c r="B742" t="s">
        <v>73</v>
      </c>
      <c r="C742" t="s">
        <v>74</v>
      </c>
      <c r="D742" t="s">
        <v>93</v>
      </c>
      <c r="E742" t="s">
        <v>56</v>
      </c>
      <c r="F742">
        <v>7098131</v>
      </c>
      <c r="G742" t="s">
        <v>75</v>
      </c>
      <c r="H742" t="s">
        <v>43</v>
      </c>
      <c r="I742" t="s">
        <v>44</v>
      </c>
      <c r="J742" t="s">
        <v>50</v>
      </c>
      <c r="K742" t="s">
        <v>3</v>
      </c>
      <c r="L742" t="s">
        <v>51</v>
      </c>
      <c r="M742" t="s">
        <v>969</v>
      </c>
      <c r="N742" t="s">
        <v>970</v>
      </c>
      <c r="O742" t="s">
        <v>971</v>
      </c>
      <c r="P742" t="s">
        <v>383</v>
      </c>
      <c r="Q742" t="s">
        <v>974</v>
      </c>
      <c r="R742" t="s">
        <v>975</v>
      </c>
      <c r="S742" t="s">
        <v>46</v>
      </c>
      <c r="T742" t="s">
        <v>46</v>
      </c>
      <c r="U742" s="4">
        <v>619.5</v>
      </c>
      <c r="V742" t="str">
        <f t="shared" si="11"/>
        <v>0020</v>
      </c>
      <c r="W742" t="str">
        <f>VLOOKUP(K742,[1]Info!A$1:B$21,2,0)</f>
        <v>Carregadeira</v>
      </c>
      <c r="X742" t="str">
        <f>IF(M742="109595132","Material de Limpeza-Não Avaliar",IF(AND(K742="F20",M742&lt;&gt;109595132),IF(RIGHT(F742,2)="70","Infraestrutura de Planta","Prédios e Instalações"),IF(K742="FPC",VLOOKUP(F742,[1]Info!$E$2:$F$11,2,0),IF(K742="FGP",VLOOKUP(F742,[1]Info!$E$9:$F$10,2,0),IF(K742="F10",VLOOKUP(F742,[1]Info!$E$2:$F$3,2,0),VLOOKUP(K742,[1]Info!$A$1:$B$21,2,0))))))</f>
        <v>Carregadeira Plantas</v>
      </c>
    </row>
    <row r="743" spans="1:24" x14ac:dyDescent="0.35">
      <c r="A743" t="s">
        <v>41</v>
      </c>
      <c r="B743" t="s">
        <v>73</v>
      </c>
      <c r="C743" t="s">
        <v>74</v>
      </c>
      <c r="D743" t="s">
        <v>93</v>
      </c>
      <c r="E743" t="s">
        <v>56</v>
      </c>
      <c r="F743">
        <v>7098131</v>
      </c>
      <c r="G743" t="s">
        <v>75</v>
      </c>
      <c r="H743" t="s">
        <v>43</v>
      </c>
      <c r="I743" t="s">
        <v>44</v>
      </c>
      <c r="J743" t="s">
        <v>50</v>
      </c>
      <c r="K743" t="s">
        <v>3</v>
      </c>
      <c r="L743" t="s">
        <v>51</v>
      </c>
      <c r="M743" t="s">
        <v>969</v>
      </c>
      <c r="N743" t="s">
        <v>970</v>
      </c>
      <c r="O743" t="s">
        <v>971</v>
      </c>
      <c r="P743" t="s">
        <v>383</v>
      </c>
      <c r="Q743" t="s">
        <v>976</v>
      </c>
      <c r="R743" t="s">
        <v>977</v>
      </c>
      <c r="S743" t="s">
        <v>46</v>
      </c>
      <c r="T743" t="s">
        <v>46</v>
      </c>
      <c r="U743" s="4">
        <v>212.7</v>
      </c>
      <c r="V743" t="str">
        <f t="shared" si="11"/>
        <v>0020</v>
      </c>
      <c r="W743" t="str">
        <f>VLOOKUP(K743,[1]Info!A$1:B$21,2,0)</f>
        <v>Carregadeira</v>
      </c>
      <c r="X743" t="str">
        <f>IF(M743="109595132","Material de Limpeza-Não Avaliar",IF(AND(K743="F20",M743&lt;&gt;109595132),IF(RIGHT(F743,2)="70","Infraestrutura de Planta","Prédios e Instalações"),IF(K743="FPC",VLOOKUP(F743,[1]Info!$E$2:$F$11,2,0),IF(K743="FGP",VLOOKUP(F743,[1]Info!$E$9:$F$10,2,0),IF(K743="F10",VLOOKUP(F743,[1]Info!$E$2:$F$3,2,0),VLOOKUP(K743,[1]Info!$A$1:$B$21,2,0))))))</f>
        <v>Carregadeira Plantas</v>
      </c>
    </row>
    <row r="744" spans="1:24" x14ac:dyDescent="0.35">
      <c r="A744" t="s">
        <v>41</v>
      </c>
      <c r="B744" t="s">
        <v>73</v>
      </c>
      <c r="C744" t="s">
        <v>74</v>
      </c>
      <c r="D744" t="s">
        <v>93</v>
      </c>
      <c r="E744" t="s">
        <v>56</v>
      </c>
      <c r="F744">
        <v>7098131</v>
      </c>
      <c r="G744" t="s">
        <v>75</v>
      </c>
      <c r="H744" t="s">
        <v>43</v>
      </c>
      <c r="I744" t="s">
        <v>44</v>
      </c>
      <c r="J744" t="s">
        <v>50</v>
      </c>
      <c r="K744" t="s">
        <v>3</v>
      </c>
      <c r="L744" t="s">
        <v>51</v>
      </c>
      <c r="M744" t="s">
        <v>969</v>
      </c>
      <c r="N744" t="s">
        <v>970</v>
      </c>
      <c r="O744" t="s">
        <v>971</v>
      </c>
      <c r="P744" t="s">
        <v>383</v>
      </c>
      <c r="Q744" t="s">
        <v>978</v>
      </c>
      <c r="R744" t="s">
        <v>979</v>
      </c>
      <c r="S744" t="s">
        <v>46</v>
      </c>
      <c r="T744" t="s">
        <v>46</v>
      </c>
      <c r="U744" s="4">
        <v>237.47</v>
      </c>
      <c r="V744" t="str">
        <f t="shared" si="11"/>
        <v>0020</v>
      </c>
      <c r="W744" t="str">
        <f>VLOOKUP(K744,[1]Info!A$1:B$21,2,0)</f>
        <v>Carregadeira</v>
      </c>
      <c r="X744" t="str">
        <f>IF(M744="109595132","Material de Limpeza-Não Avaliar",IF(AND(K744="F20",M744&lt;&gt;109595132),IF(RIGHT(F744,2)="70","Infraestrutura de Planta","Prédios e Instalações"),IF(K744="FPC",VLOOKUP(F744,[1]Info!$E$2:$F$11,2,0),IF(K744="FGP",VLOOKUP(F744,[1]Info!$E$9:$F$10,2,0),IF(K744="F10",VLOOKUP(F744,[1]Info!$E$2:$F$3,2,0),VLOOKUP(K744,[1]Info!$A$1:$B$21,2,0))))))</f>
        <v>Carregadeira Plantas</v>
      </c>
    </row>
    <row r="745" spans="1:24" x14ac:dyDescent="0.35">
      <c r="A745" t="s">
        <v>41</v>
      </c>
      <c r="B745" t="s">
        <v>73</v>
      </c>
      <c r="C745" t="s">
        <v>74</v>
      </c>
      <c r="D745" t="s">
        <v>93</v>
      </c>
      <c r="E745" t="s">
        <v>56</v>
      </c>
      <c r="F745">
        <v>7098131</v>
      </c>
      <c r="G745" t="s">
        <v>75</v>
      </c>
      <c r="H745" t="s">
        <v>43</v>
      </c>
      <c r="I745" t="s">
        <v>44</v>
      </c>
      <c r="J745" t="s">
        <v>50</v>
      </c>
      <c r="K745" t="s">
        <v>3</v>
      </c>
      <c r="L745" t="s">
        <v>51</v>
      </c>
      <c r="M745" t="s">
        <v>969</v>
      </c>
      <c r="N745" t="s">
        <v>970</v>
      </c>
      <c r="O745" t="s">
        <v>971</v>
      </c>
      <c r="P745" t="s">
        <v>383</v>
      </c>
      <c r="Q745" t="s">
        <v>980</v>
      </c>
      <c r="R745" t="s">
        <v>981</v>
      </c>
      <c r="S745" t="s">
        <v>46</v>
      </c>
      <c r="T745" t="s">
        <v>46</v>
      </c>
      <c r="U745" s="4">
        <v>154.36000000000001</v>
      </c>
      <c r="V745" t="str">
        <f t="shared" si="11"/>
        <v>0020</v>
      </c>
      <c r="W745" t="str">
        <f>VLOOKUP(K745,[1]Info!A$1:B$21,2,0)</f>
        <v>Carregadeira</v>
      </c>
      <c r="X745" t="str">
        <f>IF(M745="109595132","Material de Limpeza-Não Avaliar",IF(AND(K745="F20",M745&lt;&gt;109595132),IF(RIGHT(F745,2)="70","Infraestrutura de Planta","Prédios e Instalações"),IF(K745="FPC",VLOOKUP(F745,[1]Info!$E$2:$F$11,2,0),IF(K745="FGP",VLOOKUP(F745,[1]Info!$E$9:$F$10,2,0),IF(K745="F10",VLOOKUP(F745,[1]Info!$E$2:$F$3,2,0),VLOOKUP(K745,[1]Info!$A$1:$B$21,2,0))))))</f>
        <v>Carregadeira Plantas</v>
      </c>
    </row>
    <row r="746" spans="1:24" x14ac:dyDescent="0.35">
      <c r="A746" t="s">
        <v>41</v>
      </c>
      <c r="B746" t="s">
        <v>73</v>
      </c>
      <c r="C746" t="s">
        <v>74</v>
      </c>
      <c r="D746" t="s">
        <v>93</v>
      </c>
      <c r="E746" t="s">
        <v>56</v>
      </c>
      <c r="F746">
        <v>7098131</v>
      </c>
      <c r="G746" t="s">
        <v>75</v>
      </c>
      <c r="H746" t="s">
        <v>43</v>
      </c>
      <c r="I746" t="s">
        <v>44</v>
      </c>
      <c r="J746" t="s">
        <v>50</v>
      </c>
      <c r="K746" t="s">
        <v>3</v>
      </c>
      <c r="L746" t="s">
        <v>51</v>
      </c>
      <c r="M746" t="s">
        <v>982</v>
      </c>
      <c r="N746" t="s">
        <v>983</v>
      </c>
      <c r="O746" t="s">
        <v>984</v>
      </c>
      <c r="P746" t="s">
        <v>383</v>
      </c>
      <c r="Q746" t="s">
        <v>972</v>
      </c>
      <c r="R746" t="s">
        <v>973</v>
      </c>
      <c r="S746" t="s">
        <v>46</v>
      </c>
      <c r="T746" t="s">
        <v>46</v>
      </c>
      <c r="U746" s="4">
        <v>930.76</v>
      </c>
      <c r="V746" t="str">
        <f t="shared" si="11"/>
        <v>0020</v>
      </c>
      <c r="W746" t="str">
        <f>VLOOKUP(K746,[1]Info!A$1:B$21,2,0)</f>
        <v>Carregadeira</v>
      </c>
      <c r="X746" t="str">
        <f>IF(M746="109595132","Material de Limpeza-Não Avaliar",IF(AND(K746="F20",M746&lt;&gt;109595132),IF(RIGHT(F746,2)="70","Infraestrutura de Planta","Prédios e Instalações"),IF(K746="FPC",VLOOKUP(F746,[1]Info!$E$2:$F$11,2,0),IF(K746="FGP",VLOOKUP(F746,[1]Info!$E$9:$F$10,2,0),IF(K746="F10",VLOOKUP(F746,[1]Info!$E$2:$F$3,2,0),VLOOKUP(K746,[1]Info!$A$1:$B$21,2,0))))))</f>
        <v>Carregadeira Plantas</v>
      </c>
    </row>
    <row r="747" spans="1:24" x14ac:dyDescent="0.35">
      <c r="A747" t="s">
        <v>41</v>
      </c>
      <c r="B747" t="s">
        <v>73</v>
      </c>
      <c r="C747" t="s">
        <v>74</v>
      </c>
      <c r="D747" t="s">
        <v>93</v>
      </c>
      <c r="E747" t="s">
        <v>56</v>
      </c>
      <c r="F747">
        <v>7098131</v>
      </c>
      <c r="G747" t="s">
        <v>75</v>
      </c>
      <c r="H747" t="s">
        <v>43</v>
      </c>
      <c r="I747" t="s">
        <v>44</v>
      </c>
      <c r="J747" t="s">
        <v>50</v>
      </c>
      <c r="K747" t="s">
        <v>3</v>
      </c>
      <c r="L747" t="s">
        <v>51</v>
      </c>
      <c r="M747" t="s">
        <v>982</v>
      </c>
      <c r="N747" t="s">
        <v>983</v>
      </c>
      <c r="O747" t="s">
        <v>984</v>
      </c>
      <c r="P747" t="s">
        <v>383</v>
      </c>
      <c r="Q747" t="s">
        <v>919</v>
      </c>
      <c r="R747" t="s">
        <v>920</v>
      </c>
      <c r="S747" t="s">
        <v>46</v>
      </c>
      <c r="T747" t="s">
        <v>46</v>
      </c>
      <c r="U747" s="4">
        <v>140.1</v>
      </c>
      <c r="V747" t="str">
        <f t="shared" si="11"/>
        <v>0020</v>
      </c>
      <c r="W747" t="str">
        <f>VLOOKUP(K747,[1]Info!A$1:B$21,2,0)</f>
        <v>Carregadeira</v>
      </c>
      <c r="X747" t="str">
        <f>IF(M747="109595132","Material de Limpeza-Não Avaliar",IF(AND(K747="F20",M747&lt;&gt;109595132),IF(RIGHT(F747,2)="70","Infraestrutura de Planta","Prédios e Instalações"),IF(K747="FPC",VLOOKUP(F747,[1]Info!$E$2:$F$11,2,0),IF(K747="FGP",VLOOKUP(F747,[1]Info!$E$9:$F$10,2,0),IF(K747="F10",VLOOKUP(F747,[1]Info!$E$2:$F$3,2,0),VLOOKUP(K747,[1]Info!$A$1:$B$21,2,0))))))</f>
        <v>Carregadeira Plantas</v>
      </c>
    </row>
    <row r="748" spans="1:24" x14ac:dyDescent="0.35">
      <c r="A748" t="s">
        <v>41</v>
      </c>
      <c r="B748" t="s">
        <v>73</v>
      </c>
      <c r="C748" t="s">
        <v>74</v>
      </c>
      <c r="D748" t="s">
        <v>93</v>
      </c>
      <c r="E748" t="s">
        <v>56</v>
      </c>
      <c r="F748">
        <v>7098131</v>
      </c>
      <c r="G748" t="s">
        <v>75</v>
      </c>
      <c r="H748" t="s">
        <v>43</v>
      </c>
      <c r="I748" t="s">
        <v>44</v>
      </c>
      <c r="J748" t="s">
        <v>50</v>
      </c>
      <c r="K748" t="s">
        <v>3</v>
      </c>
      <c r="L748" t="s">
        <v>51</v>
      </c>
      <c r="M748" t="s">
        <v>982</v>
      </c>
      <c r="N748" t="s">
        <v>983</v>
      </c>
      <c r="O748" t="s">
        <v>984</v>
      </c>
      <c r="P748" t="s">
        <v>383</v>
      </c>
      <c r="Q748" t="s">
        <v>974</v>
      </c>
      <c r="R748" t="s">
        <v>975</v>
      </c>
      <c r="S748" t="s">
        <v>46</v>
      </c>
      <c r="T748" t="s">
        <v>46</v>
      </c>
      <c r="U748" s="4">
        <v>619.5</v>
      </c>
      <c r="V748" t="str">
        <f t="shared" si="11"/>
        <v>0020</v>
      </c>
      <c r="W748" t="str">
        <f>VLOOKUP(K748,[1]Info!A$1:B$21,2,0)</f>
        <v>Carregadeira</v>
      </c>
      <c r="X748" t="str">
        <f>IF(M748="109595132","Material de Limpeza-Não Avaliar",IF(AND(K748="F20",M748&lt;&gt;109595132),IF(RIGHT(F748,2)="70","Infraestrutura de Planta","Prédios e Instalações"),IF(K748="FPC",VLOOKUP(F748,[1]Info!$E$2:$F$11,2,0),IF(K748="FGP",VLOOKUP(F748,[1]Info!$E$9:$F$10,2,0),IF(K748="F10",VLOOKUP(F748,[1]Info!$E$2:$F$3,2,0),VLOOKUP(K748,[1]Info!$A$1:$B$21,2,0))))))</f>
        <v>Carregadeira Plantas</v>
      </c>
    </row>
    <row r="749" spans="1:24" x14ac:dyDescent="0.35">
      <c r="A749" t="s">
        <v>41</v>
      </c>
      <c r="B749" t="s">
        <v>73</v>
      </c>
      <c r="C749" t="s">
        <v>74</v>
      </c>
      <c r="D749" t="s">
        <v>93</v>
      </c>
      <c r="E749" t="s">
        <v>56</v>
      </c>
      <c r="F749">
        <v>7098131</v>
      </c>
      <c r="G749" t="s">
        <v>75</v>
      </c>
      <c r="H749" t="s">
        <v>43</v>
      </c>
      <c r="I749" t="s">
        <v>44</v>
      </c>
      <c r="J749" t="s">
        <v>50</v>
      </c>
      <c r="K749" t="s">
        <v>3</v>
      </c>
      <c r="L749" t="s">
        <v>51</v>
      </c>
      <c r="M749" t="s">
        <v>982</v>
      </c>
      <c r="N749" t="s">
        <v>983</v>
      </c>
      <c r="O749" t="s">
        <v>984</v>
      </c>
      <c r="P749" t="s">
        <v>383</v>
      </c>
      <c r="Q749" t="s">
        <v>976</v>
      </c>
      <c r="R749" t="s">
        <v>977</v>
      </c>
      <c r="S749" t="s">
        <v>46</v>
      </c>
      <c r="T749" t="s">
        <v>46</v>
      </c>
      <c r="U749" s="4">
        <v>212.7</v>
      </c>
      <c r="V749" t="str">
        <f t="shared" si="11"/>
        <v>0020</v>
      </c>
      <c r="W749" t="str">
        <f>VLOOKUP(K749,[1]Info!A$1:B$21,2,0)</f>
        <v>Carregadeira</v>
      </c>
      <c r="X749" t="str">
        <f>IF(M749="109595132","Material de Limpeza-Não Avaliar",IF(AND(K749="F20",M749&lt;&gt;109595132),IF(RIGHT(F749,2)="70","Infraestrutura de Planta","Prédios e Instalações"),IF(K749="FPC",VLOOKUP(F749,[1]Info!$E$2:$F$11,2,0),IF(K749="FGP",VLOOKUP(F749,[1]Info!$E$9:$F$10,2,0),IF(K749="F10",VLOOKUP(F749,[1]Info!$E$2:$F$3,2,0),VLOOKUP(K749,[1]Info!$A$1:$B$21,2,0))))))</f>
        <v>Carregadeira Plantas</v>
      </c>
    </row>
    <row r="750" spans="1:24" x14ac:dyDescent="0.35">
      <c r="A750" t="s">
        <v>41</v>
      </c>
      <c r="B750" t="s">
        <v>73</v>
      </c>
      <c r="C750" t="s">
        <v>74</v>
      </c>
      <c r="D750" t="s">
        <v>93</v>
      </c>
      <c r="E750" t="s">
        <v>56</v>
      </c>
      <c r="F750">
        <v>7098131</v>
      </c>
      <c r="G750" t="s">
        <v>75</v>
      </c>
      <c r="H750" t="s">
        <v>43</v>
      </c>
      <c r="I750" t="s">
        <v>44</v>
      </c>
      <c r="J750" t="s">
        <v>50</v>
      </c>
      <c r="K750" t="s">
        <v>3</v>
      </c>
      <c r="L750" t="s">
        <v>51</v>
      </c>
      <c r="M750" t="s">
        <v>982</v>
      </c>
      <c r="N750" t="s">
        <v>983</v>
      </c>
      <c r="O750" t="s">
        <v>984</v>
      </c>
      <c r="P750" t="s">
        <v>383</v>
      </c>
      <c r="Q750" t="s">
        <v>978</v>
      </c>
      <c r="R750" t="s">
        <v>979</v>
      </c>
      <c r="S750" t="s">
        <v>46</v>
      </c>
      <c r="T750" t="s">
        <v>46</v>
      </c>
      <c r="U750" s="4">
        <v>237.47</v>
      </c>
      <c r="V750" t="str">
        <f t="shared" si="11"/>
        <v>0020</v>
      </c>
      <c r="W750" t="str">
        <f>VLOOKUP(K750,[1]Info!A$1:B$21,2,0)</f>
        <v>Carregadeira</v>
      </c>
      <c r="X750" t="str">
        <f>IF(M750="109595132","Material de Limpeza-Não Avaliar",IF(AND(K750="F20",M750&lt;&gt;109595132),IF(RIGHT(F750,2)="70","Infraestrutura de Planta","Prédios e Instalações"),IF(K750="FPC",VLOOKUP(F750,[1]Info!$E$2:$F$11,2,0),IF(K750="FGP",VLOOKUP(F750,[1]Info!$E$9:$F$10,2,0),IF(K750="F10",VLOOKUP(F750,[1]Info!$E$2:$F$3,2,0),VLOOKUP(K750,[1]Info!$A$1:$B$21,2,0))))))</f>
        <v>Carregadeira Plantas</v>
      </c>
    </row>
    <row r="751" spans="1:24" x14ac:dyDescent="0.35">
      <c r="A751" t="s">
        <v>41</v>
      </c>
      <c r="B751" t="s">
        <v>73</v>
      </c>
      <c r="C751" t="s">
        <v>74</v>
      </c>
      <c r="D751" t="s">
        <v>93</v>
      </c>
      <c r="E751" t="s">
        <v>56</v>
      </c>
      <c r="F751">
        <v>7098131</v>
      </c>
      <c r="G751" t="s">
        <v>75</v>
      </c>
      <c r="H751" t="s">
        <v>43</v>
      </c>
      <c r="I751" t="s">
        <v>44</v>
      </c>
      <c r="J751" t="s">
        <v>50</v>
      </c>
      <c r="K751" t="s">
        <v>3</v>
      </c>
      <c r="L751" t="s">
        <v>51</v>
      </c>
      <c r="M751" t="s">
        <v>982</v>
      </c>
      <c r="N751" t="s">
        <v>983</v>
      </c>
      <c r="O751" t="s">
        <v>984</v>
      </c>
      <c r="P751" t="s">
        <v>383</v>
      </c>
      <c r="Q751" t="s">
        <v>980</v>
      </c>
      <c r="R751" t="s">
        <v>981</v>
      </c>
      <c r="S751" t="s">
        <v>46</v>
      </c>
      <c r="T751" t="s">
        <v>46</v>
      </c>
      <c r="U751" s="4">
        <v>154.36000000000001</v>
      </c>
      <c r="V751" t="str">
        <f t="shared" si="11"/>
        <v>0020</v>
      </c>
      <c r="W751" t="str">
        <f>VLOOKUP(K751,[1]Info!A$1:B$21,2,0)</f>
        <v>Carregadeira</v>
      </c>
      <c r="X751" t="str">
        <f>IF(M751="109595132","Material de Limpeza-Não Avaliar",IF(AND(K751="F20",M751&lt;&gt;109595132),IF(RIGHT(F751,2)="70","Infraestrutura de Planta","Prédios e Instalações"),IF(K751="FPC",VLOOKUP(F751,[1]Info!$E$2:$F$11,2,0),IF(K751="FGP",VLOOKUP(F751,[1]Info!$E$9:$F$10,2,0),IF(K751="F10",VLOOKUP(F751,[1]Info!$E$2:$F$3,2,0),VLOOKUP(K751,[1]Info!$A$1:$B$21,2,0))))))</f>
        <v>Carregadeira Plantas</v>
      </c>
    </row>
    <row r="752" spans="1:24" x14ac:dyDescent="0.35">
      <c r="A752" t="s">
        <v>41</v>
      </c>
      <c r="B752" t="s">
        <v>73</v>
      </c>
      <c r="C752" t="s">
        <v>74</v>
      </c>
      <c r="D752" t="s">
        <v>93</v>
      </c>
      <c r="E752" t="s">
        <v>56</v>
      </c>
      <c r="F752">
        <v>7098131</v>
      </c>
      <c r="G752" t="s">
        <v>75</v>
      </c>
      <c r="H752" t="s">
        <v>43</v>
      </c>
      <c r="I752" t="s">
        <v>44</v>
      </c>
      <c r="J752" t="s">
        <v>50</v>
      </c>
      <c r="K752" t="s">
        <v>3</v>
      </c>
      <c r="L752" t="s">
        <v>51</v>
      </c>
      <c r="M752" t="s">
        <v>985</v>
      </c>
      <c r="N752" t="s">
        <v>986</v>
      </c>
      <c r="O752" t="s">
        <v>987</v>
      </c>
      <c r="P752" t="s">
        <v>383</v>
      </c>
      <c r="Q752" t="s">
        <v>972</v>
      </c>
      <c r="R752" t="s">
        <v>973</v>
      </c>
      <c r="S752" t="s">
        <v>46</v>
      </c>
      <c r="T752" t="s">
        <v>46</v>
      </c>
      <c r="U752" s="4">
        <v>930.76</v>
      </c>
      <c r="V752" t="str">
        <f t="shared" si="11"/>
        <v>0020</v>
      </c>
      <c r="W752" t="str">
        <f>VLOOKUP(K752,[1]Info!A$1:B$21,2,0)</f>
        <v>Carregadeira</v>
      </c>
      <c r="X752" t="str">
        <f>IF(M752="109595132","Material de Limpeza-Não Avaliar",IF(AND(K752="F20",M752&lt;&gt;109595132),IF(RIGHT(F752,2)="70","Infraestrutura de Planta","Prédios e Instalações"),IF(K752="FPC",VLOOKUP(F752,[1]Info!$E$2:$F$11,2,0),IF(K752="FGP",VLOOKUP(F752,[1]Info!$E$9:$F$10,2,0),IF(K752="F10",VLOOKUP(F752,[1]Info!$E$2:$F$3,2,0),VLOOKUP(K752,[1]Info!$A$1:$B$21,2,0))))))</f>
        <v>Carregadeira Plantas</v>
      </c>
    </row>
    <row r="753" spans="1:24" x14ac:dyDescent="0.35">
      <c r="A753" t="s">
        <v>41</v>
      </c>
      <c r="B753" t="s">
        <v>73</v>
      </c>
      <c r="C753" t="s">
        <v>74</v>
      </c>
      <c r="D753" t="s">
        <v>93</v>
      </c>
      <c r="E753" t="s">
        <v>56</v>
      </c>
      <c r="F753">
        <v>7098131</v>
      </c>
      <c r="G753" t="s">
        <v>75</v>
      </c>
      <c r="H753" t="s">
        <v>43</v>
      </c>
      <c r="I753" t="s">
        <v>44</v>
      </c>
      <c r="J753" t="s">
        <v>50</v>
      </c>
      <c r="K753" t="s">
        <v>3</v>
      </c>
      <c r="L753" t="s">
        <v>51</v>
      </c>
      <c r="M753" t="s">
        <v>985</v>
      </c>
      <c r="N753" t="s">
        <v>986</v>
      </c>
      <c r="O753" t="s">
        <v>987</v>
      </c>
      <c r="P753" t="s">
        <v>383</v>
      </c>
      <c r="Q753" t="s">
        <v>919</v>
      </c>
      <c r="R753" t="s">
        <v>920</v>
      </c>
      <c r="S753" t="s">
        <v>46</v>
      </c>
      <c r="T753" t="s">
        <v>46</v>
      </c>
      <c r="U753" s="4">
        <v>140.1</v>
      </c>
      <c r="V753" t="str">
        <f t="shared" si="11"/>
        <v>0020</v>
      </c>
      <c r="W753" t="str">
        <f>VLOOKUP(K753,[1]Info!A$1:B$21,2,0)</f>
        <v>Carregadeira</v>
      </c>
      <c r="X753" t="str">
        <f>IF(M753="109595132","Material de Limpeza-Não Avaliar",IF(AND(K753="F20",M753&lt;&gt;109595132),IF(RIGHT(F753,2)="70","Infraestrutura de Planta","Prédios e Instalações"),IF(K753="FPC",VLOOKUP(F753,[1]Info!$E$2:$F$11,2,0),IF(K753="FGP",VLOOKUP(F753,[1]Info!$E$9:$F$10,2,0),IF(K753="F10",VLOOKUP(F753,[1]Info!$E$2:$F$3,2,0),VLOOKUP(K753,[1]Info!$A$1:$B$21,2,0))))))</f>
        <v>Carregadeira Plantas</v>
      </c>
    </row>
    <row r="754" spans="1:24" x14ac:dyDescent="0.35">
      <c r="A754" t="s">
        <v>41</v>
      </c>
      <c r="B754" t="s">
        <v>73</v>
      </c>
      <c r="C754" t="s">
        <v>74</v>
      </c>
      <c r="D754" t="s">
        <v>93</v>
      </c>
      <c r="E754" t="s">
        <v>56</v>
      </c>
      <c r="F754">
        <v>7098131</v>
      </c>
      <c r="G754" t="s">
        <v>75</v>
      </c>
      <c r="H754" t="s">
        <v>43</v>
      </c>
      <c r="I754" t="s">
        <v>44</v>
      </c>
      <c r="J754" t="s">
        <v>50</v>
      </c>
      <c r="K754" t="s">
        <v>3</v>
      </c>
      <c r="L754" t="s">
        <v>51</v>
      </c>
      <c r="M754" t="s">
        <v>985</v>
      </c>
      <c r="N754" t="s">
        <v>986</v>
      </c>
      <c r="O754" t="s">
        <v>987</v>
      </c>
      <c r="P754" t="s">
        <v>383</v>
      </c>
      <c r="Q754" t="s">
        <v>974</v>
      </c>
      <c r="R754" t="s">
        <v>975</v>
      </c>
      <c r="S754" t="s">
        <v>46</v>
      </c>
      <c r="T754" t="s">
        <v>46</v>
      </c>
      <c r="U754" s="4">
        <v>619.5</v>
      </c>
      <c r="V754" t="str">
        <f t="shared" si="11"/>
        <v>0020</v>
      </c>
      <c r="W754" t="str">
        <f>VLOOKUP(K754,[1]Info!A$1:B$21,2,0)</f>
        <v>Carregadeira</v>
      </c>
      <c r="X754" t="str">
        <f>IF(M754="109595132","Material de Limpeza-Não Avaliar",IF(AND(K754="F20",M754&lt;&gt;109595132),IF(RIGHT(F754,2)="70","Infraestrutura de Planta","Prédios e Instalações"),IF(K754="FPC",VLOOKUP(F754,[1]Info!$E$2:$F$11,2,0),IF(K754="FGP",VLOOKUP(F754,[1]Info!$E$9:$F$10,2,0),IF(K754="F10",VLOOKUP(F754,[1]Info!$E$2:$F$3,2,0),VLOOKUP(K754,[1]Info!$A$1:$B$21,2,0))))))</f>
        <v>Carregadeira Plantas</v>
      </c>
    </row>
    <row r="755" spans="1:24" x14ac:dyDescent="0.35">
      <c r="A755" t="s">
        <v>41</v>
      </c>
      <c r="B755" t="s">
        <v>73</v>
      </c>
      <c r="C755" t="s">
        <v>74</v>
      </c>
      <c r="D755" t="s">
        <v>93</v>
      </c>
      <c r="E755" t="s">
        <v>56</v>
      </c>
      <c r="F755">
        <v>7098131</v>
      </c>
      <c r="G755" t="s">
        <v>75</v>
      </c>
      <c r="H755" t="s">
        <v>43</v>
      </c>
      <c r="I755" t="s">
        <v>44</v>
      </c>
      <c r="J755" t="s">
        <v>50</v>
      </c>
      <c r="K755" t="s">
        <v>3</v>
      </c>
      <c r="L755" t="s">
        <v>51</v>
      </c>
      <c r="M755" t="s">
        <v>985</v>
      </c>
      <c r="N755" t="s">
        <v>986</v>
      </c>
      <c r="O755" t="s">
        <v>987</v>
      </c>
      <c r="P755" t="s">
        <v>383</v>
      </c>
      <c r="Q755" t="s">
        <v>976</v>
      </c>
      <c r="R755" t="s">
        <v>977</v>
      </c>
      <c r="S755" t="s">
        <v>46</v>
      </c>
      <c r="T755" t="s">
        <v>46</v>
      </c>
      <c r="U755" s="4">
        <v>212.69</v>
      </c>
      <c r="V755" t="str">
        <f t="shared" si="11"/>
        <v>0020</v>
      </c>
      <c r="W755" t="str">
        <f>VLOOKUP(K755,[1]Info!A$1:B$21,2,0)</f>
        <v>Carregadeira</v>
      </c>
      <c r="X755" t="str">
        <f>IF(M755="109595132","Material de Limpeza-Não Avaliar",IF(AND(K755="F20",M755&lt;&gt;109595132),IF(RIGHT(F755,2)="70","Infraestrutura de Planta","Prédios e Instalações"),IF(K755="FPC",VLOOKUP(F755,[1]Info!$E$2:$F$11,2,0),IF(K755="FGP",VLOOKUP(F755,[1]Info!$E$9:$F$10,2,0),IF(K755="F10",VLOOKUP(F755,[1]Info!$E$2:$F$3,2,0),VLOOKUP(K755,[1]Info!$A$1:$B$21,2,0))))))</f>
        <v>Carregadeira Plantas</v>
      </c>
    </row>
    <row r="756" spans="1:24" x14ac:dyDescent="0.35">
      <c r="A756" t="s">
        <v>41</v>
      </c>
      <c r="B756" t="s">
        <v>73</v>
      </c>
      <c r="C756" t="s">
        <v>74</v>
      </c>
      <c r="D756" t="s">
        <v>93</v>
      </c>
      <c r="E756" t="s">
        <v>56</v>
      </c>
      <c r="F756">
        <v>7098131</v>
      </c>
      <c r="G756" t="s">
        <v>75</v>
      </c>
      <c r="H756" t="s">
        <v>43</v>
      </c>
      <c r="I756" t="s">
        <v>44</v>
      </c>
      <c r="J756" t="s">
        <v>50</v>
      </c>
      <c r="K756" t="s">
        <v>3</v>
      </c>
      <c r="L756" t="s">
        <v>51</v>
      </c>
      <c r="M756" t="s">
        <v>985</v>
      </c>
      <c r="N756" t="s">
        <v>986</v>
      </c>
      <c r="O756" t="s">
        <v>987</v>
      </c>
      <c r="P756" t="s">
        <v>383</v>
      </c>
      <c r="Q756" t="s">
        <v>978</v>
      </c>
      <c r="R756" t="s">
        <v>979</v>
      </c>
      <c r="S756" t="s">
        <v>46</v>
      </c>
      <c r="T756" t="s">
        <v>46</v>
      </c>
      <c r="U756" s="4">
        <v>237.47</v>
      </c>
      <c r="V756" t="str">
        <f t="shared" si="11"/>
        <v>0020</v>
      </c>
      <c r="W756" t="str">
        <f>VLOOKUP(K756,[1]Info!A$1:B$21,2,0)</f>
        <v>Carregadeira</v>
      </c>
      <c r="X756" t="str">
        <f>IF(M756="109595132","Material de Limpeza-Não Avaliar",IF(AND(K756="F20",M756&lt;&gt;109595132),IF(RIGHT(F756,2)="70","Infraestrutura de Planta","Prédios e Instalações"),IF(K756="FPC",VLOOKUP(F756,[1]Info!$E$2:$F$11,2,0),IF(K756="FGP",VLOOKUP(F756,[1]Info!$E$9:$F$10,2,0),IF(K756="F10",VLOOKUP(F756,[1]Info!$E$2:$F$3,2,0),VLOOKUP(K756,[1]Info!$A$1:$B$21,2,0))))))</f>
        <v>Carregadeira Plantas</v>
      </c>
    </row>
    <row r="757" spans="1:24" x14ac:dyDescent="0.35">
      <c r="A757" t="s">
        <v>41</v>
      </c>
      <c r="B757" t="s">
        <v>73</v>
      </c>
      <c r="C757" t="s">
        <v>74</v>
      </c>
      <c r="D757" t="s">
        <v>93</v>
      </c>
      <c r="E757" t="s">
        <v>56</v>
      </c>
      <c r="F757">
        <v>7098131</v>
      </c>
      <c r="G757" t="s">
        <v>75</v>
      </c>
      <c r="H757" t="s">
        <v>43</v>
      </c>
      <c r="I757" t="s">
        <v>44</v>
      </c>
      <c r="J757" t="s">
        <v>50</v>
      </c>
      <c r="K757" t="s">
        <v>3</v>
      </c>
      <c r="L757" t="s">
        <v>51</v>
      </c>
      <c r="M757" t="s">
        <v>985</v>
      </c>
      <c r="N757" t="s">
        <v>986</v>
      </c>
      <c r="O757" t="s">
        <v>987</v>
      </c>
      <c r="P757" t="s">
        <v>383</v>
      </c>
      <c r="Q757" t="s">
        <v>980</v>
      </c>
      <c r="R757" t="s">
        <v>981</v>
      </c>
      <c r="S757" t="s">
        <v>46</v>
      </c>
      <c r="T757" t="s">
        <v>46</v>
      </c>
      <c r="U757" s="4">
        <v>154.36000000000001</v>
      </c>
      <c r="V757" t="str">
        <f t="shared" si="11"/>
        <v>0020</v>
      </c>
      <c r="W757" t="str">
        <f>VLOOKUP(K757,[1]Info!A$1:B$21,2,0)</f>
        <v>Carregadeira</v>
      </c>
      <c r="X757" t="str">
        <f>IF(M757="109595132","Material de Limpeza-Não Avaliar",IF(AND(K757="F20",M757&lt;&gt;109595132),IF(RIGHT(F757,2)="70","Infraestrutura de Planta","Prédios e Instalações"),IF(K757="FPC",VLOOKUP(F757,[1]Info!$E$2:$F$11,2,0),IF(K757="FGP",VLOOKUP(F757,[1]Info!$E$9:$F$10,2,0),IF(K757="F10",VLOOKUP(F757,[1]Info!$E$2:$F$3,2,0),VLOOKUP(K757,[1]Info!$A$1:$B$21,2,0))))))</f>
        <v>Carregadeira Plantas</v>
      </c>
    </row>
    <row r="758" spans="1:24" x14ac:dyDescent="0.35">
      <c r="A758" t="s">
        <v>41</v>
      </c>
      <c r="B758" t="s">
        <v>73</v>
      </c>
      <c r="C758" t="s">
        <v>74</v>
      </c>
      <c r="D758" t="s">
        <v>93</v>
      </c>
      <c r="E758" t="s">
        <v>56</v>
      </c>
      <c r="F758">
        <v>7098131</v>
      </c>
      <c r="G758" t="s">
        <v>75</v>
      </c>
      <c r="H758" t="s">
        <v>43</v>
      </c>
      <c r="I758" t="s">
        <v>44</v>
      </c>
      <c r="J758" t="s">
        <v>50</v>
      </c>
      <c r="K758" t="s">
        <v>3</v>
      </c>
      <c r="L758" t="s">
        <v>51</v>
      </c>
      <c r="M758" t="s">
        <v>988</v>
      </c>
      <c r="N758" t="s">
        <v>989</v>
      </c>
      <c r="O758" t="s">
        <v>990</v>
      </c>
      <c r="P758" t="s">
        <v>383</v>
      </c>
      <c r="Q758" t="s">
        <v>972</v>
      </c>
      <c r="R758" t="s">
        <v>973</v>
      </c>
      <c r="S758" t="s">
        <v>46</v>
      </c>
      <c r="T758" t="s">
        <v>46</v>
      </c>
      <c r="U758" s="4">
        <v>930.76</v>
      </c>
      <c r="V758" t="str">
        <f t="shared" si="11"/>
        <v>0020</v>
      </c>
      <c r="W758" t="str">
        <f>VLOOKUP(K758,[1]Info!A$1:B$21,2,0)</f>
        <v>Carregadeira</v>
      </c>
      <c r="X758" t="str">
        <f>IF(M758="109595132","Material de Limpeza-Não Avaliar",IF(AND(K758="F20",M758&lt;&gt;109595132),IF(RIGHT(F758,2)="70","Infraestrutura de Planta","Prédios e Instalações"),IF(K758="FPC",VLOOKUP(F758,[1]Info!$E$2:$F$11,2,0),IF(K758="FGP",VLOOKUP(F758,[1]Info!$E$9:$F$10,2,0),IF(K758="F10",VLOOKUP(F758,[1]Info!$E$2:$F$3,2,0),VLOOKUP(K758,[1]Info!$A$1:$B$21,2,0))))))</f>
        <v>Carregadeira Plantas</v>
      </c>
    </row>
    <row r="759" spans="1:24" x14ac:dyDescent="0.35">
      <c r="A759" t="s">
        <v>41</v>
      </c>
      <c r="B759" t="s">
        <v>73</v>
      </c>
      <c r="C759" t="s">
        <v>74</v>
      </c>
      <c r="D759" t="s">
        <v>93</v>
      </c>
      <c r="E759" t="s">
        <v>56</v>
      </c>
      <c r="F759">
        <v>7098131</v>
      </c>
      <c r="G759" t="s">
        <v>75</v>
      </c>
      <c r="H759" t="s">
        <v>43</v>
      </c>
      <c r="I759" t="s">
        <v>44</v>
      </c>
      <c r="J759" t="s">
        <v>50</v>
      </c>
      <c r="K759" t="s">
        <v>3</v>
      </c>
      <c r="L759" t="s">
        <v>51</v>
      </c>
      <c r="M759" t="s">
        <v>988</v>
      </c>
      <c r="N759" t="s">
        <v>989</v>
      </c>
      <c r="O759" t="s">
        <v>990</v>
      </c>
      <c r="P759" t="s">
        <v>383</v>
      </c>
      <c r="Q759" t="s">
        <v>919</v>
      </c>
      <c r="R759" t="s">
        <v>920</v>
      </c>
      <c r="S759" t="s">
        <v>46</v>
      </c>
      <c r="T759" t="s">
        <v>46</v>
      </c>
      <c r="U759" s="4">
        <v>140.1</v>
      </c>
      <c r="V759" t="str">
        <f t="shared" si="11"/>
        <v>0020</v>
      </c>
      <c r="W759" t="str">
        <f>VLOOKUP(K759,[1]Info!A$1:B$21,2,0)</f>
        <v>Carregadeira</v>
      </c>
      <c r="X759" t="str">
        <f>IF(M759="109595132","Material de Limpeza-Não Avaliar",IF(AND(K759="F20",M759&lt;&gt;109595132),IF(RIGHT(F759,2)="70","Infraestrutura de Planta","Prédios e Instalações"),IF(K759="FPC",VLOOKUP(F759,[1]Info!$E$2:$F$11,2,0),IF(K759="FGP",VLOOKUP(F759,[1]Info!$E$9:$F$10,2,0),IF(K759="F10",VLOOKUP(F759,[1]Info!$E$2:$F$3,2,0),VLOOKUP(K759,[1]Info!$A$1:$B$21,2,0))))))</f>
        <v>Carregadeira Plantas</v>
      </c>
    </row>
    <row r="760" spans="1:24" x14ac:dyDescent="0.35">
      <c r="A760" t="s">
        <v>41</v>
      </c>
      <c r="B760" t="s">
        <v>73</v>
      </c>
      <c r="C760" t="s">
        <v>74</v>
      </c>
      <c r="D760" t="s">
        <v>93</v>
      </c>
      <c r="E760" t="s">
        <v>56</v>
      </c>
      <c r="F760">
        <v>7098131</v>
      </c>
      <c r="G760" t="s">
        <v>75</v>
      </c>
      <c r="H760" t="s">
        <v>43</v>
      </c>
      <c r="I760" t="s">
        <v>44</v>
      </c>
      <c r="J760" t="s">
        <v>50</v>
      </c>
      <c r="K760" t="s">
        <v>3</v>
      </c>
      <c r="L760" t="s">
        <v>51</v>
      </c>
      <c r="M760" t="s">
        <v>988</v>
      </c>
      <c r="N760" t="s">
        <v>989</v>
      </c>
      <c r="O760" t="s">
        <v>990</v>
      </c>
      <c r="P760" t="s">
        <v>383</v>
      </c>
      <c r="Q760" t="s">
        <v>974</v>
      </c>
      <c r="R760" t="s">
        <v>975</v>
      </c>
      <c r="S760" t="s">
        <v>46</v>
      </c>
      <c r="T760" t="s">
        <v>46</v>
      </c>
      <c r="U760" s="4">
        <v>619.5</v>
      </c>
      <c r="V760" t="str">
        <f t="shared" si="11"/>
        <v>0020</v>
      </c>
      <c r="W760" t="str">
        <f>VLOOKUP(K760,[1]Info!A$1:B$21,2,0)</f>
        <v>Carregadeira</v>
      </c>
      <c r="X760" t="str">
        <f>IF(M760="109595132","Material de Limpeza-Não Avaliar",IF(AND(K760="F20",M760&lt;&gt;109595132),IF(RIGHT(F760,2)="70","Infraestrutura de Planta","Prédios e Instalações"),IF(K760="FPC",VLOOKUP(F760,[1]Info!$E$2:$F$11,2,0),IF(K760="FGP",VLOOKUP(F760,[1]Info!$E$9:$F$10,2,0),IF(K760="F10",VLOOKUP(F760,[1]Info!$E$2:$F$3,2,0),VLOOKUP(K760,[1]Info!$A$1:$B$21,2,0))))))</f>
        <v>Carregadeira Plantas</v>
      </c>
    </row>
    <row r="761" spans="1:24" x14ac:dyDescent="0.35">
      <c r="A761" t="s">
        <v>41</v>
      </c>
      <c r="B761" t="s">
        <v>73</v>
      </c>
      <c r="C761" t="s">
        <v>74</v>
      </c>
      <c r="D761" t="s">
        <v>93</v>
      </c>
      <c r="E761" t="s">
        <v>56</v>
      </c>
      <c r="F761">
        <v>7098131</v>
      </c>
      <c r="G761" t="s">
        <v>75</v>
      </c>
      <c r="H761" t="s">
        <v>43</v>
      </c>
      <c r="I761" t="s">
        <v>44</v>
      </c>
      <c r="J761" t="s">
        <v>50</v>
      </c>
      <c r="K761" t="s">
        <v>3</v>
      </c>
      <c r="L761" t="s">
        <v>51</v>
      </c>
      <c r="M761" t="s">
        <v>988</v>
      </c>
      <c r="N761" t="s">
        <v>989</v>
      </c>
      <c r="O761" t="s">
        <v>990</v>
      </c>
      <c r="P761" t="s">
        <v>383</v>
      </c>
      <c r="Q761" t="s">
        <v>976</v>
      </c>
      <c r="R761" t="s">
        <v>977</v>
      </c>
      <c r="S761" t="s">
        <v>46</v>
      </c>
      <c r="T761" t="s">
        <v>46</v>
      </c>
      <c r="U761" s="4">
        <v>212.7</v>
      </c>
      <c r="V761" t="str">
        <f t="shared" si="11"/>
        <v>0020</v>
      </c>
      <c r="W761" t="str">
        <f>VLOOKUP(K761,[1]Info!A$1:B$21,2,0)</f>
        <v>Carregadeira</v>
      </c>
      <c r="X761" t="str">
        <f>IF(M761="109595132","Material de Limpeza-Não Avaliar",IF(AND(K761="F20",M761&lt;&gt;109595132),IF(RIGHT(F761,2)="70","Infraestrutura de Planta","Prédios e Instalações"),IF(K761="FPC",VLOOKUP(F761,[1]Info!$E$2:$F$11,2,0),IF(K761="FGP",VLOOKUP(F761,[1]Info!$E$9:$F$10,2,0),IF(K761="F10",VLOOKUP(F761,[1]Info!$E$2:$F$3,2,0),VLOOKUP(K761,[1]Info!$A$1:$B$21,2,0))))))</f>
        <v>Carregadeira Plantas</v>
      </c>
    </row>
    <row r="762" spans="1:24" x14ac:dyDescent="0.35">
      <c r="A762" t="s">
        <v>41</v>
      </c>
      <c r="B762" t="s">
        <v>73</v>
      </c>
      <c r="C762" t="s">
        <v>74</v>
      </c>
      <c r="D762" t="s">
        <v>93</v>
      </c>
      <c r="E762" t="s">
        <v>56</v>
      </c>
      <c r="F762">
        <v>7098131</v>
      </c>
      <c r="G762" t="s">
        <v>75</v>
      </c>
      <c r="H762" t="s">
        <v>43</v>
      </c>
      <c r="I762" t="s">
        <v>44</v>
      </c>
      <c r="J762" t="s">
        <v>50</v>
      </c>
      <c r="K762" t="s">
        <v>3</v>
      </c>
      <c r="L762" t="s">
        <v>51</v>
      </c>
      <c r="M762" t="s">
        <v>988</v>
      </c>
      <c r="N762" t="s">
        <v>989</v>
      </c>
      <c r="O762" t="s">
        <v>990</v>
      </c>
      <c r="P762" t="s">
        <v>383</v>
      </c>
      <c r="Q762" t="s">
        <v>978</v>
      </c>
      <c r="R762" t="s">
        <v>979</v>
      </c>
      <c r="S762" t="s">
        <v>46</v>
      </c>
      <c r="T762" t="s">
        <v>46</v>
      </c>
      <c r="U762" s="4">
        <v>237.48</v>
      </c>
      <c r="V762" t="str">
        <f t="shared" si="11"/>
        <v>0020</v>
      </c>
      <c r="W762" t="str">
        <f>VLOOKUP(K762,[1]Info!A$1:B$21,2,0)</f>
        <v>Carregadeira</v>
      </c>
      <c r="X762" t="str">
        <f>IF(M762="109595132","Material de Limpeza-Não Avaliar",IF(AND(K762="F20",M762&lt;&gt;109595132),IF(RIGHT(F762,2)="70","Infraestrutura de Planta","Prédios e Instalações"),IF(K762="FPC",VLOOKUP(F762,[1]Info!$E$2:$F$11,2,0),IF(K762="FGP",VLOOKUP(F762,[1]Info!$E$9:$F$10,2,0),IF(K762="F10",VLOOKUP(F762,[1]Info!$E$2:$F$3,2,0),VLOOKUP(K762,[1]Info!$A$1:$B$21,2,0))))))</f>
        <v>Carregadeira Plantas</v>
      </c>
    </row>
    <row r="763" spans="1:24" x14ac:dyDescent="0.35">
      <c r="A763" t="s">
        <v>41</v>
      </c>
      <c r="B763" t="s">
        <v>73</v>
      </c>
      <c r="C763" t="s">
        <v>74</v>
      </c>
      <c r="D763" t="s">
        <v>93</v>
      </c>
      <c r="E763" t="s">
        <v>56</v>
      </c>
      <c r="F763">
        <v>7098131</v>
      </c>
      <c r="G763" t="s">
        <v>75</v>
      </c>
      <c r="H763" t="s">
        <v>43</v>
      </c>
      <c r="I763" t="s">
        <v>44</v>
      </c>
      <c r="J763" t="s">
        <v>50</v>
      </c>
      <c r="K763" t="s">
        <v>3</v>
      </c>
      <c r="L763" t="s">
        <v>51</v>
      </c>
      <c r="M763" t="s">
        <v>988</v>
      </c>
      <c r="N763" t="s">
        <v>989</v>
      </c>
      <c r="O763" t="s">
        <v>990</v>
      </c>
      <c r="P763" t="s">
        <v>383</v>
      </c>
      <c r="Q763" t="s">
        <v>980</v>
      </c>
      <c r="R763" t="s">
        <v>981</v>
      </c>
      <c r="S763" t="s">
        <v>46</v>
      </c>
      <c r="T763" t="s">
        <v>46</v>
      </c>
      <c r="U763" s="4">
        <v>154.36000000000001</v>
      </c>
      <c r="V763" t="str">
        <f t="shared" si="11"/>
        <v>0020</v>
      </c>
      <c r="W763" t="str">
        <f>VLOOKUP(K763,[1]Info!A$1:B$21,2,0)</f>
        <v>Carregadeira</v>
      </c>
      <c r="X763" t="str">
        <f>IF(M763="109595132","Material de Limpeza-Não Avaliar",IF(AND(K763="F20",M763&lt;&gt;109595132),IF(RIGHT(F763,2)="70","Infraestrutura de Planta","Prédios e Instalações"),IF(K763="FPC",VLOOKUP(F763,[1]Info!$E$2:$F$11,2,0),IF(K763="FGP",VLOOKUP(F763,[1]Info!$E$9:$F$10,2,0),IF(K763="F10",VLOOKUP(F763,[1]Info!$E$2:$F$3,2,0),VLOOKUP(K763,[1]Info!$A$1:$B$21,2,0))))))</f>
        <v>Carregadeira Plantas</v>
      </c>
    </row>
    <row r="764" spans="1:24" x14ac:dyDescent="0.35">
      <c r="A764" t="s">
        <v>41</v>
      </c>
      <c r="B764" t="s">
        <v>73</v>
      </c>
      <c r="C764" t="s">
        <v>74</v>
      </c>
      <c r="D764" t="s">
        <v>93</v>
      </c>
      <c r="E764" t="s">
        <v>56</v>
      </c>
      <c r="F764">
        <v>7098131</v>
      </c>
      <c r="G764" t="s">
        <v>75</v>
      </c>
      <c r="H764" t="s">
        <v>43</v>
      </c>
      <c r="I764" t="s">
        <v>44</v>
      </c>
      <c r="J764" t="s">
        <v>50</v>
      </c>
      <c r="K764" t="s">
        <v>3</v>
      </c>
      <c r="L764" t="s">
        <v>51</v>
      </c>
      <c r="M764" t="s">
        <v>991</v>
      </c>
      <c r="N764" t="s">
        <v>992</v>
      </c>
      <c r="O764" t="s">
        <v>993</v>
      </c>
      <c r="P764" t="s">
        <v>383</v>
      </c>
      <c r="Q764" t="s">
        <v>972</v>
      </c>
      <c r="R764" t="s">
        <v>973</v>
      </c>
      <c r="S764" t="s">
        <v>46</v>
      </c>
      <c r="T764" t="s">
        <v>46</v>
      </c>
      <c r="U764" s="4">
        <v>930.76</v>
      </c>
      <c r="V764" t="str">
        <f t="shared" si="11"/>
        <v>0020</v>
      </c>
      <c r="W764" t="str">
        <f>VLOOKUP(K764,[1]Info!A$1:B$21,2,0)</f>
        <v>Carregadeira</v>
      </c>
      <c r="X764" t="str">
        <f>IF(M764="109595132","Material de Limpeza-Não Avaliar",IF(AND(K764="F20",M764&lt;&gt;109595132),IF(RIGHT(F764,2)="70","Infraestrutura de Planta","Prédios e Instalações"),IF(K764="FPC",VLOOKUP(F764,[1]Info!$E$2:$F$11,2,0),IF(K764="FGP",VLOOKUP(F764,[1]Info!$E$9:$F$10,2,0),IF(K764="F10",VLOOKUP(F764,[1]Info!$E$2:$F$3,2,0),VLOOKUP(K764,[1]Info!$A$1:$B$21,2,0))))))</f>
        <v>Carregadeira Plantas</v>
      </c>
    </row>
    <row r="765" spans="1:24" x14ac:dyDescent="0.35">
      <c r="A765" t="s">
        <v>41</v>
      </c>
      <c r="B765" t="s">
        <v>73</v>
      </c>
      <c r="C765" t="s">
        <v>74</v>
      </c>
      <c r="D765" t="s">
        <v>93</v>
      </c>
      <c r="E765" t="s">
        <v>56</v>
      </c>
      <c r="F765">
        <v>7098131</v>
      </c>
      <c r="G765" t="s">
        <v>75</v>
      </c>
      <c r="H765" t="s">
        <v>43</v>
      </c>
      <c r="I765" t="s">
        <v>44</v>
      </c>
      <c r="J765" t="s">
        <v>50</v>
      </c>
      <c r="K765" t="s">
        <v>3</v>
      </c>
      <c r="L765" t="s">
        <v>51</v>
      </c>
      <c r="M765" t="s">
        <v>991</v>
      </c>
      <c r="N765" t="s">
        <v>992</v>
      </c>
      <c r="O765" t="s">
        <v>993</v>
      </c>
      <c r="P765" t="s">
        <v>383</v>
      </c>
      <c r="Q765" t="s">
        <v>919</v>
      </c>
      <c r="R765" t="s">
        <v>920</v>
      </c>
      <c r="S765" t="s">
        <v>46</v>
      </c>
      <c r="T765" t="s">
        <v>46</v>
      </c>
      <c r="U765" s="4">
        <v>140.09</v>
      </c>
      <c r="V765" t="str">
        <f t="shared" si="11"/>
        <v>0020</v>
      </c>
      <c r="W765" t="str">
        <f>VLOOKUP(K765,[1]Info!A$1:B$21,2,0)</f>
        <v>Carregadeira</v>
      </c>
      <c r="X765" t="str">
        <f>IF(M765="109595132","Material de Limpeza-Não Avaliar",IF(AND(K765="F20",M765&lt;&gt;109595132),IF(RIGHT(F765,2)="70","Infraestrutura de Planta","Prédios e Instalações"),IF(K765="FPC",VLOOKUP(F765,[1]Info!$E$2:$F$11,2,0),IF(K765="FGP",VLOOKUP(F765,[1]Info!$E$9:$F$10,2,0),IF(K765="F10",VLOOKUP(F765,[1]Info!$E$2:$F$3,2,0),VLOOKUP(K765,[1]Info!$A$1:$B$21,2,0))))))</f>
        <v>Carregadeira Plantas</v>
      </c>
    </row>
    <row r="766" spans="1:24" x14ac:dyDescent="0.35">
      <c r="A766" t="s">
        <v>41</v>
      </c>
      <c r="B766" t="s">
        <v>73</v>
      </c>
      <c r="C766" t="s">
        <v>74</v>
      </c>
      <c r="D766" t="s">
        <v>93</v>
      </c>
      <c r="E766" t="s">
        <v>56</v>
      </c>
      <c r="F766">
        <v>7098131</v>
      </c>
      <c r="G766" t="s">
        <v>75</v>
      </c>
      <c r="H766" t="s">
        <v>43</v>
      </c>
      <c r="I766" t="s">
        <v>44</v>
      </c>
      <c r="J766" t="s">
        <v>50</v>
      </c>
      <c r="K766" t="s">
        <v>3</v>
      </c>
      <c r="L766" t="s">
        <v>51</v>
      </c>
      <c r="M766" t="s">
        <v>991</v>
      </c>
      <c r="N766" t="s">
        <v>992</v>
      </c>
      <c r="O766" t="s">
        <v>993</v>
      </c>
      <c r="P766" t="s">
        <v>383</v>
      </c>
      <c r="Q766" t="s">
        <v>974</v>
      </c>
      <c r="R766" t="s">
        <v>975</v>
      </c>
      <c r="S766" t="s">
        <v>46</v>
      </c>
      <c r="T766" t="s">
        <v>46</v>
      </c>
      <c r="U766" s="4">
        <v>619.5</v>
      </c>
      <c r="V766" t="str">
        <f t="shared" si="11"/>
        <v>0020</v>
      </c>
      <c r="W766" t="str">
        <f>VLOOKUP(K766,[1]Info!A$1:B$21,2,0)</f>
        <v>Carregadeira</v>
      </c>
      <c r="X766" t="str">
        <f>IF(M766="109595132","Material de Limpeza-Não Avaliar",IF(AND(K766="F20",M766&lt;&gt;109595132),IF(RIGHT(F766,2)="70","Infraestrutura de Planta","Prédios e Instalações"),IF(K766="FPC",VLOOKUP(F766,[1]Info!$E$2:$F$11,2,0),IF(K766="FGP",VLOOKUP(F766,[1]Info!$E$9:$F$10,2,0),IF(K766="F10",VLOOKUP(F766,[1]Info!$E$2:$F$3,2,0),VLOOKUP(K766,[1]Info!$A$1:$B$21,2,0))))))</f>
        <v>Carregadeira Plantas</v>
      </c>
    </row>
    <row r="767" spans="1:24" x14ac:dyDescent="0.35">
      <c r="A767" t="s">
        <v>41</v>
      </c>
      <c r="B767" t="s">
        <v>73</v>
      </c>
      <c r="C767" t="s">
        <v>74</v>
      </c>
      <c r="D767" t="s">
        <v>93</v>
      </c>
      <c r="E767" t="s">
        <v>56</v>
      </c>
      <c r="F767">
        <v>7098131</v>
      </c>
      <c r="G767" t="s">
        <v>75</v>
      </c>
      <c r="H767" t="s">
        <v>43</v>
      </c>
      <c r="I767" t="s">
        <v>44</v>
      </c>
      <c r="J767" t="s">
        <v>50</v>
      </c>
      <c r="K767" t="s">
        <v>3</v>
      </c>
      <c r="L767" t="s">
        <v>51</v>
      </c>
      <c r="M767" t="s">
        <v>991</v>
      </c>
      <c r="N767" t="s">
        <v>992</v>
      </c>
      <c r="O767" t="s">
        <v>993</v>
      </c>
      <c r="P767" t="s">
        <v>383</v>
      </c>
      <c r="Q767" t="s">
        <v>976</v>
      </c>
      <c r="R767" t="s">
        <v>977</v>
      </c>
      <c r="S767" t="s">
        <v>46</v>
      </c>
      <c r="T767" t="s">
        <v>46</v>
      </c>
      <c r="U767" s="4">
        <v>212.69</v>
      </c>
      <c r="V767" t="str">
        <f t="shared" si="11"/>
        <v>0020</v>
      </c>
      <c r="W767" t="str">
        <f>VLOOKUP(K767,[1]Info!A$1:B$21,2,0)</f>
        <v>Carregadeira</v>
      </c>
      <c r="X767" t="str">
        <f>IF(M767="109595132","Material de Limpeza-Não Avaliar",IF(AND(K767="F20",M767&lt;&gt;109595132),IF(RIGHT(F767,2)="70","Infraestrutura de Planta","Prédios e Instalações"),IF(K767="FPC",VLOOKUP(F767,[1]Info!$E$2:$F$11,2,0),IF(K767="FGP",VLOOKUP(F767,[1]Info!$E$9:$F$10,2,0),IF(K767="F10",VLOOKUP(F767,[1]Info!$E$2:$F$3,2,0),VLOOKUP(K767,[1]Info!$A$1:$B$21,2,0))))))</f>
        <v>Carregadeira Plantas</v>
      </c>
    </row>
    <row r="768" spans="1:24" x14ac:dyDescent="0.35">
      <c r="A768" t="s">
        <v>41</v>
      </c>
      <c r="B768" t="s">
        <v>73</v>
      </c>
      <c r="C768" t="s">
        <v>74</v>
      </c>
      <c r="D768" t="s">
        <v>93</v>
      </c>
      <c r="E768" t="s">
        <v>56</v>
      </c>
      <c r="F768">
        <v>7098131</v>
      </c>
      <c r="G768" t="s">
        <v>75</v>
      </c>
      <c r="H768" t="s">
        <v>43</v>
      </c>
      <c r="I768" t="s">
        <v>44</v>
      </c>
      <c r="J768" t="s">
        <v>50</v>
      </c>
      <c r="K768" t="s">
        <v>3</v>
      </c>
      <c r="L768" t="s">
        <v>51</v>
      </c>
      <c r="M768" t="s">
        <v>991</v>
      </c>
      <c r="N768" t="s">
        <v>992</v>
      </c>
      <c r="O768" t="s">
        <v>993</v>
      </c>
      <c r="P768" t="s">
        <v>383</v>
      </c>
      <c r="Q768" t="s">
        <v>978</v>
      </c>
      <c r="R768" t="s">
        <v>979</v>
      </c>
      <c r="S768" t="s">
        <v>46</v>
      </c>
      <c r="T768" t="s">
        <v>46</v>
      </c>
      <c r="U768" s="4">
        <v>237.47</v>
      </c>
      <c r="V768" t="str">
        <f t="shared" si="11"/>
        <v>0020</v>
      </c>
      <c r="W768" t="str">
        <f>VLOOKUP(K768,[1]Info!A$1:B$21,2,0)</f>
        <v>Carregadeira</v>
      </c>
      <c r="X768" t="str">
        <f>IF(M768="109595132","Material de Limpeza-Não Avaliar",IF(AND(K768="F20",M768&lt;&gt;109595132),IF(RIGHT(F768,2)="70","Infraestrutura de Planta","Prédios e Instalações"),IF(K768="FPC",VLOOKUP(F768,[1]Info!$E$2:$F$11,2,0),IF(K768="FGP",VLOOKUP(F768,[1]Info!$E$9:$F$10,2,0),IF(K768="F10",VLOOKUP(F768,[1]Info!$E$2:$F$3,2,0),VLOOKUP(K768,[1]Info!$A$1:$B$21,2,0))))))</f>
        <v>Carregadeira Plantas</v>
      </c>
    </row>
    <row r="769" spans="1:24" x14ac:dyDescent="0.35">
      <c r="A769" t="s">
        <v>41</v>
      </c>
      <c r="B769" t="s">
        <v>73</v>
      </c>
      <c r="C769" t="s">
        <v>74</v>
      </c>
      <c r="D769" t="s">
        <v>93</v>
      </c>
      <c r="E769" t="s">
        <v>56</v>
      </c>
      <c r="F769">
        <v>7098131</v>
      </c>
      <c r="G769" t="s">
        <v>75</v>
      </c>
      <c r="H769" t="s">
        <v>43</v>
      </c>
      <c r="I769" t="s">
        <v>44</v>
      </c>
      <c r="J769" t="s">
        <v>50</v>
      </c>
      <c r="K769" t="s">
        <v>3</v>
      </c>
      <c r="L769" t="s">
        <v>51</v>
      </c>
      <c r="M769" t="s">
        <v>991</v>
      </c>
      <c r="N769" t="s">
        <v>992</v>
      </c>
      <c r="O769" t="s">
        <v>993</v>
      </c>
      <c r="P769" t="s">
        <v>383</v>
      </c>
      <c r="Q769" t="s">
        <v>980</v>
      </c>
      <c r="R769" t="s">
        <v>981</v>
      </c>
      <c r="S769" t="s">
        <v>46</v>
      </c>
      <c r="T769" t="s">
        <v>46</v>
      </c>
      <c r="U769" s="4">
        <v>154.36000000000001</v>
      </c>
      <c r="V769" t="str">
        <f t="shared" si="11"/>
        <v>0020</v>
      </c>
      <c r="W769" t="str">
        <f>VLOOKUP(K769,[1]Info!A$1:B$21,2,0)</f>
        <v>Carregadeira</v>
      </c>
      <c r="X769" t="str">
        <f>IF(M769="109595132","Material de Limpeza-Não Avaliar",IF(AND(K769="F20",M769&lt;&gt;109595132),IF(RIGHT(F769,2)="70","Infraestrutura de Planta","Prédios e Instalações"),IF(K769="FPC",VLOOKUP(F769,[1]Info!$E$2:$F$11,2,0),IF(K769="FGP",VLOOKUP(F769,[1]Info!$E$9:$F$10,2,0),IF(K769="F10",VLOOKUP(F769,[1]Info!$E$2:$F$3,2,0),VLOOKUP(K769,[1]Info!$A$1:$B$21,2,0))))))</f>
        <v>Carregadeira Plantas</v>
      </c>
    </row>
    <row r="770" spans="1:24" x14ac:dyDescent="0.35">
      <c r="A770" t="s">
        <v>41</v>
      </c>
      <c r="B770" t="s">
        <v>73</v>
      </c>
      <c r="C770" t="s">
        <v>74</v>
      </c>
      <c r="D770" t="s">
        <v>93</v>
      </c>
      <c r="E770" t="s">
        <v>56</v>
      </c>
      <c r="F770">
        <v>7098131</v>
      </c>
      <c r="G770" t="s">
        <v>75</v>
      </c>
      <c r="H770" t="s">
        <v>43</v>
      </c>
      <c r="I770" t="s">
        <v>44</v>
      </c>
      <c r="J770" t="s">
        <v>50</v>
      </c>
      <c r="K770" t="s">
        <v>3</v>
      </c>
      <c r="L770" t="s">
        <v>51</v>
      </c>
      <c r="M770" t="s">
        <v>994</v>
      </c>
      <c r="N770" t="s">
        <v>995</v>
      </c>
      <c r="O770" t="s">
        <v>996</v>
      </c>
      <c r="P770" t="s">
        <v>383</v>
      </c>
      <c r="Q770" t="s">
        <v>997</v>
      </c>
      <c r="R770" t="s">
        <v>998</v>
      </c>
      <c r="S770" t="s">
        <v>46</v>
      </c>
      <c r="T770" t="s">
        <v>46</v>
      </c>
      <c r="U770" s="4">
        <v>392.17</v>
      </c>
      <c r="V770" t="str">
        <f t="shared" si="11"/>
        <v>-C04</v>
      </c>
      <c r="W770" t="str">
        <f>VLOOKUP(K770,[1]Info!A$1:B$21,2,0)</f>
        <v>Carregadeira</v>
      </c>
      <c r="X770" t="str">
        <f>IF(M770="109595132","Material de Limpeza-Não Avaliar",IF(AND(K770="F20",M770&lt;&gt;109595132),IF(RIGHT(F770,2)="70","Infraestrutura de Planta","Prédios e Instalações"),IF(K770="FPC",VLOOKUP(F770,[1]Info!$E$2:$F$11,2,0),IF(K770="FGP",VLOOKUP(F770,[1]Info!$E$9:$F$10,2,0),IF(K770="F10",VLOOKUP(F770,[1]Info!$E$2:$F$3,2,0),VLOOKUP(K770,[1]Info!$A$1:$B$21,2,0))))))</f>
        <v>Carregadeira Plantas</v>
      </c>
    </row>
    <row r="771" spans="1:24" x14ac:dyDescent="0.35">
      <c r="A771" t="s">
        <v>41</v>
      </c>
      <c r="B771" t="s">
        <v>73</v>
      </c>
      <c r="C771" t="s">
        <v>74</v>
      </c>
      <c r="D771" t="s">
        <v>93</v>
      </c>
      <c r="E771" t="s">
        <v>56</v>
      </c>
      <c r="F771">
        <v>7098131</v>
      </c>
      <c r="G771" t="s">
        <v>75</v>
      </c>
      <c r="H771" t="s">
        <v>43</v>
      </c>
      <c r="I771" t="s">
        <v>44</v>
      </c>
      <c r="J771" t="s">
        <v>50</v>
      </c>
      <c r="K771" t="s">
        <v>3</v>
      </c>
      <c r="L771" t="s">
        <v>51</v>
      </c>
      <c r="M771" t="s">
        <v>999</v>
      </c>
      <c r="N771" t="s">
        <v>1000</v>
      </c>
      <c r="O771" t="s">
        <v>1001</v>
      </c>
      <c r="P771" t="s">
        <v>383</v>
      </c>
      <c r="Q771" t="s">
        <v>1002</v>
      </c>
      <c r="R771" t="s">
        <v>1003</v>
      </c>
      <c r="S771" t="s">
        <v>46</v>
      </c>
      <c r="T771" t="s">
        <v>46</v>
      </c>
      <c r="U771" s="4">
        <v>1929.75</v>
      </c>
      <c r="V771" t="str">
        <f t="shared" si="11"/>
        <v>-005</v>
      </c>
      <c r="W771" t="str">
        <f>VLOOKUP(K771,[1]Info!A$1:B$21,2,0)</f>
        <v>Carregadeira</v>
      </c>
      <c r="X771" t="str">
        <f>IF(M771="109595132","Material de Limpeza-Não Avaliar",IF(AND(K771="F20",M771&lt;&gt;109595132),IF(RIGHT(F771,2)="70","Infraestrutura de Planta","Prédios e Instalações"),IF(K771="FPC",VLOOKUP(F771,[1]Info!$E$2:$F$11,2,0),IF(K771="FGP",VLOOKUP(F771,[1]Info!$E$9:$F$10,2,0),IF(K771="F10",VLOOKUP(F771,[1]Info!$E$2:$F$3,2,0),VLOOKUP(K771,[1]Info!$A$1:$B$21,2,0))))))</f>
        <v>Carregadeira Plantas</v>
      </c>
    </row>
    <row r="772" spans="1:24" x14ac:dyDescent="0.35">
      <c r="A772" t="s">
        <v>41</v>
      </c>
      <c r="B772" t="s">
        <v>73</v>
      </c>
      <c r="C772" t="s">
        <v>74</v>
      </c>
      <c r="D772" t="s">
        <v>93</v>
      </c>
      <c r="E772" t="s">
        <v>56</v>
      </c>
      <c r="F772">
        <v>7098131</v>
      </c>
      <c r="G772" t="s">
        <v>75</v>
      </c>
      <c r="H772" t="s">
        <v>43</v>
      </c>
      <c r="I772" t="s">
        <v>44</v>
      </c>
      <c r="J772" t="s">
        <v>50</v>
      </c>
      <c r="K772" t="s">
        <v>3</v>
      </c>
      <c r="L772" t="s">
        <v>51</v>
      </c>
      <c r="M772" t="s">
        <v>1004</v>
      </c>
      <c r="N772" t="s">
        <v>1005</v>
      </c>
      <c r="O772" t="s">
        <v>1006</v>
      </c>
      <c r="P772" t="s">
        <v>383</v>
      </c>
      <c r="Q772" t="s">
        <v>1002</v>
      </c>
      <c r="R772" t="s">
        <v>1003</v>
      </c>
      <c r="S772" t="s">
        <v>46</v>
      </c>
      <c r="T772" t="s">
        <v>46</v>
      </c>
      <c r="U772" s="4">
        <v>1929.75</v>
      </c>
      <c r="V772" t="str">
        <f t="shared" ref="V772:V835" si="12">RIGHT(O772,4)</f>
        <v>-005</v>
      </c>
      <c r="W772" t="str">
        <f>VLOOKUP(K772,[1]Info!A$1:B$21,2,0)</f>
        <v>Carregadeira</v>
      </c>
      <c r="X772" t="str">
        <f>IF(M772="109595132","Material de Limpeza-Não Avaliar",IF(AND(K772="F20",M772&lt;&gt;109595132),IF(RIGHT(F772,2)="70","Infraestrutura de Planta","Prédios e Instalações"),IF(K772="FPC",VLOOKUP(F772,[1]Info!$E$2:$F$11,2,0),IF(K772="FGP",VLOOKUP(F772,[1]Info!$E$9:$F$10,2,0),IF(K772="F10",VLOOKUP(F772,[1]Info!$E$2:$F$3,2,0),VLOOKUP(K772,[1]Info!$A$1:$B$21,2,0))))))</f>
        <v>Carregadeira Plantas</v>
      </c>
    </row>
    <row r="773" spans="1:24" x14ac:dyDescent="0.35">
      <c r="A773" t="s">
        <v>41</v>
      </c>
      <c r="B773" t="s">
        <v>73</v>
      </c>
      <c r="C773" t="s">
        <v>74</v>
      </c>
      <c r="D773" t="s">
        <v>93</v>
      </c>
      <c r="E773" t="s">
        <v>56</v>
      </c>
      <c r="F773">
        <v>7098131</v>
      </c>
      <c r="G773" t="s">
        <v>75</v>
      </c>
      <c r="H773" t="s">
        <v>43</v>
      </c>
      <c r="I773" t="s">
        <v>44</v>
      </c>
      <c r="J773" t="s">
        <v>50</v>
      </c>
      <c r="K773" t="s">
        <v>3</v>
      </c>
      <c r="L773" t="s">
        <v>51</v>
      </c>
      <c r="M773" t="s">
        <v>1007</v>
      </c>
      <c r="N773" t="s">
        <v>1008</v>
      </c>
      <c r="O773" t="s">
        <v>1009</v>
      </c>
      <c r="P773" t="s">
        <v>383</v>
      </c>
      <c r="Q773" t="s">
        <v>1002</v>
      </c>
      <c r="R773" t="s">
        <v>1003</v>
      </c>
      <c r="S773" t="s">
        <v>46</v>
      </c>
      <c r="T773" t="s">
        <v>46</v>
      </c>
      <c r="U773" s="4">
        <v>1929.74</v>
      </c>
      <c r="V773" t="str">
        <f t="shared" si="12"/>
        <v>-005</v>
      </c>
      <c r="W773" t="str">
        <f>VLOOKUP(K773,[1]Info!A$1:B$21,2,0)</f>
        <v>Carregadeira</v>
      </c>
      <c r="X773" t="str">
        <f>IF(M773="109595132","Material de Limpeza-Não Avaliar",IF(AND(K773="F20",M773&lt;&gt;109595132),IF(RIGHT(F773,2)="70","Infraestrutura de Planta","Prédios e Instalações"),IF(K773="FPC",VLOOKUP(F773,[1]Info!$E$2:$F$11,2,0),IF(K773="FGP",VLOOKUP(F773,[1]Info!$E$9:$F$10,2,0),IF(K773="F10",VLOOKUP(F773,[1]Info!$E$2:$F$3,2,0),VLOOKUP(K773,[1]Info!$A$1:$B$21,2,0))))))</f>
        <v>Carregadeira Plantas</v>
      </c>
    </row>
    <row r="774" spans="1:24" x14ac:dyDescent="0.35">
      <c r="A774" t="s">
        <v>41</v>
      </c>
      <c r="B774" t="s">
        <v>73</v>
      </c>
      <c r="C774" t="s">
        <v>74</v>
      </c>
      <c r="D774" t="s">
        <v>93</v>
      </c>
      <c r="E774" t="s">
        <v>56</v>
      </c>
      <c r="F774">
        <v>7098131</v>
      </c>
      <c r="G774" t="s">
        <v>75</v>
      </c>
      <c r="H774" t="s">
        <v>43</v>
      </c>
      <c r="I774" t="s">
        <v>44</v>
      </c>
      <c r="J774" t="s">
        <v>50</v>
      </c>
      <c r="K774" t="s">
        <v>3</v>
      </c>
      <c r="L774" t="s">
        <v>51</v>
      </c>
      <c r="M774" t="s">
        <v>1010</v>
      </c>
      <c r="N774" t="s">
        <v>1011</v>
      </c>
      <c r="O774" t="s">
        <v>1012</v>
      </c>
      <c r="P774" t="s">
        <v>383</v>
      </c>
      <c r="Q774" t="s">
        <v>325</v>
      </c>
      <c r="R774" t="s">
        <v>326</v>
      </c>
      <c r="S774" t="s">
        <v>46</v>
      </c>
      <c r="T774" t="s">
        <v>46</v>
      </c>
      <c r="U774" s="4">
        <v>2113.54</v>
      </c>
      <c r="V774" t="str">
        <f t="shared" si="12"/>
        <v>-005</v>
      </c>
      <c r="W774" t="str">
        <f>VLOOKUP(K774,[1]Info!A$1:B$21,2,0)</f>
        <v>Carregadeira</v>
      </c>
      <c r="X774" t="str">
        <f>IF(M774="109595132","Material de Limpeza-Não Avaliar",IF(AND(K774="F20",M774&lt;&gt;109595132),IF(RIGHT(F774,2)="70","Infraestrutura de Planta","Prédios e Instalações"),IF(K774="FPC",VLOOKUP(F774,[1]Info!$E$2:$F$11,2,0),IF(K774="FGP",VLOOKUP(F774,[1]Info!$E$9:$F$10,2,0),IF(K774="F10",VLOOKUP(F774,[1]Info!$E$2:$F$3,2,0),VLOOKUP(K774,[1]Info!$A$1:$B$21,2,0))))))</f>
        <v>Carregadeira Plantas</v>
      </c>
    </row>
    <row r="775" spans="1:24" x14ac:dyDescent="0.35">
      <c r="A775" t="s">
        <v>41</v>
      </c>
      <c r="B775" t="s">
        <v>73</v>
      </c>
      <c r="C775" t="s">
        <v>74</v>
      </c>
      <c r="D775" t="s">
        <v>93</v>
      </c>
      <c r="E775" t="s">
        <v>56</v>
      </c>
      <c r="F775">
        <v>7098131</v>
      </c>
      <c r="G775" t="s">
        <v>75</v>
      </c>
      <c r="H775" t="s">
        <v>43</v>
      </c>
      <c r="I775" t="s">
        <v>44</v>
      </c>
      <c r="J775" t="s">
        <v>50</v>
      </c>
      <c r="K775" t="s">
        <v>3</v>
      </c>
      <c r="L775" t="s">
        <v>51</v>
      </c>
      <c r="M775" t="s">
        <v>1013</v>
      </c>
      <c r="N775" t="s">
        <v>1014</v>
      </c>
      <c r="O775" t="s">
        <v>1015</v>
      </c>
      <c r="P775" t="s">
        <v>383</v>
      </c>
      <c r="Q775" t="s">
        <v>1016</v>
      </c>
      <c r="R775" t="s">
        <v>1017</v>
      </c>
      <c r="S775" t="s">
        <v>46</v>
      </c>
      <c r="T775" t="s">
        <v>46</v>
      </c>
      <c r="U775" s="4">
        <v>3011.76</v>
      </c>
      <c r="V775" t="str">
        <f t="shared" si="12"/>
        <v>-C01</v>
      </c>
      <c r="W775" t="str">
        <f>VLOOKUP(K775,[1]Info!A$1:B$21,2,0)</f>
        <v>Carregadeira</v>
      </c>
      <c r="X775" t="str">
        <f>IF(M775="109595132","Material de Limpeza-Não Avaliar",IF(AND(K775="F20",M775&lt;&gt;109595132),IF(RIGHT(F775,2)="70","Infraestrutura de Planta","Prédios e Instalações"),IF(K775="FPC",VLOOKUP(F775,[1]Info!$E$2:$F$11,2,0),IF(K775="FGP",VLOOKUP(F775,[1]Info!$E$9:$F$10,2,0),IF(K775="F10",VLOOKUP(F775,[1]Info!$E$2:$F$3,2,0),VLOOKUP(K775,[1]Info!$A$1:$B$21,2,0))))))</f>
        <v>Carregadeira Plantas</v>
      </c>
    </row>
    <row r="776" spans="1:24" x14ac:dyDescent="0.35">
      <c r="A776" t="s">
        <v>41</v>
      </c>
      <c r="B776" t="s">
        <v>73</v>
      </c>
      <c r="C776" t="s">
        <v>74</v>
      </c>
      <c r="D776" t="s">
        <v>93</v>
      </c>
      <c r="E776" t="s">
        <v>56</v>
      </c>
      <c r="F776">
        <v>7098131</v>
      </c>
      <c r="G776" t="s">
        <v>75</v>
      </c>
      <c r="H776" t="s">
        <v>43</v>
      </c>
      <c r="I776" t="s">
        <v>44</v>
      </c>
      <c r="J776" t="s">
        <v>50</v>
      </c>
      <c r="K776" t="s">
        <v>3</v>
      </c>
      <c r="L776" t="s">
        <v>51</v>
      </c>
      <c r="M776" t="s">
        <v>1018</v>
      </c>
      <c r="N776" t="s">
        <v>1019</v>
      </c>
      <c r="O776" t="s">
        <v>945</v>
      </c>
      <c r="P776" t="s">
        <v>383</v>
      </c>
      <c r="Q776" t="s">
        <v>1020</v>
      </c>
      <c r="R776" t="s">
        <v>1021</v>
      </c>
      <c r="S776" t="s">
        <v>46</v>
      </c>
      <c r="T776" t="s">
        <v>46</v>
      </c>
      <c r="U776" s="4">
        <v>20303.13</v>
      </c>
      <c r="V776" t="str">
        <f t="shared" si="12"/>
        <v>C035</v>
      </c>
      <c r="W776" t="str">
        <f>VLOOKUP(K776,[1]Info!A$1:B$21,2,0)</f>
        <v>Carregadeira</v>
      </c>
      <c r="X776" t="str">
        <f>IF(M776="109595132","Material de Limpeza-Não Avaliar",IF(AND(K776="F20",M776&lt;&gt;109595132),IF(RIGHT(F776,2)="70","Infraestrutura de Planta","Prédios e Instalações"),IF(K776="FPC",VLOOKUP(F776,[1]Info!$E$2:$F$11,2,0),IF(K776="FGP",VLOOKUP(F776,[1]Info!$E$9:$F$10,2,0),IF(K776="F10",VLOOKUP(F776,[1]Info!$E$2:$F$3,2,0),VLOOKUP(K776,[1]Info!$A$1:$B$21,2,0))))))</f>
        <v>Carregadeira Plantas</v>
      </c>
    </row>
    <row r="777" spans="1:24" x14ac:dyDescent="0.35">
      <c r="A777" t="s">
        <v>41</v>
      </c>
      <c r="B777" t="s">
        <v>73</v>
      </c>
      <c r="C777" t="s">
        <v>74</v>
      </c>
      <c r="D777" t="s">
        <v>93</v>
      </c>
      <c r="E777" t="s">
        <v>56</v>
      </c>
      <c r="F777">
        <v>7098131</v>
      </c>
      <c r="G777" t="s">
        <v>75</v>
      </c>
      <c r="H777" t="s">
        <v>43</v>
      </c>
      <c r="I777" t="s">
        <v>44</v>
      </c>
      <c r="J777" t="s">
        <v>50</v>
      </c>
      <c r="K777" t="s">
        <v>411</v>
      </c>
      <c r="L777" t="s">
        <v>51</v>
      </c>
      <c r="M777" t="s">
        <v>1022</v>
      </c>
      <c r="N777" t="s">
        <v>1023</v>
      </c>
      <c r="O777" t="s">
        <v>886</v>
      </c>
      <c r="P777" t="s">
        <v>383</v>
      </c>
      <c r="Q777" t="s">
        <v>334</v>
      </c>
      <c r="R777" t="s">
        <v>335</v>
      </c>
      <c r="S777" t="s">
        <v>46</v>
      </c>
      <c r="T777" t="s">
        <v>46</v>
      </c>
      <c r="U777" s="4">
        <v>1690.7</v>
      </c>
      <c r="V777" t="str">
        <f t="shared" si="12"/>
        <v>TP30</v>
      </c>
      <c r="W777" t="str">
        <f>VLOOKUP(K777,[1]Info!A$1:B$21,2,0)</f>
        <v>Caminhão Pipa</v>
      </c>
      <c r="X777" t="str">
        <f>IF(M777="109595132","Material de Limpeza-Não Avaliar",IF(AND(K777="F20",M777&lt;&gt;109595132),IF(RIGHT(F777,2)="70","Infraestrutura de Planta","Prédios e Instalações"),IF(K777="FPC",VLOOKUP(F777,[1]Info!$E$2:$F$11,2,0),IF(K777="FGP",VLOOKUP(F777,[1]Info!$E$9:$F$10,2,0),IF(K777="F10",VLOOKUP(F777,[1]Info!$E$2:$F$3,2,0),VLOOKUP(K777,[1]Info!$A$1:$B$21,2,0))))))</f>
        <v>Caminhão Pipa</v>
      </c>
    </row>
    <row r="778" spans="1:24" x14ac:dyDescent="0.35">
      <c r="A778" t="s">
        <v>41</v>
      </c>
      <c r="B778" t="s">
        <v>73</v>
      </c>
      <c r="C778" t="s">
        <v>74</v>
      </c>
      <c r="D778" t="s">
        <v>93</v>
      </c>
      <c r="E778" t="s">
        <v>56</v>
      </c>
      <c r="F778">
        <v>7094570</v>
      </c>
      <c r="G778" t="s">
        <v>225</v>
      </c>
      <c r="H778" t="s">
        <v>43</v>
      </c>
      <c r="I778" t="s">
        <v>44</v>
      </c>
      <c r="J778" t="s">
        <v>226</v>
      </c>
      <c r="K778" t="s">
        <v>7</v>
      </c>
      <c r="L778" t="s">
        <v>148</v>
      </c>
      <c r="M778" t="s">
        <v>1024</v>
      </c>
      <c r="N778" t="s">
        <v>1025</v>
      </c>
      <c r="O778" t="s">
        <v>237</v>
      </c>
      <c r="P778" t="s">
        <v>383</v>
      </c>
      <c r="Q778" t="s">
        <v>1026</v>
      </c>
      <c r="R778" t="s">
        <v>1027</v>
      </c>
      <c r="S778" t="s">
        <v>46</v>
      </c>
      <c r="T778" t="s">
        <v>46</v>
      </c>
      <c r="U778" s="4">
        <v>734.36</v>
      </c>
      <c r="V778" t="str">
        <f t="shared" si="12"/>
        <v>FR39</v>
      </c>
      <c r="W778" t="str">
        <f>VLOOKUP(K778,[1]Info!A$1:B$21,2,0)</f>
        <v>Fornos Retangulares - Engenharia e Obras</v>
      </c>
      <c r="X778" t="str">
        <f>IF(M778="109595132","Material de Limpeza-Não Avaliar",IF(AND(K778="F20",M778&lt;&gt;109595132),IF(RIGHT(F778,2)="70","Infraestrutura de Planta","Prédios e Instalações"),IF(K778="FPC",VLOOKUP(F778,[1]Info!$E$2:$F$11,2,0),IF(K778="FGP",VLOOKUP(F778,[1]Info!$E$9:$F$10,2,0),IF(K778="F10",VLOOKUP(F778,[1]Info!$E$2:$F$3,2,0),VLOOKUP(K778,[1]Info!$A$1:$B$21,2,0))))))</f>
        <v>Fornos Retangulares - Engenharia e Obras</v>
      </c>
    </row>
    <row r="779" spans="1:24" x14ac:dyDescent="0.35">
      <c r="A779" t="s">
        <v>41</v>
      </c>
      <c r="B779" t="s">
        <v>73</v>
      </c>
      <c r="C779" t="s">
        <v>74</v>
      </c>
      <c r="D779" t="s">
        <v>93</v>
      </c>
      <c r="E779" t="s">
        <v>56</v>
      </c>
      <c r="F779">
        <v>7094570</v>
      </c>
      <c r="G779" t="s">
        <v>225</v>
      </c>
      <c r="H779" t="s">
        <v>43</v>
      </c>
      <c r="I779" t="s">
        <v>44</v>
      </c>
      <c r="J779" t="s">
        <v>226</v>
      </c>
      <c r="K779" t="s">
        <v>7</v>
      </c>
      <c r="L779" t="s">
        <v>148</v>
      </c>
      <c r="M779" t="s">
        <v>1024</v>
      </c>
      <c r="N779" t="s">
        <v>1025</v>
      </c>
      <c r="O779" t="s">
        <v>237</v>
      </c>
      <c r="P779" t="s">
        <v>383</v>
      </c>
      <c r="Q779" t="s">
        <v>1028</v>
      </c>
      <c r="R779" t="s">
        <v>1029</v>
      </c>
      <c r="S779" t="s">
        <v>46</v>
      </c>
      <c r="T779" t="s">
        <v>46</v>
      </c>
      <c r="U779" s="4">
        <v>1520</v>
      </c>
      <c r="V779" t="str">
        <f t="shared" si="12"/>
        <v>FR39</v>
      </c>
      <c r="W779" t="str">
        <f>VLOOKUP(K779,[1]Info!A$1:B$21,2,0)</f>
        <v>Fornos Retangulares - Engenharia e Obras</v>
      </c>
      <c r="X779" t="str">
        <f>IF(M779="109595132","Material de Limpeza-Não Avaliar",IF(AND(K779="F20",M779&lt;&gt;109595132),IF(RIGHT(F779,2)="70","Infraestrutura de Planta","Prédios e Instalações"),IF(K779="FPC",VLOOKUP(F779,[1]Info!$E$2:$F$11,2,0),IF(K779="FGP",VLOOKUP(F779,[1]Info!$E$9:$F$10,2,0),IF(K779="F10",VLOOKUP(F779,[1]Info!$E$2:$F$3,2,0),VLOOKUP(K779,[1]Info!$A$1:$B$21,2,0))))))</f>
        <v>Fornos Retangulares - Engenharia e Obras</v>
      </c>
    </row>
    <row r="780" spans="1:24" x14ac:dyDescent="0.35">
      <c r="A780" t="s">
        <v>41</v>
      </c>
      <c r="B780" t="s">
        <v>73</v>
      </c>
      <c r="C780" t="s">
        <v>74</v>
      </c>
      <c r="D780" t="s">
        <v>93</v>
      </c>
      <c r="E780" t="s">
        <v>56</v>
      </c>
      <c r="F780">
        <v>7094570</v>
      </c>
      <c r="G780" t="s">
        <v>225</v>
      </c>
      <c r="H780" t="s">
        <v>43</v>
      </c>
      <c r="I780" t="s">
        <v>44</v>
      </c>
      <c r="J780" t="s">
        <v>226</v>
      </c>
      <c r="K780" t="s">
        <v>7</v>
      </c>
      <c r="L780" t="s">
        <v>148</v>
      </c>
      <c r="M780" t="s">
        <v>1030</v>
      </c>
      <c r="N780" t="s">
        <v>1031</v>
      </c>
      <c r="O780" t="s">
        <v>237</v>
      </c>
      <c r="P780" t="s">
        <v>383</v>
      </c>
      <c r="Q780" t="s">
        <v>1026</v>
      </c>
      <c r="R780" t="s">
        <v>1027</v>
      </c>
      <c r="S780" t="s">
        <v>46</v>
      </c>
      <c r="T780" t="s">
        <v>46</v>
      </c>
      <c r="U780" s="4">
        <v>979.14</v>
      </c>
      <c r="V780" t="str">
        <f t="shared" si="12"/>
        <v>FR39</v>
      </c>
      <c r="W780" t="str">
        <f>VLOOKUP(K780,[1]Info!A$1:B$21,2,0)</f>
        <v>Fornos Retangulares - Engenharia e Obras</v>
      </c>
      <c r="X780" t="str">
        <f>IF(M780="109595132","Material de Limpeza-Não Avaliar",IF(AND(K780="F20",M780&lt;&gt;109595132),IF(RIGHT(F780,2)="70","Infraestrutura de Planta","Prédios e Instalações"),IF(K780="FPC",VLOOKUP(F780,[1]Info!$E$2:$F$11,2,0),IF(K780="FGP",VLOOKUP(F780,[1]Info!$E$9:$F$10,2,0),IF(K780="F10",VLOOKUP(F780,[1]Info!$E$2:$F$3,2,0),VLOOKUP(K780,[1]Info!$A$1:$B$21,2,0))))))</f>
        <v>Fornos Retangulares - Engenharia e Obras</v>
      </c>
    </row>
    <row r="781" spans="1:24" x14ac:dyDescent="0.35">
      <c r="A781" t="s">
        <v>41</v>
      </c>
      <c r="B781" t="s">
        <v>73</v>
      </c>
      <c r="C781" t="s">
        <v>74</v>
      </c>
      <c r="D781" t="s">
        <v>93</v>
      </c>
      <c r="E781" t="s">
        <v>56</v>
      </c>
      <c r="F781">
        <v>7094570</v>
      </c>
      <c r="G781" t="s">
        <v>225</v>
      </c>
      <c r="H781" t="s">
        <v>43</v>
      </c>
      <c r="I781" t="s">
        <v>44</v>
      </c>
      <c r="J781" t="s">
        <v>226</v>
      </c>
      <c r="K781" t="s">
        <v>7</v>
      </c>
      <c r="L781" t="s">
        <v>148</v>
      </c>
      <c r="M781" t="s">
        <v>1030</v>
      </c>
      <c r="N781" t="s">
        <v>1031</v>
      </c>
      <c r="O781" t="s">
        <v>237</v>
      </c>
      <c r="P781" t="s">
        <v>383</v>
      </c>
      <c r="Q781" t="s">
        <v>1028</v>
      </c>
      <c r="R781" t="s">
        <v>1029</v>
      </c>
      <c r="S781" t="s">
        <v>46</v>
      </c>
      <c r="T781" t="s">
        <v>46</v>
      </c>
      <c r="U781" s="4">
        <v>3040</v>
      </c>
      <c r="V781" t="str">
        <f t="shared" si="12"/>
        <v>FR39</v>
      </c>
      <c r="W781" t="str">
        <f>VLOOKUP(K781,[1]Info!A$1:B$21,2,0)</f>
        <v>Fornos Retangulares - Engenharia e Obras</v>
      </c>
      <c r="X781" t="str">
        <f>IF(M781="109595132","Material de Limpeza-Não Avaliar",IF(AND(K781="F20",M781&lt;&gt;109595132),IF(RIGHT(F781,2)="70","Infraestrutura de Planta","Prédios e Instalações"),IF(K781="FPC",VLOOKUP(F781,[1]Info!$E$2:$F$11,2,0),IF(K781="FGP",VLOOKUP(F781,[1]Info!$E$9:$F$10,2,0),IF(K781="F10",VLOOKUP(F781,[1]Info!$E$2:$F$3,2,0),VLOOKUP(K781,[1]Info!$A$1:$B$21,2,0))))))</f>
        <v>Fornos Retangulares - Engenharia e Obras</v>
      </c>
    </row>
    <row r="782" spans="1:24" x14ac:dyDescent="0.35">
      <c r="A782" t="s">
        <v>41</v>
      </c>
      <c r="B782" t="s">
        <v>73</v>
      </c>
      <c r="C782" t="s">
        <v>74</v>
      </c>
      <c r="D782" t="s">
        <v>93</v>
      </c>
      <c r="E782" t="s">
        <v>56</v>
      </c>
      <c r="F782">
        <v>7093370</v>
      </c>
      <c r="G782" t="s">
        <v>151</v>
      </c>
      <c r="H782" t="s">
        <v>43</v>
      </c>
      <c r="I782" t="s">
        <v>44</v>
      </c>
      <c r="J782" t="s">
        <v>152</v>
      </c>
      <c r="K782" t="s">
        <v>7</v>
      </c>
      <c r="L782" t="s">
        <v>148</v>
      </c>
      <c r="M782" t="s">
        <v>1032</v>
      </c>
      <c r="N782" t="s">
        <v>1033</v>
      </c>
      <c r="O782" t="s">
        <v>153</v>
      </c>
      <c r="P782" t="s">
        <v>383</v>
      </c>
      <c r="Q782" t="s">
        <v>1026</v>
      </c>
      <c r="R782" t="s">
        <v>1027</v>
      </c>
      <c r="S782" t="s">
        <v>46</v>
      </c>
      <c r="T782" t="s">
        <v>46</v>
      </c>
      <c r="U782" s="4">
        <v>1958.28</v>
      </c>
      <c r="V782" t="str">
        <f t="shared" si="12"/>
        <v>FR19</v>
      </c>
      <c r="W782" t="str">
        <f>VLOOKUP(K782,[1]Info!A$1:B$21,2,0)</f>
        <v>Fornos Retangulares - Engenharia e Obras</v>
      </c>
      <c r="X782" t="str">
        <f>IF(M782="109595132","Material de Limpeza-Não Avaliar",IF(AND(K782="F20",M782&lt;&gt;109595132),IF(RIGHT(F782,2)="70","Infraestrutura de Planta","Prédios e Instalações"),IF(K782="FPC",VLOOKUP(F782,[1]Info!$E$2:$F$11,2,0),IF(K782="FGP",VLOOKUP(F782,[1]Info!$E$9:$F$10,2,0),IF(K782="F10",VLOOKUP(F782,[1]Info!$E$2:$F$3,2,0),VLOOKUP(K782,[1]Info!$A$1:$B$21,2,0))))))</f>
        <v>Fornos Retangulares - Engenharia e Obras</v>
      </c>
    </row>
    <row r="783" spans="1:24" x14ac:dyDescent="0.35">
      <c r="A783" t="s">
        <v>41</v>
      </c>
      <c r="B783" t="s">
        <v>73</v>
      </c>
      <c r="C783" t="s">
        <v>74</v>
      </c>
      <c r="D783" t="s">
        <v>93</v>
      </c>
      <c r="E783" t="s">
        <v>56</v>
      </c>
      <c r="F783">
        <v>7093370</v>
      </c>
      <c r="G783" t="s">
        <v>151</v>
      </c>
      <c r="H783" t="s">
        <v>43</v>
      </c>
      <c r="I783" t="s">
        <v>44</v>
      </c>
      <c r="J783" t="s">
        <v>152</v>
      </c>
      <c r="K783" t="s">
        <v>7</v>
      </c>
      <c r="L783" t="s">
        <v>148</v>
      </c>
      <c r="M783" t="s">
        <v>1032</v>
      </c>
      <c r="N783" t="s">
        <v>1033</v>
      </c>
      <c r="O783" t="s">
        <v>153</v>
      </c>
      <c r="P783" t="s">
        <v>383</v>
      </c>
      <c r="Q783" t="s">
        <v>1028</v>
      </c>
      <c r="R783" t="s">
        <v>1029</v>
      </c>
      <c r="S783" t="s">
        <v>46</v>
      </c>
      <c r="T783" t="s">
        <v>46</v>
      </c>
      <c r="U783" s="4">
        <v>4560</v>
      </c>
      <c r="V783" t="str">
        <f t="shared" si="12"/>
        <v>FR19</v>
      </c>
      <c r="W783" t="str">
        <f>VLOOKUP(K783,[1]Info!A$1:B$21,2,0)</f>
        <v>Fornos Retangulares - Engenharia e Obras</v>
      </c>
      <c r="X783" t="str">
        <f>IF(M783="109595132","Material de Limpeza-Não Avaliar",IF(AND(K783="F20",M783&lt;&gt;109595132),IF(RIGHT(F783,2)="70","Infraestrutura de Planta","Prédios e Instalações"),IF(K783="FPC",VLOOKUP(F783,[1]Info!$E$2:$F$11,2,0),IF(K783="FGP",VLOOKUP(F783,[1]Info!$E$9:$F$10,2,0),IF(K783="F10",VLOOKUP(F783,[1]Info!$E$2:$F$3,2,0),VLOOKUP(K783,[1]Info!$A$1:$B$21,2,0))))))</f>
        <v>Fornos Retangulares - Engenharia e Obras</v>
      </c>
    </row>
    <row r="784" spans="1:24" x14ac:dyDescent="0.35">
      <c r="A784" t="s">
        <v>41</v>
      </c>
      <c r="B784" t="s">
        <v>73</v>
      </c>
      <c r="C784" t="s">
        <v>74</v>
      </c>
      <c r="D784" t="s">
        <v>93</v>
      </c>
      <c r="E784" t="s">
        <v>56</v>
      </c>
      <c r="F784">
        <v>7093370</v>
      </c>
      <c r="G784" t="s">
        <v>151</v>
      </c>
      <c r="H784" t="s">
        <v>43</v>
      </c>
      <c r="I784" t="s">
        <v>44</v>
      </c>
      <c r="J784" t="s">
        <v>152</v>
      </c>
      <c r="K784" t="s">
        <v>7</v>
      </c>
      <c r="L784" t="s">
        <v>148</v>
      </c>
      <c r="M784" t="s">
        <v>1034</v>
      </c>
      <c r="N784" t="s">
        <v>1035</v>
      </c>
      <c r="O784" t="s">
        <v>153</v>
      </c>
      <c r="P784" t="s">
        <v>383</v>
      </c>
      <c r="Q784" t="s">
        <v>1026</v>
      </c>
      <c r="R784" t="s">
        <v>1027</v>
      </c>
      <c r="S784" t="s">
        <v>46</v>
      </c>
      <c r="T784" t="s">
        <v>46</v>
      </c>
      <c r="U784" s="4">
        <v>489.57</v>
      </c>
      <c r="V784" t="str">
        <f t="shared" si="12"/>
        <v>FR19</v>
      </c>
      <c r="W784" t="str">
        <f>VLOOKUP(K784,[1]Info!A$1:B$21,2,0)</f>
        <v>Fornos Retangulares - Engenharia e Obras</v>
      </c>
      <c r="X784" t="str">
        <f>IF(M784="109595132","Material de Limpeza-Não Avaliar",IF(AND(K784="F20",M784&lt;&gt;109595132),IF(RIGHT(F784,2)="70","Infraestrutura de Planta","Prédios e Instalações"),IF(K784="FPC",VLOOKUP(F784,[1]Info!$E$2:$F$11,2,0),IF(K784="FGP",VLOOKUP(F784,[1]Info!$E$9:$F$10,2,0),IF(K784="F10",VLOOKUP(F784,[1]Info!$E$2:$F$3,2,0),VLOOKUP(K784,[1]Info!$A$1:$B$21,2,0))))))</f>
        <v>Fornos Retangulares - Engenharia e Obras</v>
      </c>
    </row>
    <row r="785" spans="1:24" x14ac:dyDescent="0.35">
      <c r="A785" t="s">
        <v>41</v>
      </c>
      <c r="B785" t="s">
        <v>73</v>
      </c>
      <c r="C785" t="s">
        <v>74</v>
      </c>
      <c r="D785" t="s">
        <v>93</v>
      </c>
      <c r="E785" t="s">
        <v>56</v>
      </c>
      <c r="F785">
        <v>7093370</v>
      </c>
      <c r="G785" t="s">
        <v>151</v>
      </c>
      <c r="H785" t="s">
        <v>43</v>
      </c>
      <c r="I785" t="s">
        <v>44</v>
      </c>
      <c r="J785" t="s">
        <v>152</v>
      </c>
      <c r="K785" t="s">
        <v>7</v>
      </c>
      <c r="L785" t="s">
        <v>148</v>
      </c>
      <c r="M785" t="s">
        <v>1034</v>
      </c>
      <c r="N785" t="s">
        <v>1035</v>
      </c>
      <c r="O785" t="s">
        <v>153</v>
      </c>
      <c r="P785" t="s">
        <v>383</v>
      </c>
      <c r="Q785" t="s">
        <v>1028</v>
      </c>
      <c r="R785" t="s">
        <v>1029</v>
      </c>
      <c r="S785" t="s">
        <v>46</v>
      </c>
      <c r="T785" t="s">
        <v>46</v>
      </c>
      <c r="U785" s="4">
        <v>1520</v>
      </c>
      <c r="V785" t="str">
        <f t="shared" si="12"/>
        <v>FR19</v>
      </c>
      <c r="W785" t="str">
        <f>VLOOKUP(K785,[1]Info!A$1:B$21,2,0)</f>
        <v>Fornos Retangulares - Engenharia e Obras</v>
      </c>
      <c r="X785" t="str">
        <f>IF(M785="109595132","Material de Limpeza-Não Avaliar",IF(AND(K785="F20",M785&lt;&gt;109595132),IF(RIGHT(F785,2)="70","Infraestrutura de Planta","Prédios e Instalações"),IF(K785="FPC",VLOOKUP(F785,[1]Info!$E$2:$F$11,2,0),IF(K785="FGP",VLOOKUP(F785,[1]Info!$E$9:$F$10,2,0),IF(K785="F10",VLOOKUP(F785,[1]Info!$E$2:$F$3,2,0),VLOOKUP(K785,[1]Info!$A$1:$B$21,2,0))))))</f>
        <v>Fornos Retangulares - Engenharia e Obras</v>
      </c>
    </row>
    <row r="786" spans="1:24" x14ac:dyDescent="0.35">
      <c r="A786" t="s">
        <v>41</v>
      </c>
      <c r="B786" t="s">
        <v>73</v>
      </c>
      <c r="C786" t="s">
        <v>74</v>
      </c>
      <c r="D786" t="s">
        <v>93</v>
      </c>
      <c r="E786" t="s">
        <v>56</v>
      </c>
      <c r="F786">
        <v>7092370</v>
      </c>
      <c r="G786" t="s">
        <v>292</v>
      </c>
      <c r="H786" t="s">
        <v>43</v>
      </c>
      <c r="I786" t="s">
        <v>44</v>
      </c>
      <c r="J786" t="s">
        <v>208</v>
      </c>
      <c r="K786" t="s">
        <v>7</v>
      </c>
      <c r="L786" t="s">
        <v>148</v>
      </c>
      <c r="M786" t="s">
        <v>1036</v>
      </c>
      <c r="N786" t="s">
        <v>1037</v>
      </c>
      <c r="O786" t="s">
        <v>293</v>
      </c>
      <c r="P786" t="s">
        <v>383</v>
      </c>
      <c r="Q786" t="s">
        <v>1026</v>
      </c>
      <c r="R786" t="s">
        <v>1027</v>
      </c>
      <c r="S786" t="s">
        <v>46</v>
      </c>
      <c r="T786" t="s">
        <v>46</v>
      </c>
      <c r="U786" s="4">
        <v>1958.28</v>
      </c>
      <c r="V786" t="str">
        <f t="shared" si="12"/>
        <v>FR19</v>
      </c>
      <c r="W786" t="str">
        <f>VLOOKUP(K786,[1]Info!A$1:B$21,2,0)</f>
        <v>Fornos Retangulares - Engenharia e Obras</v>
      </c>
      <c r="X786" t="str">
        <f>IF(M786="109595132","Material de Limpeza-Não Avaliar",IF(AND(K786="F20",M786&lt;&gt;109595132),IF(RIGHT(F786,2)="70","Infraestrutura de Planta","Prédios e Instalações"),IF(K786="FPC",VLOOKUP(F786,[1]Info!$E$2:$F$11,2,0),IF(K786="FGP",VLOOKUP(F786,[1]Info!$E$9:$F$10,2,0),IF(K786="F10",VLOOKUP(F786,[1]Info!$E$2:$F$3,2,0),VLOOKUP(K786,[1]Info!$A$1:$B$21,2,0))))))</f>
        <v>Fornos Retangulares - Engenharia e Obras</v>
      </c>
    </row>
    <row r="787" spans="1:24" x14ac:dyDescent="0.35">
      <c r="A787" t="s">
        <v>41</v>
      </c>
      <c r="B787" t="s">
        <v>73</v>
      </c>
      <c r="C787" t="s">
        <v>74</v>
      </c>
      <c r="D787" t="s">
        <v>93</v>
      </c>
      <c r="E787" t="s">
        <v>56</v>
      </c>
      <c r="F787">
        <v>7092370</v>
      </c>
      <c r="G787" t="s">
        <v>292</v>
      </c>
      <c r="H787" t="s">
        <v>43</v>
      </c>
      <c r="I787" t="s">
        <v>44</v>
      </c>
      <c r="J787" t="s">
        <v>208</v>
      </c>
      <c r="K787" t="s">
        <v>7</v>
      </c>
      <c r="L787" t="s">
        <v>148</v>
      </c>
      <c r="M787" t="s">
        <v>1036</v>
      </c>
      <c r="N787" t="s">
        <v>1037</v>
      </c>
      <c r="O787" t="s">
        <v>293</v>
      </c>
      <c r="P787" t="s">
        <v>383</v>
      </c>
      <c r="Q787" t="s">
        <v>1028</v>
      </c>
      <c r="R787" t="s">
        <v>1029</v>
      </c>
      <c r="S787" t="s">
        <v>46</v>
      </c>
      <c r="T787" t="s">
        <v>46</v>
      </c>
      <c r="U787" s="4">
        <v>6080</v>
      </c>
      <c r="V787" t="str">
        <f t="shared" si="12"/>
        <v>FR19</v>
      </c>
      <c r="W787" t="str">
        <f>VLOOKUP(K787,[1]Info!A$1:B$21,2,0)</f>
        <v>Fornos Retangulares - Engenharia e Obras</v>
      </c>
      <c r="X787" t="str">
        <f>IF(M787="109595132","Material de Limpeza-Não Avaliar",IF(AND(K787="F20",M787&lt;&gt;109595132),IF(RIGHT(F787,2)="70","Infraestrutura de Planta","Prédios e Instalações"),IF(K787="FPC",VLOOKUP(F787,[1]Info!$E$2:$F$11,2,0),IF(K787="FGP",VLOOKUP(F787,[1]Info!$E$9:$F$10,2,0),IF(K787="F10",VLOOKUP(F787,[1]Info!$E$2:$F$3,2,0),VLOOKUP(K787,[1]Info!$A$1:$B$21,2,0))))))</f>
        <v>Fornos Retangulares - Engenharia e Obras</v>
      </c>
    </row>
    <row r="788" spans="1:24" x14ac:dyDescent="0.35">
      <c r="A788" t="s">
        <v>41</v>
      </c>
      <c r="B788" t="s">
        <v>73</v>
      </c>
      <c r="C788" t="s">
        <v>74</v>
      </c>
      <c r="D788" t="s">
        <v>93</v>
      </c>
      <c r="E788" t="s">
        <v>56</v>
      </c>
      <c r="F788">
        <v>7091870</v>
      </c>
      <c r="G788" t="s">
        <v>162</v>
      </c>
      <c r="H788" t="s">
        <v>43</v>
      </c>
      <c r="I788" t="s">
        <v>44</v>
      </c>
      <c r="J788" t="s">
        <v>163</v>
      </c>
      <c r="K788" t="s">
        <v>7</v>
      </c>
      <c r="L788" t="s">
        <v>148</v>
      </c>
      <c r="M788" t="s">
        <v>1038</v>
      </c>
      <c r="N788" t="s">
        <v>1039</v>
      </c>
      <c r="O788" t="s">
        <v>238</v>
      </c>
      <c r="P788" t="s">
        <v>383</v>
      </c>
      <c r="Q788" t="s">
        <v>1040</v>
      </c>
      <c r="R788" t="s">
        <v>1041</v>
      </c>
      <c r="S788" t="s">
        <v>46</v>
      </c>
      <c r="T788" t="s">
        <v>46</v>
      </c>
      <c r="U788" s="4">
        <v>1415.7</v>
      </c>
      <c r="V788" t="str">
        <f t="shared" si="12"/>
        <v>FR19</v>
      </c>
      <c r="W788" t="str">
        <f>VLOOKUP(K788,[1]Info!A$1:B$21,2,0)</f>
        <v>Fornos Retangulares - Engenharia e Obras</v>
      </c>
      <c r="X788" t="str">
        <f>IF(M788="109595132","Material de Limpeza-Não Avaliar",IF(AND(K788="F20",M788&lt;&gt;109595132),IF(RIGHT(F788,2)="70","Infraestrutura de Planta","Prédios e Instalações"),IF(K788="FPC",VLOOKUP(F788,[1]Info!$E$2:$F$11,2,0),IF(K788="FGP",VLOOKUP(F788,[1]Info!$E$9:$F$10,2,0),IF(K788="F10",VLOOKUP(F788,[1]Info!$E$2:$F$3,2,0),VLOOKUP(K788,[1]Info!$A$1:$B$21,2,0))))))</f>
        <v>Fornos Retangulares - Engenharia e Obras</v>
      </c>
    </row>
    <row r="789" spans="1:24" x14ac:dyDescent="0.35">
      <c r="A789" t="s">
        <v>41</v>
      </c>
      <c r="B789" t="s">
        <v>73</v>
      </c>
      <c r="C789" t="s">
        <v>74</v>
      </c>
      <c r="D789" t="s">
        <v>93</v>
      </c>
      <c r="E789" t="s">
        <v>56</v>
      </c>
      <c r="F789">
        <v>7091870</v>
      </c>
      <c r="G789" t="s">
        <v>162</v>
      </c>
      <c r="H789" t="s">
        <v>43</v>
      </c>
      <c r="I789" t="s">
        <v>44</v>
      </c>
      <c r="J789" t="s">
        <v>163</v>
      </c>
      <c r="K789" t="s">
        <v>7</v>
      </c>
      <c r="L789" t="s">
        <v>148</v>
      </c>
      <c r="M789" t="s">
        <v>1038</v>
      </c>
      <c r="N789" t="s">
        <v>1039</v>
      </c>
      <c r="O789" t="s">
        <v>238</v>
      </c>
      <c r="P789" t="s">
        <v>383</v>
      </c>
      <c r="Q789" t="s">
        <v>1026</v>
      </c>
      <c r="R789" t="s">
        <v>1027</v>
      </c>
      <c r="S789" t="s">
        <v>46</v>
      </c>
      <c r="T789" t="s">
        <v>46</v>
      </c>
      <c r="U789" s="4">
        <v>1958.28</v>
      </c>
      <c r="V789" t="str">
        <f t="shared" si="12"/>
        <v>FR19</v>
      </c>
      <c r="W789" t="str">
        <f>VLOOKUP(K789,[1]Info!A$1:B$21,2,0)</f>
        <v>Fornos Retangulares - Engenharia e Obras</v>
      </c>
      <c r="X789" t="str">
        <f>IF(M789="109595132","Material de Limpeza-Não Avaliar",IF(AND(K789="F20",M789&lt;&gt;109595132),IF(RIGHT(F789,2)="70","Infraestrutura de Planta","Prédios e Instalações"),IF(K789="FPC",VLOOKUP(F789,[1]Info!$E$2:$F$11,2,0),IF(K789="FGP",VLOOKUP(F789,[1]Info!$E$9:$F$10,2,0),IF(K789="F10",VLOOKUP(F789,[1]Info!$E$2:$F$3,2,0),VLOOKUP(K789,[1]Info!$A$1:$B$21,2,0))))))</f>
        <v>Fornos Retangulares - Engenharia e Obras</v>
      </c>
    </row>
    <row r="790" spans="1:24" x14ac:dyDescent="0.35">
      <c r="A790" t="s">
        <v>41</v>
      </c>
      <c r="B790" t="s">
        <v>73</v>
      </c>
      <c r="C790" t="s">
        <v>74</v>
      </c>
      <c r="D790" t="s">
        <v>93</v>
      </c>
      <c r="E790" t="s">
        <v>56</v>
      </c>
      <c r="F790">
        <v>7091870</v>
      </c>
      <c r="G790" t="s">
        <v>162</v>
      </c>
      <c r="H790" t="s">
        <v>43</v>
      </c>
      <c r="I790" t="s">
        <v>44</v>
      </c>
      <c r="J790" t="s">
        <v>163</v>
      </c>
      <c r="K790" t="s">
        <v>7</v>
      </c>
      <c r="L790" t="s">
        <v>148</v>
      </c>
      <c r="M790" t="s">
        <v>1038</v>
      </c>
      <c r="N790" t="s">
        <v>1039</v>
      </c>
      <c r="O790" t="s">
        <v>238</v>
      </c>
      <c r="P790" t="s">
        <v>383</v>
      </c>
      <c r="Q790" t="s">
        <v>1028</v>
      </c>
      <c r="R790" t="s">
        <v>1029</v>
      </c>
      <c r="S790" t="s">
        <v>46</v>
      </c>
      <c r="T790" t="s">
        <v>46</v>
      </c>
      <c r="U790" s="4">
        <v>7220</v>
      </c>
      <c r="V790" t="str">
        <f t="shared" si="12"/>
        <v>FR19</v>
      </c>
      <c r="W790" t="str">
        <f>VLOOKUP(K790,[1]Info!A$1:B$21,2,0)</f>
        <v>Fornos Retangulares - Engenharia e Obras</v>
      </c>
      <c r="X790" t="str">
        <f>IF(M790="109595132","Material de Limpeza-Não Avaliar",IF(AND(K790="F20",M790&lt;&gt;109595132),IF(RIGHT(F790,2)="70","Infraestrutura de Planta","Prédios e Instalações"),IF(K790="FPC",VLOOKUP(F790,[1]Info!$E$2:$F$11,2,0),IF(K790="FGP",VLOOKUP(F790,[1]Info!$E$9:$F$10,2,0),IF(K790="F10",VLOOKUP(F790,[1]Info!$E$2:$F$3,2,0),VLOOKUP(K790,[1]Info!$A$1:$B$21,2,0))))))</f>
        <v>Fornos Retangulares - Engenharia e Obras</v>
      </c>
    </row>
    <row r="791" spans="1:24" x14ac:dyDescent="0.35">
      <c r="A791" t="s">
        <v>41</v>
      </c>
      <c r="B791" t="s">
        <v>73</v>
      </c>
      <c r="C791" t="s">
        <v>74</v>
      </c>
      <c r="D791" t="s">
        <v>93</v>
      </c>
      <c r="E791" t="s">
        <v>56</v>
      </c>
      <c r="F791">
        <v>7091870</v>
      </c>
      <c r="G791" t="s">
        <v>162</v>
      </c>
      <c r="H791" t="s">
        <v>43</v>
      </c>
      <c r="I791" t="s">
        <v>44</v>
      </c>
      <c r="J791" t="s">
        <v>163</v>
      </c>
      <c r="K791" t="s">
        <v>7</v>
      </c>
      <c r="L791" t="s">
        <v>148</v>
      </c>
      <c r="M791" t="s">
        <v>1042</v>
      </c>
      <c r="N791" t="s">
        <v>1043</v>
      </c>
      <c r="O791" t="s">
        <v>164</v>
      </c>
      <c r="P791" t="s">
        <v>383</v>
      </c>
      <c r="Q791" t="s">
        <v>1040</v>
      </c>
      <c r="R791" t="s">
        <v>1041</v>
      </c>
      <c r="S791" t="s">
        <v>46</v>
      </c>
      <c r="T791" t="s">
        <v>46</v>
      </c>
      <c r="U791" s="4">
        <v>471.9</v>
      </c>
      <c r="V791" t="str">
        <f t="shared" si="12"/>
        <v>FR39</v>
      </c>
      <c r="W791" t="str">
        <f>VLOOKUP(K791,[1]Info!A$1:B$21,2,0)</f>
        <v>Fornos Retangulares - Engenharia e Obras</v>
      </c>
      <c r="X791" t="str">
        <f>IF(M791="109595132","Material de Limpeza-Não Avaliar",IF(AND(K791="F20",M791&lt;&gt;109595132),IF(RIGHT(F791,2)="70","Infraestrutura de Planta","Prédios e Instalações"),IF(K791="FPC",VLOOKUP(F791,[1]Info!$E$2:$F$11,2,0),IF(K791="FGP",VLOOKUP(F791,[1]Info!$E$9:$F$10,2,0),IF(K791="F10",VLOOKUP(F791,[1]Info!$E$2:$F$3,2,0),VLOOKUP(K791,[1]Info!$A$1:$B$21,2,0))))))</f>
        <v>Fornos Retangulares - Engenharia e Obras</v>
      </c>
    </row>
    <row r="792" spans="1:24" x14ac:dyDescent="0.35">
      <c r="A792" t="s">
        <v>41</v>
      </c>
      <c r="B792" t="s">
        <v>73</v>
      </c>
      <c r="C792" t="s">
        <v>74</v>
      </c>
      <c r="D792" t="s">
        <v>93</v>
      </c>
      <c r="E792" t="s">
        <v>56</v>
      </c>
      <c r="F792">
        <v>7091770</v>
      </c>
      <c r="G792" t="s">
        <v>77</v>
      </c>
      <c r="H792" t="s">
        <v>43</v>
      </c>
      <c r="I792" t="s">
        <v>44</v>
      </c>
      <c r="J792" t="s">
        <v>78</v>
      </c>
      <c r="K792" t="s">
        <v>0</v>
      </c>
      <c r="L792" t="s">
        <v>51</v>
      </c>
      <c r="M792" t="s">
        <v>1044</v>
      </c>
      <c r="N792" t="s">
        <v>1045</v>
      </c>
      <c r="O792" t="s">
        <v>1046</v>
      </c>
      <c r="P792" t="s">
        <v>383</v>
      </c>
      <c r="Q792" t="s">
        <v>1047</v>
      </c>
      <c r="R792" t="s">
        <v>1048</v>
      </c>
      <c r="S792" t="s">
        <v>46</v>
      </c>
      <c r="T792" t="s">
        <v>46</v>
      </c>
      <c r="U792" s="4">
        <v>16651.830000000002</v>
      </c>
      <c r="V792" t="str">
        <f t="shared" si="12"/>
        <v>-015</v>
      </c>
      <c r="W792" t="str">
        <f>VLOOKUP(K792,[1]Info!A$1:B$21,2,0)</f>
        <v>Carboval</v>
      </c>
      <c r="X792" t="str">
        <f>IF(M792="109595132","Material de Limpeza-Não Avaliar",IF(AND(K792="F20",M792&lt;&gt;109595132),IF(RIGHT(F792,2)="70","Infraestrutura de Planta","Prédios e Instalações"),IF(K792="FPC",VLOOKUP(F792,[1]Info!$E$2:$F$11,2,0),IF(K792="FGP",VLOOKUP(F792,[1]Info!$E$9:$F$10,2,0),IF(K792="F10",VLOOKUP(F792,[1]Info!$E$2:$F$3,2,0),VLOOKUP(K792,[1]Info!$A$1:$B$21,2,0))))))</f>
        <v>Carboval Diamante</v>
      </c>
    </row>
    <row r="793" spans="1:24" x14ac:dyDescent="0.35">
      <c r="A793" t="s">
        <v>41</v>
      </c>
      <c r="B793" t="s">
        <v>73</v>
      </c>
      <c r="C793" t="s">
        <v>74</v>
      </c>
      <c r="D793" t="s">
        <v>711</v>
      </c>
      <c r="E793" t="s">
        <v>712</v>
      </c>
      <c r="F793">
        <v>7094570</v>
      </c>
      <c r="G793" t="s">
        <v>225</v>
      </c>
      <c r="H793" t="s">
        <v>43</v>
      </c>
      <c r="I793" t="s">
        <v>44</v>
      </c>
      <c r="J793" t="s">
        <v>226</v>
      </c>
      <c r="K793" t="s">
        <v>7</v>
      </c>
      <c r="L793" t="s">
        <v>148</v>
      </c>
      <c r="M793" t="s">
        <v>1049</v>
      </c>
      <c r="N793" t="s">
        <v>1050</v>
      </c>
      <c r="O793" t="s">
        <v>1051</v>
      </c>
      <c r="P793" t="s">
        <v>383</v>
      </c>
      <c r="Q793" t="s">
        <v>716</v>
      </c>
      <c r="R793" t="s">
        <v>717</v>
      </c>
      <c r="S793" t="s">
        <v>46</v>
      </c>
      <c r="T793" t="s">
        <v>46</v>
      </c>
      <c r="U793" s="4">
        <v>78.16</v>
      </c>
      <c r="V793" t="str">
        <f t="shared" si="12"/>
        <v>-030</v>
      </c>
      <c r="W793" t="str">
        <f>VLOOKUP(K793,[1]Info!A$1:B$21,2,0)</f>
        <v>Fornos Retangulares - Engenharia e Obras</v>
      </c>
      <c r="X793" t="str">
        <f>IF(M793="109595132","Material de Limpeza-Não Avaliar",IF(AND(K793="F20",M793&lt;&gt;109595132),IF(RIGHT(F793,2)="70","Infraestrutura de Planta","Prédios e Instalações"),IF(K793="FPC",VLOOKUP(F793,[1]Info!$E$2:$F$11,2,0),IF(K793="FGP",VLOOKUP(F793,[1]Info!$E$9:$F$10,2,0),IF(K793="F10",VLOOKUP(F793,[1]Info!$E$2:$F$3,2,0),VLOOKUP(K793,[1]Info!$A$1:$B$21,2,0))))))</f>
        <v>Fornos Retangulares - Engenharia e Obras</v>
      </c>
    </row>
    <row r="794" spans="1:24" x14ac:dyDescent="0.35">
      <c r="A794" t="s">
        <v>41</v>
      </c>
      <c r="B794" t="s">
        <v>73</v>
      </c>
      <c r="C794" t="s">
        <v>74</v>
      </c>
      <c r="D794" t="s">
        <v>711</v>
      </c>
      <c r="E794" t="s">
        <v>712</v>
      </c>
      <c r="F794">
        <v>7094570</v>
      </c>
      <c r="G794" t="s">
        <v>225</v>
      </c>
      <c r="H794" t="s">
        <v>43</v>
      </c>
      <c r="I794" t="s">
        <v>44</v>
      </c>
      <c r="J794" t="s">
        <v>226</v>
      </c>
      <c r="K794" t="s">
        <v>6</v>
      </c>
      <c r="L794" t="s">
        <v>51</v>
      </c>
      <c r="M794" t="s">
        <v>1052</v>
      </c>
      <c r="N794" t="s">
        <v>1053</v>
      </c>
      <c r="O794" t="s">
        <v>1054</v>
      </c>
      <c r="P794" t="s">
        <v>383</v>
      </c>
      <c r="Q794" t="s">
        <v>716</v>
      </c>
      <c r="R794" t="s">
        <v>717</v>
      </c>
      <c r="S794" t="s">
        <v>46</v>
      </c>
      <c r="T794" t="s">
        <v>46</v>
      </c>
      <c r="U794" s="4">
        <v>78.16</v>
      </c>
      <c r="V794" t="str">
        <f t="shared" si="12"/>
        <v>-005</v>
      </c>
      <c r="W794" t="str">
        <f>VLOOKUP(K794,[1]Info!A$1:B$21,2,0)</f>
        <v>Equipamentos Carbonização</v>
      </c>
      <c r="X794" t="str">
        <f>IF(M794="109595132","Material de Limpeza-Não Avaliar",IF(AND(K794="F20",M794&lt;&gt;109595132),IF(RIGHT(F794,2)="70","Infraestrutura de Planta","Prédios e Instalações"),IF(K794="FPC",VLOOKUP(F794,[1]Info!$E$2:$F$11,2,0),IF(K794="FGP",VLOOKUP(F794,[1]Info!$E$9:$F$10,2,0),IF(K794="F10",VLOOKUP(F794,[1]Info!$E$2:$F$3,2,0),VLOOKUP(K794,[1]Info!$A$1:$B$21,2,0))))))</f>
        <v>Equipamentos Carbonização</v>
      </c>
    </row>
    <row r="795" spans="1:24" x14ac:dyDescent="0.35">
      <c r="A795" t="s">
        <v>41</v>
      </c>
      <c r="B795" t="s">
        <v>73</v>
      </c>
      <c r="C795" t="s">
        <v>74</v>
      </c>
      <c r="D795" t="s">
        <v>711</v>
      </c>
      <c r="E795" t="s">
        <v>712</v>
      </c>
      <c r="F795">
        <v>7093370</v>
      </c>
      <c r="G795" t="s">
        <v>151</v>
      </c>
      <c r="H795" t="s">
        <v>43</v>
      </c>
      <c r="I795" t="s">
        <v>44</v>
      </c>
      <c r="J795" t="s">
        <v>152</v>
      </c>
      <c r="K795" t="s">
        <v>7</v>
      </c>
      <c r="L795" t="s">
        <v>148</v>
      </c>
      <c r="M795" t="s">
        <v>1055</v>
      </c>
      <c r="N795" t="s">
        <v>1056</v>
      </c>
      <c r="O795" t="s">
        <v>1057</v>
      </c>
      <c r="P795" t="s">
        <v>383</v>
      </c>
      <c r="Q795" t="s">
        <v>716</v>
      </c>
      <c r="R795" t="s">
        <v>717</v>
      </c>
      <c r="S795" t="s">
        <v>46</v>
      </c>
      <c r="T795" t="s">
        <v>46</v>
      </c>
      <c r="U795" s="4">
        <v>156.32</v>
      </c>
      <c r="V795" t="str">
        <f t="shared" si="12"/>
        <v>-030</v>
      </c>
      <c r="W795" t="str">
        <f>VLOOKUP(K795,[1]Info!A$1:B$21,2,0)</f>
        <v>Fornos Retangulares - Engenharia e Obras</v>
      </c>
      <c r="X795" t="str">
        <f>IF(M795="109595132","Material de Limpeza-Não Avaliar",IF(AND(K795="F20",M795&lt;&gt;109595132),IF(RIGHT(F795,2)="70","Infraestrutura de Planta","Prédios e Instalações"),IF(K795="FPC",VLOOKUP(F795,[1]Info!$E$2:$F$11,2,0),IF(K795="FGP",VLOOKUP(F795,[1]Info!$E$9:$F$10,2,0),IF(K795="F10",VLOOKUP(F795,[1]Info!$E$2:$F$3,2,0),VLOOKUP(K795,[1]Info!$A$1:$B$21,2,0))))))</f>
        <v>Fornos Retangulares - Engenharia e Obras</v>
      </c>
    </row>
    <row r="796" spans="1:24" x14ac:dyDescent="0.35">
      <c r="A796" t="s">
        <v>41</v>
      </c>
      <c r="B796" t="s">
        <v>73</v>
      </c>
      <c r="C796" t="s">
        <v>74</v>
      </c>
      <c r="D796" t="s">
        <v>711</v>
      </c>
      <c r="E796" t="s">
        <v>712</v>
      </c>
      <c r="F796">
        <v>7091770</v>
      </c>
      <c r="G796" t="s">
        <v>77</v>
      </c>
      <c r="H796" t="s">
        <v>43</v>
      </c>
      <c r="I796" t="s">
        <v>44</v>
      </c>
      <c r="J796" t="s">
        <v>78</v>
      </c>
      <c r="K796" t="s">
        <v>0</v>
      </c>
      <c r="L796" t="s">
        <v>51</v>
      </c>
      <c r="M796" t="s">
        <v>1058</v>
      </c>
      <c r="N796" t="s">
        <v>1059</v>
      </c>
      <c r="O796" t="s">
        <v>1060</v>
      </c>
      <c r="P796" t="s">
        <v>383</v>
      </c>
      <c r="Q796" t="s">
        <v>716</v>
      </c>
      <c r="R796" t="s">
        <v>717</v>
      </c>
      <c r="S796" t="s">
        <v>46</v>
      </c>
      <c r="T796" t="s">
        <v>46</v>
      </c>
      <c r="U796" s="4">
        <v>508.04</v>
      </c>
      <c r="V796" t="str">
        <f t="shared" si="12"/>
        <v>0005</v>
      </c>
      <c r="W796" t="str">
        <f>VLOOKUP(K796,[1]Info!A$1:B$21,2,0)</f>
        <v>Carboval</v>
      </c>
      <c r="X796" t="str">
        <f>IF(M796="109595132","Material de Limpeza-Não Avaliar",IF(AND(K796="F20",M796&lt;&gt;109595132),IF(RIGHT(F796,2)="70","Infraestrutura de Planta","Prédios e Instalações"),IF(K796="FPC",VLOOKUP(F796,[1]Info!$E$2:$F$11,2,0),IF(K796="FGP",VLOOKUP(F796,[1]Info!$E$9:$F$10,2,0),IF(K796="F10",VLOOKUP(F796,[1]Info!$E$2:$F$3,2,0),VLOOKUP(K796,[1]Info!$A$1:$B$21,2,0))))))</f>
        <v>Carboval Diamante</v>
      </c>
    </row>
    <row r="797" spans="1:24" x14ac:dyDescent="0.35">
      <c r="A797" t="s">
        <v>41</v>
      </c>
      <c r="B797" t="s">
        <v>73</v>
      </c>
      <c r="C797" t="s">
        <v>74</v>
      </c>
      <c r="D797" t="s">
        <v>216</v>
      </c>
      <c r="E797" t="s">
        <v>217</v>
      </c>
      <c r="F797">
        <v>7093370</v>
      </c>
      <c r="G797" t="s">
        <v>151</v>
      </c>
      <c r="H797" t="s">
        <v>43</v>
      </c>
      <c r="I797" t="s">
        <v>44</v>
      </c>
      <c r="J797" t="s">
        <v>152</v>
      </c>
      <c r="K797" t="s">
        <v>7</v>
      </c>
      <c r="L797" t="s">
        <v>148</v>
      </c>
      <c r="M797" t="s">
        <v>1055</v>
      </c>
      <c r="N797" t="s">
        <v>1056</v>
      </c>
      <c r="O797" t="s">
        <v>1057</v>
      </c>
      <c r="P797" t="s">
        <v>383</v>
      </c>
      <c r="Q797" t="s">
        <v>218</v>
      </c>
      <c r="R797" t="s">
        <v>219</v>
      </c>
      <c r="S797" t="s">
        <v>46</v>
      </c>
      <c r="T797" t="s">
        <v>46</v>
      </c>
      <c r="U797" s="4">
        <v>119.62</v>
      </c>
      <c r="V797" t="str">
        <f t="shared" si="12"/>
        <v>-030</v>
      </c>
      <c r="W797" t="str">
        <f>VLOOKUP(K797,[1]Info!A$1:B$21,2,0)</f>
        <v>Fornos Retangulares - Engenharia e Obras</v>
      </c>
      <c r="X797" t="str">
        <f>IF(M797="109595132","Material de Limpeza-Não Avaliar",IF(AND(K797="F20",M797&lt;&gt;109595132),IF(RIGHT(F797,2)="70","Infraestrutura de Planta","Prédios e Instalações"),IF(K797="FPC",VLOOKUP(F797,[1]Info!$E$2:$F$11,2,0),IF(K797="FGP",VLOOKUP(F797,[1]Info!$E$9:$F$10,2,0),IF(K797="F10",VLOOKUP(F797,[1]Info!$E$2:$F$3,2,0),VLOOKUP(K797,[1]Info!$A$1:$B$21,2,0))))))</f>
        <v>Fornos Retangulares - Engenharia e Obras</v>
      </c>
    </row>
    <row r="798" spans="1:24" x14ac:dyDescent="0.35">
      <c r="A798" t="s">
        <v>41</v>
      </c>
      <c r="B798" t="s">
        <v>73</v>
      </c>
      <c r="C798" t="s">
        <v>74</v>
      </c>
      <c r="D798" t="s">
        <v>216</v>
      </c>
      <c r="E798" t="s">
        <v>217</v>
      </c>
      <c r="F798">
        <v>7093370</v>
      </c>
      <c r="G798" t="s">
        <v>151</v>
      </c>
      <c r="H798" t="s">
        <v>43</v>
      </c>
      <c r="I798" t="s">
        <v>44</v>
      </c>
      <c r="J798" t="s">
        <v>152</v>
      </c>
      <c r="K798" t="s">
        <v>6</v>
      </c>
      <c r="L798" t="s">
        <v>51</v>
      </c>
      <c r="M798" t="s">
        <v>1061</v>
      </c>
      <c r="N798" t="s">
        <v>1062</v>
      </c>
      <c r="O798" t="s">
        <v>1063</v>
      </c>
      <c r="P798" t="s">
        <v>383</v>
      </c>
      <c r="Q798" t="s">
        <v>218</v>
      </c>
      <c r="R798" t="s">
        <v>219</v>
      </c>
      <c r="S798" t="s">
        <v>46</v>
      </c>
      <c r="T798" t="s">
        <v>46</v>
      </c>
      <c r="U798" s="4">
        <v>119.61</v>
      </c>
      <c r="V798" t="str">
        <f t="shared" si="12"/>
        <v>EP39</v>
      </c>
      <c r="W798" t="str">
        <f>VLOOKUP(K798,[1]Info!A$1:B$21,2,0)</f>
        <v>Equipamentos Carbonização</v>
      </c>
      <c r="X798" t="str">
        <f>IF(M798="109595132","Material de Limpeza-Não Avaliar",IF(AND(K798="F20",M798&lt;&gt;109595132),IF(RIGHT(F798,2)="70","Infraestrutura de Planta","Prédios e Instalações"),IF(K798="FPC",VLOOKUP(F798,[1]Info!$E$2:$F$11,2,0),IF(K798="FGP",VLOOKUP(F798,[1]Info!$E$9:$F$10,2,0),IF(K798="F10",VLOOKUP(F798,[1]Info!$E$2:$F$3,2,0),VLOOKUP(K798,[1]Info!$A$1:$B$21,2,0))))))</f>
        <v>Equipamentos Carbonização</v>
      </c>
    </row>
    <row r="799" spans="1:24" x14ac:dyDescent="0.35">
      <c r="A799" t="s">
        <v>41</v>
      </c>
      <c r="B799" t="s">
        <v>73</v>
      </c>
      <c r="C799" t="s">
        <v>74</v>
      </c>
      <c r="D799" t="s">
        <v>91</v>
      </c>
      <c r="E799" t="s">
        <v>42</v>
      </c>
      <c r="F799">
        <v>7098131</v>
      </c>
      <c r="G799" t="s">
        <v>75</v>
      </c>
      <c r="H799" t="s">
        <v>43</v>
      </c>
      <c r="I799" t="s">
        <v>44</v>
      </c>
      <c r="J799" t="s">
        <v>50</v>
      </c>
      <c r="K799" t="s">
        <v>3</v>
      </c>
      <c r="L799" t="s">
        <v>51</v>
      </c>
      <c r="M799" t="s">
        <v>1064</v>
      </c>
      <c r="N799" t="s">
        <v>1065</v>
      </c>
      <c r="O799" t="s">
        <v>1066</v>
      </c>
      <c r="P799" t="s">
        <v>383</v>
      </c>
      <c r="Q799" t="s">
        <v>290</v>
      </c>
      <c r="R799" t="s">
        <v>291</v>
      </c>
      <c r="S799" t="s">
        <v>46</v>
      </c>
      <c r="T799" t="s">
        <v>46</v>
      </c>
      <c r="U799" s="4">
        <v>1008.58</v>
      </c>
      <c r="V799" t="str">
        <f t="shared" si="12"/>
        <v>-005</v>
      </c>
      <c r="W799" t="str">
        <f>VLOOKUP(K799,[1]Info!A$1:B$21,2,0)</f>
        <v>Carregadeira</v>
      </c>
      <c r="X799" t="str">
        <f>IF(M799="109595132","Material de Limpeza-Não Avaliar",IF(AND(K799="F20",M799&lt;&gt;109595132),IF(RIGHT(F799,2)="70","Infraestrutura de Planta","Prédios e Instalações"),IF(K799="FPC",VLOOKUP(F799,[1]Info!$E$2:$F$11,2,0),IF(K799="FGP",VLOOKUP(F799,[1]Info!$E$9:$F$10,2,0),IF(K799="F10",VLOOKUP(F799,[1]Info!$E$2:$F$3,2,0),VLOOKUP(K799,[1]Info!$A$1:$B$21,2,0))))))</f>
        <v>Carregadeira Plantas</v>
      </c>
    </row>
    <row r="800" spans="1:24" x14ac:dyDescent="0.35">
      <c r="A800" t="s">
        <v>41</v>
      </c>
      <c r="B800" t="s">
        <v>73</v>
      </c>
      <c r="C800" t="s">
        <v>74</v>
      </c>
      <c r="D800" t="s">
        <v>91</v>
      </c>
      <c r="E800" t="s">
        <v>42</v>
      </c>
      <c r="F800">
        <v>7093370</v>
      </c>
      <c r="G800" t="s">
        <v>151</v>
      </c>
      <c r="H800" t="s">
        <v>43</v>
      </c>
      <c r="I800" t="s">
        <v>44</v>
      </c>
      <c r="J800" t="s">
        <v>152</v>
      </c>
      <c r="K800" t="s">
        <v>7</v>
      </c>
      <c r="L800" t="s">
        <v>148</v>
      </c>
      <c r="M800" t="s">
        <v>1067</v>
      </c>
      <c r="N800" t="s">
        <v>355</v>
      </c>
      <c r="O800" t="s">
        <v>153</v>
      </c>
      <c r="P800" t="s">
        <v>383</v>
      </c>
      <c r="Q800" t="s">
        <v>356</v>
      </c>
      <c r="R800" t="s">
        <v>357</v>
      </c>
      <c r="S800" t="s">
        <v>46</v>
      </c>
      <c r="T800" t="s">
        <v>46</v>
      </c>
      <c r="U800" s="4">
        <v>315</v>
      </c>
      <c r="V800" t="str">
        <f t="shared" si="12"/>
        <v>FR19</v>
      </c>
      <c r="W800" t="str">
        <f>VLOOKUP(K800,[1]Info!A$1:B$21,2,0)</f>
        <v>Fornos Retangulares - Engenharia e Obras</v>
      </c>
      <c r="X800" t="str">
        <f>IF(M800="109595132","Material de Limpeza-Não Avaliar",IF(AND(K800="F20",M800&lt;&gt;109595132),IF(RIGHT(F800,2)="70","Infraestrutura de Planta","Prédios e Instalações"),IF(K800="FPC",VLOOKUP(F800,[1]Info!$E$2:$F$11,2,0),IF(K800="FGP",VLOOKUP(F800,[1]Info!$E$9:$F$10,2,0),IF(K800="F10",VLOOKUP(F800,[1]Info!$E$2:$F$3,2,0),VLOOKUP(K800,[1]Info!$A$1:$B$21,2,0))))))</f>
        <v>Fornos Retangulares - Engenharia e Obras</v>
      </c>
    </row>
    <row r="801" spans="1:24" x14ac:dyDescent="0.35">
      <c r="A801" t="s">
        <v>41</v>
      </c>
      <c r="B801" t="s">
        <v>73</v>
      </c>
      <c r="C801" t="s">
        <v>74</v>
      </c>
      <c r="D801" t="s">
        <v>96</v>
      </c>
      <c r="E801" t="s">
        <v>64</v>
      </c>
      <c r="F801">
        <v>7098131</v>
      </c>
      <c r="G801" t="s">
        <v>75</v>
      </c>
      <c r="H801" t="s">
        <v>43</v>
      </c>
      <c r="I801" t="s">
        <v>44</v>
      </c>
      <c r="J801" t="s">
        <v>50</v>
      </c>
      <c r="K801" t="s">
        <v>3</v>
      </c>
      <c r="L801" t="s">
        <v>51</v>
      </c>
      <c r="M801" t="s">
        <v>1766</v>
      </c>
      <c r="N801" t="s">
        <v>1767</v>
      </c>
      <c r="O801" t="s">
        <v>82</v>
      </c>
      <c r="P801" t="s">
        <v>1292</v>
      </c>
      <c r="Q801" t="s">
        <v>46</v>
      </c>
      <c r="R801" t="s">
        <v>47</v>
      </c>
      <c r="S801" t="s">
        <v>46</v>
      </c>
      <c r="T801" t="s">
        <v>46</v>
      </c>
      <c r="U801" s="4">
        <v>392</v>
      </c>
      <c r="V801" t="str">
        <f t="shared" si="12"/>
        <v>C043</v>
      </c>
      <c r="W801" t="str">
        <f>VLOOKUP(K801,[1]Info!A$1:B$21,2,0)</f>
        <v>Carregadeira</v>
      </c>
      <c r="X801" t="str">
        <f>IF(M801="109595132","Material de Limpeza-Não Avaliar",IF(AND(K801="F20",M801&lt;&gt;109595132),IF(RIGHT(F801,2)="70","Infraestrutura de Planta","Prédios e Instalações"),IF(K801="FPC",VLOOKUP(F801,[1]Info!$E$2:$F$11,2,0),IF(K801="FGP",VLOOKUP(F801,[1]Info!$E$9:$F$10,2,0),IF(K801="F10",VLOOKUP(F801,[1]Info!$E$2:$F$3,2,0),VLOOKUP(K801,[1]Info!$A$1:$B$21,2,0))))))</f>
        <v>Carregadeira Plantas</v>
      </c>
    </row>
    <row r="802" spans="1:24" x14ac:dyDescent="0.35">
      <c r="A802" t="s">
        <v>41</v>
      </c>
      <c r="B802" t="s">
        <v>73</v>
      </c>
      <c r="C802" t="s">
        <v>74</v>
      </c>
      <c r="D802" t="s">
        <v>96</v>
      </c>
      <c r="E802" t="s">
        <v>64</v>
      </c>
      <c r="F802">
        <v>7098131</v>
      </c>
      <c r="G802" t="s">
        <v>75</v>
      </c>
      <c r="H802" t="s">
        <v>43</v>
      </c>
      <c r="I802" t="s">
        <v>44</v>
      </c>
      <c r="J802" t="s">
        <v>50</v>
      </c>
      <c r="K802" t="s">
        <v>3</v>
      </c>
      <c r="L802" t="s">
        <v>51</v>
      </c>
      <c r="M802" t="s">
        <v>1768</v>
      </c>
      <c r="N802" t="s">
        <v>1769</v>
      </c>
      <c r="O802" t="s">
        <v>257</v>
      </c>
      <c r="P802" t="s">
        <v>1292</v>
      </c>
      <c r="Q802" t="s">
        <v>46</v>
      </c>
      <c r="R802" t="s">
        <v>47</v>
      </c>
      <c r="S802" t="s">
        <v>46</v>
      </c>
      <c r="T802" t="s">
        <v>46</v>
      </c>
      <c r="U802" s="4">
        <v>79.31</v>
      </c>
      <c r="V802" t="str">
        <f t="shared" si="12"/>
        <v>C050</v>
      </c>
      <c r="W802" t="str">
        <f>VLOOKUP(K802,[1]Info!A$1:B$21,2,0)</f>
        <v>Carregadeira</v>
      </c>
      <c r="X802" t="str">
        <f>IF(M802="109595132","Material de Limpeza-Não Avaliar",IF(AND(K802="F20",M802&lt;&gt;109595132),IF(RIGHT(F802,2)="70","Infraestrutura de Planta","Prédios e Instalações"),IF(K802="FPC",VLOOKUP(F802,[1]Info!$E$2:$F$11,2,0),IF(K802="FGP",VLOOKUP(F802,[1]Info!$E$9:$F$10,2,0),IF(K802="F10",VLOOKUP(F802,[1]Info!$E$2:$F$3,2,0),VLOOKUP(K802,[1]Info!$A$1:$B$21,2,0))))))</f>
        <v>Carregadeira Plantas</v>
      </c>
    </row>
    <row r="803" spans="1:24" x14ac:dyDescent="0.35">
      <c r="A803" t="s">
        <v>41</v>
      </c>
      <c r="B803" t="s">
        <v>73</v>
      </c>
      <c r="C803" t="s">
        <v>74</v>
      </c>
      <c r="D803" t="s">
        <v>96</v>
      </c>
      <c r="E803" t="s">
        <v>64</v>
      </c>
      <c r="F803">
        <v>7094570</v>
      </c>
      <c r="G803" t="s">
        <v>225</v>
      </c>
      <c r="H803" t="s">
        <v>43</v>
      </c>
      <c r="I803" t="s">
        <v>44</v>
      </c>
      <c r="J803" t="s">
        <v>226</v>
      </c>
      <c r="K803" t="s">
        <v>17</v>
      </c>
      <c r="L803" t="s">
        <v>45</v>
      </c>
      <c r="M803" t="s">
        <v>1770</v>
      </c>
      <c r="N803" t="s">
        <v>1771</v>
      </c>
      <c r="O803" t="s">
        <v>1772</v>
      </c>
      <c r="P803" t="s">
        <v>1292</v>
      </c>
      <c r="Q803" t="s">
        <v>46</v>
      </c>
      <c r="R803" t="s">
        <v>47</v>
      </c>
      <c r="S803" t="s">
        <v>46</v>
      </c>
      <c r="T803" t="s">
        <v>46</v>
      </c>
      <c r="U803" s="4">
        <v>1908.47</v>
      </c>
      <c r="V803" t="str">
        <f t="shared" si="12"/>
        <v>R001</v>
      </c>
      <c r="W803" t="str">
        <f>VLOOKUP(K803,[1]Info!A$1:B$21,2,0)</f>
        <v>Energia e Utilidades</v>
      </c>
      <c r="X803" t="str">
        <f>IF(M803="109595132","Material de Limpeza-Não Avaliar",IF(AND(K803="F20",M803&lt;&gt;109595132),IF(RIGHT(F803,2)="70","Infraestrutura de Planta","Prédios e Instalações"),IF(K803="FPC",VLOOKUP(F803,[1]Info!$E$2:$F$11,2,0),IF(K803="FGP",VLOOKUP(F803,[1]Info!$E$9:$F$10,2,0),IF(K803="F10",VLOOKUP(F803,[1]Info!$E$2:$F$3,2,0),VLOOKUP(K803,[1]Info!$A$1:$B$21,2,0))))))</f>
        <v>Energia e Utilidades</v>
      </c>
    </row>
    <row r="804" spans="1:24" x14ac:dyDescent="0.35">
      <c r="A804" t="s">
        <v>41</v>
      </c>
      <c r="B804" t="s">
        <v>73</v>
      </c>
      <c r="C804" t="s">
        <v>74</v>
      </c>
      <c r="D804" t="s">
        <v>96</v>
      </c>
      <c r="E804" t="s">
        <v>64</v>
      </c>
      <c r="F804">
        <v>7093370</v>
      </c>
      <c r="G804" t="s">
        <v>151</v>
      </c>
      <c r="H804" t="s">
        <v>43</v>
      </c>
      <c r="I804" t="s">
        <v>44</v>
      </c>
      <c r="J804" t="s">
        <v>152</v>
      </c>
      <c r="K804" t="s">
        <v>17</v>
      </c>
      <c r="L804" t="s">
        <v>45</v>
      </c>
      <c r="M804" t="s">
        <v>1773</v>
      </c>
      <c r="N804" t="s">
        <v>1774</v>
      </c>
      <c r="O804" t="s">
        <v>1775</v>
      </c>
      <c r="P804" t="s">
        <v>1292</v>
      </c>
      <c r="Q804" t="s">
        <v>46</v>
      </c>
      <c r="R804" t="s">
        <v>47</v>
      </c>
      <c r="S804" t="s">
        <v>46</v>
      </c>
      <c r="T804" t="s">
        <v>46</v>
      </c>
      <c r="U804" s="4">
        <v>2474.2600000000002</v>
      </c>
      <c r="V804" t="str">
        <f t="shared" si="12"/>
        <v>C001</v>
      </c>
      <c r="W804" t="str">
        <f>VLOOKUP(K804,[1]Info!A$1:B$21,2,0)</f>
        <v>Energia e Utilidades</v>
      </c>
      <c r="X804" t="str">
        <f>IF(M804="109595132","Material de Limpeza-Não Avaliar",IF(AND(K804="F20",M804&lt;&gt;109595132),IF(RIGHT(F804,2)="70","Infraestrutura de Planta","Prédios e Instalações"),IF(K804="FPC",VLOOKUP(F804,[1]Info!$E$2:$F$11,2,0),IF(K804="FGP",VLOOKUP(F804,[1]Info!$E$9:$F$10,2,0),IF(K804="F10",VLOOKUP(F804,[1]Info!$E$2:$F$3,2,0),VLOOKUP(K804,[1]Info!$A$1:$B$21,2,0))))))</f>
        <v>Energia e Utilidades</v>
      </c>
    </row>
    <row r="805" spans="1:24" x14ac:dyDescent="0.35">
      <c r="A805" t="s">
        <v>41</v>
      </c>
      <c r="B805" t="s">
        <v>73</v>
      </c>
      <c r="C805" t="s">
        <v>74</v>
      </c>
      <c r="D805" t="s">
        <v>96</v>
      </c>
      <c r="E805" t="s">
        <v>64</v>
      </c>
      <c r="F805">
        <v>7091870</v>
      </c>
      <c r="G805" t="s">
        <v>162</v>
      </c>
      <c r="H805" t="s">
        <v>43</v>
      </c>
      <c r="I805" t="s">
        <v>44</v>
      </c>
      <c r="J805" t="s">
        <v>163</v>
      </c>
      <c r="K805" t="s">
        <v>17</v>
      </c>
      <c r="L805" t="s">
        <v>45</v>
      </c>
      <c r="M805" t="s">
        <v>1776</v>
      </c>
      <c r="N805" t="s">
        <v>1777</v>
      </c>
      <c r="O805" t="s">
        <v>171</v>
      </c>
      <c r="P805" t="s">
        <v>1292</v>
      </c>
      <c r="Q805" t="s">
        <v>46</v>
      </c>
      <c r="R805" t="s">
        <v>47</v>
      </c>
      <c r="S805" t="s">
        <v>46</v>
      </c>
      <c r="T805" t="s">
        <v>46</v>
      </c>
      <c r="U805" s="4">
        <v>455.39</v>
      </c>
      <c r="V805" t="str">
        <f t="shared" si="12"/>
        <v>C002</v>
      </c>
      <c r="W805" t="str">
        <f>VLOOKUP(K805,[1]Info!A$1:B$21,2,0)</f>
        <v>Energia e Utilidades</v>
      </c>
      <c r="X805" t="str">
        <f>IF(M805="109595132","Material de Limpeza-Não Avaliar",IF(AND(K805="F20",M805&lt;&gt;109595132),IF(RIGHT(F805,2)="70","Infraestrutura de Planta","Prédios e Instalações"),IF(K805="FPC",VLOOKUP(F805,[1]Info!$E$2:$F$11,2,0),IF(K805="FGP",VLOOKUP(F805,[1]Info!$E$9:$F$10,2,0),IF(K805="F10",VLOOKUP(F805,[1]Info!$E$2:$F$3,2,0),VLOOKUP(K805,[1]Info!$A$1:$B$21,2,0))))))</f>
        <v>Energia e Utilidades</v>
      </c>
    </row>
    <row r="806" spans="1:24" x14ac:dyDescent="0.35">
      <c r="A806" t="s">
        <v>41</v>
      </c>
      <c r="B806" t="s">
        <v>73</v>
      </c>
      <c r="C806" t="s">
        <v>74</v>
      </c>
      <c r="D806" t="s">
        <v>96</v>
      </c>
      <c r="E806" t="s">
        <v>64</v>
      </c>
      <c r="F806">
        <v>7091870</v>
      </c>
      <c r="G806" t="s">
        <v>162</v>
      </c>
      <c r="H806" t="s">
        <v>43</v>
      </c>
      <c r="I806" t="s">
        <v>44</v>
      </c>
      <c r="J806" t="s">
        <v>163</v>
      </c>
      <c r="K806" t="s">
        <v>17</v>
      </c>
      <c r="L806" t="s">
        <v>45</v>
      </c>
      <c r="M806" t="s">
        <v>1778</v>
      </c>
      <c r="N806" t="s">
        <v>1779</v>
      </c>
      <c r="O806" t="s">
        <v>171</v>
      </c>
      <c r="P806" t="s">
        <v>1292</v>
      </c>
      <c r="Q806" t="s">
        <v>46</v>
      </c>
      <c r="R806" t="s">
        <v>47</v>
      </c>
      <c r="S806" t="s">
        <v>46</v>
      </c>
      <c r="T806" t="s">
        <v>46</v>
      </c>
      <c r="U806" s="4">
        <v>10695.03</v>
      </c>
      <c r="V806" t="str">
        <f t="shared" si="12"/>
        <v>C002</v>
      </c>
      <c r="W806" t="str">
        <f>VLOOKUP(K806,[1]Info!A$1:B$21,2,0)</f>
        <v>Energia e Utilidades</v>
      </c>
      <c r="X806" t="str">
        <f>IF(M806="109595132","Material de Limpeza-Não Avaliar",IF(AND(K806="F20",M806&lt;&gt;109595132),IF(RIGHT(F806,2)="70","Infraestrutura de Planta","Prédios e Instalações"),IF(K806="FPC",VLOOKUP(F806,[1]Info!$E$2:$F$11,2,0),IF(K806="FGP",VLOOKUP(F806,[1]Info!$E$9:$F$10,2,0),IF(K806="F10",VLOOKUP(F806,[1]Info!$E$2:$F$3,2,0),VLOOKUP(K806,[1]Info!$A$1:$B$21,2,0))))))</f>
        <v>Energia e Utilidades</v>
      </c>
    </row>
    <row r="807" spans="1:24" x14ac:dyDescent="0.35">
      <c r="A807" t="s">
        <v>41</v>
      </c>
      <c r="B807" t="s">
        <v>73</v>
      </c>
      <c r="C807" t="s">
        <v>74</v>
      </c>
      <c r="D807" t="s">
        <v>96</v>
      </c>
      <c r="E807" t="s">
        <v>64</v>
      </c>
      <c r="F807">
        <v>7091870</v>
      </c>
      <c r="G807" t="s">
        <v>162</v>
      </c>
      <c r="H807" t="s">
        <v>43</v>
      </c>
      <c r="I807" t="s">
        <v>44</v>
      </c>
      <c r="J807" t="s">
        <v>163</v>
      </c>
      <c r="K807" t="s">
        <v>17</v>
      </c>
      <c r="L807" t="s">
        <v>45</v>
      </c>
      <c r="M807" t="s">
        <v>1780</v>
      </c>
      <c r="N807" t="s">
        <v>1779</v>
      </c>
      <c r="O807" t="s">
        <v>1582</v>
      </c>
      <c r="P807" t="s">
        <v>1292</v>
      </c>
      <c r="Q807" t="s">
        <v>46</v>
      </c>
      <c r="R807" t="s">
        <v>47</v>
      </c>
      <c r="S807" t="s">
        <v>46</v>
      </c>
      <c r="T807" t="s">
        <v>46</v>
      </c>
      <c r="U807" s="4">
        <v>70.78</v>
      </c>
      <c r="V807" t="str">
        <f t="shared" si="12"/>
        <v>C001</v>
      </c>
      <c r="W807" t="str">
        <f>VLOOKUP(K807,[1]Info!A$1:B$21,2,0)</f>
        <v>Energia e Utilidades</v>
      </c>
      <c r="X807" t="str">
        <f>IF(M807="109595132","Material de Limpeza-Não Avaliar",IF(AND(K807="F20",M807&lt;&gt;109595132),IF(RIGHT(F807,2)="70","Infraestrutura de Planta","Prédios e Instalações"),IF(K807="FPC",VLOOKUP(F807,[1]Info!$E$2:$F$11,2,0),IF(K807="FGP",VLOOKUP(F807,[1]Info!$E$9:$F$10,2,0),IF(K807="F10",VLOOKUP(F807,[1]Info!$E$2:$F$3,2,0),VLOOKUP(K807,[1]Info!$A$1:$B$21,2,0))))))</f>
        <v>Energia e Utilidades</v>
      </c>
    </row>
    <row r="808" spans="1:24" x14ac:dyDescent="0.35">
      <c r="A808" t="s">
        <v>41</v>
      </c>
      <c r="B808" t="s">
        <v>73</v>
      </c>
      <c r="C808" t="s">
        <v>74</v>
      </c>
      <c r="D808" t="s">
        <v>96</v>
      </c>
      <c r="E808" t="s">
        <v>64</v>
      </c>
      <c r="F808">
        <v>7091770</v>
      </c>
      <c r="G808" t="s">
        <v>77</v>
      </c>
      <c r="H808" t="s">
        <v>43</v>
      </c>
      <c r="I808" t="s">
        <v>44</v>
      </c>
      <c r="J808" t="s">
        <v>78</v>
      </c>
      <c r="K808" t="s">
        <v>0</v>
      </c>
      <c r="L808" t="s">
        <v>59</v>
      </c>
      <c r="M808" t="s">
        <v>1781</v>
      </c>
      <c r="N808" t="s">
        <v>1782</v>
      </c>
      <c r="O808" t="s">
        <v>1783</v>
      </c>
      <c r="P808" t="s">
        <v>1292</v>
      </c>
      <c r="Q808" t="s">
        <v>46</v>
      </c>
      <c r="R808" t="s">
        <v>47</v>
      </c>
      <c r="S808" t="s">
        <v>46</v>
      </c>
      <c r="T808" t="s">
        <v>46</v>
      </c>
      <c r="U808" s="4">
        <v>0</v>
      </c>
      <c r="V808" t="str">
        <f t="shared" si="12"/>
        <v>-015</v>
      </c>
      <c r="W808" t="str">
        <f>VLOOKUP(K808,[1]Info!A$1:B$21,2,0)</f>
        <v>Carboval</v>
      </c>
      <c r="X808" t="str">
        <f>IF(M808="109595132","Material de Limpeza-Não Avaliar",IF(AND(K808="F20",M808&lt;&gt;109595132),IF(RIGHT(F808,2)="70","Infraestrutura de Planta","Prédios e Instalações"),IF(K808="FPC",VLOOKUP(F808,[1]Info!$E$2:$F$11,2,0),IF(K808="FGP",VLOOKUP(F808,[1]Info!$E$9:$F$10,2,0),IF(K808="F10",VLOOKUP(F808,[1]Info!$E$2:$F$3,2,0),VLOOKUP(K808,[1]Info!$A$1:$B$21,2,0))))))</f>
        <v>Carboval Diamante</v>
      </c>
    </row>
    <row r="809" spans="1:24" x14ac:dyDescent="0.35">
      <c r="A809" t="s">
        <v>41</v>
      </c>
      <c r="B809" t="s">
        <v>73</v>
      </c>
      <c r="C809" t="s">
        <v>74</v>
      </c>
      <c r="D809" t="s">
        <v>96</v>
      </c>
      <c r="E809" t="s">
        <v>64</v>
      </c>
      <c r="F809">
        <v>7091770</v>
      </c>
      <c r="G809" t="s">
        <v>77</v>
      </c>
      <c r="H809" t="s">
        <v>43</v>
      </c>
      <c r="I809" t="s">
        <v>44</v>
      </c>
      <c r="J809" t="s">
        <v>78</v>
      </c>
      <c r="K809" t="s">
        <v>0</v>
      </c>
      <c r="L809" t="s">
        <v>51</v>
      </c>
      <c r="M809" t="s">
        <v>1784</v>
      </c>
      <c r="N809" t="s">
        <v>1785</v>
      </c>
      <c r="O809" t="s">
        <v>358</v>
      </c>
      <c r="P809" t="s">
        <v>1292</v>
      </c>
      <c r="Q809" t="s">
        <v>46</v>
      </c>
      <c r="R809" t="s">
        <v>47</v>
      </c>
      <c r="S809" t="s">
        <v>46</v>
      </c>
      <c r="T809" t="s">
        <v>46</v>
      </c>
      <c r="U809" s="4">
        <v>935.4</v>
      </c>
      <c r="V809" t="str">
        <f t="shared" si="12"/>
        <v>0050</v>
      </c>
      <c r="W809" t="str">
        <f>VLOOKUP(K809,[1]Info!A$1:B$21,2,0)</f>
        <v>Carboval</v>
      </c>
      <c r="X809" t="str">
        <f>IF(M809="109595132","Material de Limpeza-Não Avaliar",IF(AND(K809="F20",M809&lt;&gt;109595132),IF(RIGHT(F809,2)="70","Infraestrutura de Planta","Prédios e Instalações"),IF(K809="FPC",VLOOKUP(F809,[1]Info!$E$2:$F$11,2,0),IF(K809="FGP",VLOOKUP(F809,[1]Info!$E$9:$F$10,2,0),IF(K809="F10",VLOOKUP(F809,[1]Info!$E$2:$F$3,2,0),VLOOKUP(K809,[1]Info!$A$1:$B$21,2,0))))))</f>
        <v>Carboval Diamante</v>
      </c>
    </row>
    <row r="810" spans="1:24" x14ac:dyDescent="0.35">
      <c r="A810" t="s">
        <v>41</v>
      </c>
      <c r="B810" t="s">
        <v>73</v>
      </c>
      <c r="C810" t="s">
        <v>74</v>
      </c>
      <c r="D810" t="s">
        <v>542</v>
      </c>
      <c r="E810" t="s">
        <v>543</v>
      </c>
      <c r="F810">
        <v>7098131</v>
      </c>
      <c r="G810" t="s">
        <v>75</v>
      </c>
      <c r="H810" t="s">
        <v>43</v>
      </c>
      <c r="I810" t="s">
        <v>44</v>
      </c>
      <c r="J810" t="s">
        <v>50</v>
      </c>
      <c r="K810" t="s">
        <v>3</v>
      </c>
      <c r="L810" t="s">
        <v>51</v>
      </c>
      <c r="M810" t="s">
        <v>1068</v>
      </c>
      <c r="N810" t="s">
        <v>1069</v>
      </c>
      <c r="O810" t="s">
        <v>1070</v>
      </c>
      <c r="P810" t="s">
        <v>383</v>
      </c>
      <c r="Q810" t="s">
        <v>551</v>
      </c>
      <c r="R810" t="s">
        <v>552</v>
      </c>
      <c r="S810" t="s">
        <v>46</v>
      </c>
      <c r="T810" t="s">
        <v>46</v>
      </c>
      <c r="U810" s="4">
        <v>55.94</v>
      </c>
      <c r="V810" t="str">
        <f t="shared" si="12"/>
        <v>C041</v>
      </c>
      <c r="W810" t="str">
        <f>VLOOKUP(K810,[1]Info!A$1:B$21,2,0)</f>
        <v>Carregadeira</v>
      </c>
      <c r="X810" t="str">
        <f>IF(M810="109595132","Material de Limpeza-Não Avaliar",IF(AND(K810="F20",M810&lt;&gt;109595132),IF(RIGHT(F810,2)="70","Infraestrutura de Planta","Prédios e Instalações"),IF(K810="FPC",VLOOKUP(F810,[1]Info!$E$2:$F$11,2,0),IF(K810="FGP",VLOOKUP(F810,[1]Info!$E$9:$F$10,2,0),IF(K810="F10",VLOOKUP(F810,[1]Info!$E$2:$F$3,2,0),VLOOKUP(K810,[1]Info!$A$1:$B$21,2,0))))))</f>
        <v>Carregadeira Plantas</v>
      </c>
    </row>
    <row r="811" spans="1:24" x14ac:dyDescent="0.35">
      <c r="A811" t="s">
        <v>41</v>
      </c>
      <c r="B811" t="s">
        <v>73</v>
      </c>
      <c r="C811" t="s">
        <v>74</v>
      </c>
      <c r="D811" t="s">
        <v>542</v>
      </c>
      <c r="E811" t="s">
        <v>543</v>
      </c>
      <c r="F811">
        <v>7098131</v>
      </c>
      <c r="G811" t="s">
        <v>75</v>
      </c>
      <c r="H811" t="s">
        <v>43</v>
      </c>
      <c r="I811" t="s">
        <v>44</v>
      </c>
      <c r="J811" t="s">
        <v>50</v>
      </c>
      <c r="K811" t="s">
        <v>3</v>
      </c>
      <c r="L811" t="s">
        <v>51</v>
      </c>
      <c r="M811" t="s">
        <v>1071</v>
      </c>
      <c r="N811" t="s">
        <v>1072</v>
      </c>
      <c r="O811" t="s">
        <v>1073</v>
      </c>
      <c r="P811" t="s">
        <v>383</v>
      </c>
      <c r="Q811" t="s">
        <v>551</v>
      </c>
      <c r="R811" t="s">
        <v>552</v>
      </c>
      <c r="S811" t="s">
        <v>46</v>
      </c>
      <c r="T811" t="s">
        <v>46</v>
      </c>
      <c r="U811" s="4">
        <v>55.94</v>
      </c>
      <c r="V811" t="str">
        <f t="shared" si="12"/>
        <v>C042</v>
      </c>
      <c r="W811" t="str">
        <f>VLOOKUP(K811,[1]Info!A$1:B$21,2,0)</f>
        <v>Carregadeira</v>
      </c>
      <c r="X811" t="str">
        <f>IF(M811="109595132","Material de Limpeza-Não Avaliar",IF(AND(K811="F20",M811&lt;&gt;109595132),IF(RIGHT(F811,2)="70","Infraestrutura de Planta","Prédios e Instalações"),IF(K811="FPC",VLOOKUP(F811,[1]Info!$E$2:$F$11,2,0),IF(K811="FGP",VLOOKUP(F811,[1]Info!$E$9:$F$10,2,0),IF(K811="F10",VLOOKUP(F811,[1]Info!$E$2:$F$3,2,0),VLOOKUP(K811,[1]Info!$A$1:$B$21,2,0))))))</f>
        <v>Carregadeira Plantas</v>
      </c>
    </row>
    <row r="812" spans="1:24" x14ac:dyDescent="0.35">
      <c r="A812" t="s">
        <v>41</v>
      </c>
      <c r="B812" t="s">
        <v>73</v>
      </c>
      <c r="C812" t="s">
        <v>74</v>
      </c>
      <c r="D812" t="s">
        <v>542</v>
      </c>
      <c r="E812" t="s">
        <v>543</v>
      </c>
      <c r="F812">
        <v>7094570</v>
      </c>
      <c r="G812" t="s">
        <v>225</v>
      </c>
      <c r="H812" t="s">
        <v>43</v>
      </c>
      <c r="I812" t="s">
        <v>44</v>
      </c>
      <c r="J812" t="s">
        <v>226</v>
      </c>
      <c r="K812" t="s">
        <v>7</v>
      </c>
      <c r="L812" t="s">
        <v>148</v>
      </c>
      <c r="M812" t="s">
        <v>1024</v>
      </c>
      <c r="N812" t="s">
        <v>1025</v>
      </c>
      <c r="O812" t="s">
        <v>237</v>
      </c>
      <c r="P812" t="s">
        <v>383</v>
      </c>
      <c r="Q812" t="s">
        <v>1074</v>
      </c>
      <c r="R812" t="s">
        <v>1075</v>
      </c>
      <c r="S812" t="s">
        <v>46</v>
      </c>
      <c r="T812" t="s">
        <v>46</v>
      </c>
      <c r="U812" s="4">
        <v>69.48</v>
      </c>
      <c r="V812" t="str">
        <f t="shared" si="12"/>
        <v>FR39</v>
      </c>
      <c r="W812" t="str">
        <f>VLOOKUP(K812,[1]Info!A$1:B$21,2,0)</f>
        <v>Fornos Retangulares - Engenharia e Obras</v>
      </c>
      <c r="X812" t="str">
        <f>IF(M812="109595132","Material de Limpeza-Não Avaliar",IF(AND(K812="F20",M812&lt;&gt;109595132),IF(RIGHT(F812,2)="70","Infraestrutura de Planta","Prédios e Instalações"),IF(K812="FPC",VLOOKUP(F812,[1]Info!$E$2:$F$11,2,0),IF(K812="FGP",VLOOKUP(F812,[1]Info!$E$9:$F$10,2,0),IF(K812="F10",VLOOKUP(F812,[1]Info!$E$2:$F$3,2,0),VLOOKUP(K812,[1]Info!$A$1:$B$21,2,0))))))</f>
        <v>Fornos Retangulares - Engenharia e Obras</v>
      </c>
    </row>
    <row r="813" spans="1:24" x14ac:dyDescent="0.35">
      <c r="A813" t="s">
        <v>41</v>
      </c>
      <c r="B813" t="s">
        <v>73</v>
      </c>
      <c r="C813" t="s">
        <v>74</v>
      </c>
      <c r="D813" t="s">
        <v>542</v>
      </c>
      <c r="E813" t="s">
        <v>543</v>
      </c>
      <c r="F813">
        <v>7094570</v>
      </c>
      <c r="G813" t="s">
        <v>225</v>
      </c>
      <c r="H813" t="s">
        <v>43</v>
      </c>
      <c r="I813" t="s">
        <v>44</v>
      </c>
      <c r="J813" t="s">
        <v>226</v>
      </c>
      <c r="K813" t="s">
        <v>7</v>
      </c>
      <c r="L813" t="s">
        <v>148</v>
      </c>
      <c r="M813" t="s">
        <v>1030</v>
      </c>
      <c r="N813" t="s">
        <v>1031</v>
      </c>
      <c r="O813" t="s">
        <v>237</v>
      </c>
      <c r="P813" t="s">
        <v>383</v>
      </c>
      <c r="Q813" t="s">
        <v>1074</v>
      </c>
      <c r="R813" t="s">
        <v>1075</v>
      </c>
      <c r="S813" t="s">
        <v>46</v>
      </c>
      <c r="T813" t="s">
        <v>46</v>
      </c>
      <c r="U813" s="4">
        <v>83.58</v>
      </c>
      <c r="V813" t="str">
        <f t="shared" si="12"/>
        <v>FR39</v>
      </c>
      <c r="W813" t="str">
        <f>VLOOKUP(K813,[1]Info!A$1:B$21,2,0)</f>
        <v>Fornos Retangulares - Engenharia e Obras</v>
      </c>
      <c r="X813" t="str">
        <f>IF(M813="109595132","Material de Limpeza-Não Avaliar",IF(AND(K813="F20",M813&lt;&gt;109595132),IF(RIGHT(F813,2)="70","Infraestrutura de Planta","Prédios e Instalações"),IF(K813="FPC",VLOOKUP(F813,[1]Info!$E$2:$F$11,2,0),IF(K813="FGP",VLOOKUP(F813,[1]Info!$E$9:$F$10,2,0),IF(K813="F10",VLOOKUP(F813,[1]Info!$E$2:$F$3,2,0),VLOOKUP(K813,[1]Info!$A$1:$B$21,2,0))))))</f>
        <v>Fornos Retangulares - Engenharia e Obras</v>
      </c>
    </row>
    <row r="814" spans="1:24" x14ac:dyDescent="0.35">
      <c r="A814" t="s">
        <v>41</v>
      </c>
      <c r="B814" t="s">
        <v>73</v>
      </c>
      <c r="C814" t="s">
        <v>74</v>
      </c>
      <c r="D814" t="s">
        <v>542</v>
      </c>
      <c r="E814" t="s">
        <v>543</v>
      </c>
      <c r="F814">
        <v>7094570</v>
      </c>
      <c r="G814" t="s">
        <v>225</v>
      </c>
      <c r="H814" t="s">
        <v>43</v>
      </c>
      <c r="I814" t="s">
        <v>44</v>
      </c>
      <c r="J814" t="s">
        <v>226</v>
      </c>
      <c r="K814" t="s">
        <v>7</v>
      </c>
      <c r="L814" t="s">
        <v>148</v>
      </c>
      <c r="M814" t="s">
        <v>1049</v>
      </c>
      <c r="N814" t="s">
        <v>1050</v>
      </c>
      <c r="O814" t="s">
        <v>1051</v>
      </c>
      <c r="P814" t="s">
        <v>383</v>
      </c>
      <c r="Q814" t="s">
        <v>1076</v>
      </c>
      <c r="R814" t="s">
        <v>1077</v>
      </c>
      <c r="S814" t="s">
        <v>46</v>
      </c>
      <c r="T814" t="s">
        <v>46</v>
      </c>
      <c r="U814" s="4">
        <v>58.07</v>
      </c>
      <c r="V814" t="str">
        <f t="shared" si="12"/>
        <v>-030</v>
      </c>
      <c r="W814" t="str">
        <f>VLOOKUP(K814,[1]Info!A$1:B$21,2,0)</f>
        <v>Fornos Retangulares - Engenharia e Obras</v>
      </c>
      <c r="X814" t="str">
        <f>IF(M814="109595132","Material de Limpeza-Não Avaliar",IF(AND(K814="F20",M814&lt;&gt;109595132),IF(RIGHT(F814,2)="70","Infraestrutura de Planta","Prédios e Instalações"),IF(K814="FPC",VLOOKUP(F814,[1]Info!$E$2:$F$11,2,0),IF(K814="FGP",VLOOKUP(F814,[1]Info!$E$9:$F$10,2,0),IF(K814="F10",VLOOKUP(F814,[1]Info!$E$2:$F$3,2,0),VLOOKUP(K814,[1]Info!$A$1:$B$21,2,0))))))</f>
        <v>Fornos Retangulares - Engenharia e Obras</v>
      </c>
    </row>
    <row r="815" spans="1:24" x14ac:dyDescent="0.35">
      <c r="A815" t="s">
        <v>41</v>
      </c>
      <c r="B815" t="s">
        <v>73</v>
      </c>
      <c r="C815" t="s">
        <v>74</v>
      </c>
      <c r="D815" t="s">
        <v>542</v>
      </c>
      <c r="E815" t="s">
        <v>543</v>
      </c>
      <c r="F815">
        <v>7094570</v>
      </c>
      <c r="G815" t="s">
        <v>225</v>
      </c>
      <c r="H815" t="s">
        <v>43</v>
      </c>
      <c r="I815" t="s">
        <v>44</v>
      </c>
      <c r="J815" t="s">
        <v>226</v>
      </c>
      <c r="K815" t="s">
        <v>7</v>
      </c>
      <c r="L815" t="s">
        <v>148</v>
      </c>
      <c r="M815" t="s">
        <v>1049</v>
      </c>
      <c r="N815" t="s">
        <v>1050</v>
      </c>
      <c r="O815" t="s">
        <v>1051</v>
      </c>
      <c r="P815" t="s">
        <v>383</v>
      </c>
      <c r="Q815" t="s">
        <v>764</v>
      </c>
      <c r="R815" t="s">
        <v>765</v>
      </c>
      <c r="S815" t="s">
        <v>46</v>
      </c>
      <c r="T815" t="s">
        <v>46</v>
      </c>
      <c r="U815" s="4">
        <v>64.680000000000007</v>
      </c>
      <c r="V815" t="str">
        <f t="shared" si="12"/>
        <v>-030</v>
      </c>
      <c r="W815" t="str">
        <f>VLOOKUP(K815,[1]Info!A$1:B$21,2,0)</f>
        <v>Fornos Retangulares - Engenharia e Obras</v>
      </c>
      <c r="X815" t="str">
        <f>IF(M815="109595132","Material de Limpeza-Não Avaliar",IF(AND(K815="F20",M815&lt;&gt;109595132),IF(RIGHT(F815,2)="70","Infraestrutura de Planta","Prédios e Instalações"),IF(K815="FPC",VLOOKUP(F815,[1]Info!$E$2:$F$11,2,0),IF(K815="FGP",VLOOKUP(F815,[1]Info!$E$9:$F$10,2,0),IF(K815="F10",VLOOKUP(F815,[1]Info!$E$2:$F$3,2,0),VLOOKUP(K815,[1]Info!$A$1:$B$21,2,0))))))</f>
        <v>Fornos Retangulares - Engenharia e Obras</v>
      </c>
    </row>
    <row r="816" spans="1:24" x14ac:dyDescent="0.35">
      <c r="A816" t="s">
        <v>41</v>
      </c>
      <c r="B816" t="s">
        <v>73</v>
      </c>
      <c r="C816" t="s">
        <v>74</v>
      </c>
      <c r="D816" t="s">
        <v>542</v>
      </c>
      <c r="E816" t="s">
        <v>543</v>
      </c>
      <c r="F816">
        <v>7094570</v>
      </c>
      <c r="G816" t="s">
        <v>225</v>
      </c>
      <c r="H816" t="s">
        <v>43</v>
      </c>
      <c r="I816" t="s">
        <v>44</v>
      </c>
      <c r="J816" t="s">
        <v>226</v>
      </c>
      <c r="K816" t="s">
        <v>6</v>
      </c>
      <c r="L816" t="s">
        <v>51</v>
      </c>
      <c r="M816" t="s">
        <v>1052</v>
      </c>
      <c r="N816" t="s">
        <v>1053</v>
      </c>
      <c r="O816" t="s">
        <v>1054</v>
      </c>
      <c r="P816" t="s">
        <v>383</v>
      </c>
      <c r="Q816" t="s">
        <v>1076</v>
      </c>
      <c r="R816" t="s">
        <v>1077</v>
      </c>
      <c r="S816" t="s">
        <v>46</v>
      </c>
      <c r="T816" t="s">
        <v>46</v>
      </c>
      <c r="U816" s="4">
        <v>38.72</v>
      </c>
      <c r="V816" t="str">
        <f t="shared" si="12"/>
        <v>-005</v>
      </c>
      <c r="W816" t="str">
        <f>VLOOKUP(K816,[1]Info!A$1:B$21,2,0)</f>
        <v>Equipamentos Carbonização</v>
      </c>
      <c r="X816" t="str">
        <f>IF(M816="109595132","Material de Limpeza-Não Avaliar",IF(AND(K816="F20",M816&lt;&gt;109595132),IF(RIGHT(F816,2)="70","Infraestrutura de Planta","Prédios e Instalações"),IF(K816="FPC",VLOOKUP(F816,[1]Info!$E$2:$F$11,2,0),IF(K816="FGP",VLOOKUP(F816,[1]Info!$E$9:$F$10,2,0),IF(K816="F10",VLOOKUP(F816,[1]Info!$E$2:$F$3,2,0),VLOOKUP(K816,[1]Info!$A$1:$B$21,2,0))))))</f>
        <v>Equipamentos Carbonização</v>
      </c>
    </row>
    <row r="817" spans="1:24" x14ac:dyDescent="0.35">
      <c r="A817" t="s">
        <v>41</v>
      </c>
      <c r="B817" t="s">
        <v>73</v>
      </c>
      <c r="C817" t="s">
        <v>74</v>
      </c>
      <c r="D817" t="s">
        <v>542</v>
      </c>
      <c r="E817" t="s">
        <v>543</v>
      </c>
      <c r="F817">
        <v>7094570</v>
      </c>
      <c r="G817" t="s">
        <v>225</v>
      </c>
      <c r="H817" t="s">
        <v>43</v>
      </c>
      <c r="I817" t="s">
        <v>44</v>
      </c>
      <c r="J817" t="s">
        <v>226</v>
      </c>
      <c r="K817" t="s">
        <v>6</v>
      </c>
      <c r="L817" t="s">
        <v>51</v>
      </c>
      <c r="M817" t="s">
        <v>1052</v>
      </c>
      <c r="N817" t="s">
        <v>1053</v>
      </c>
      <c r="O817" t="s">
        <v>1054</v>
      </c>
      <c r="P817" t="s">
        <v>383</v>
      </c>
      <c r="Q817" t="s">
        <v>764</v>
      </c>
      <c r="R817" t="s">
        <v>765</v>
      </c>
      <c r="S817" t="s">
        <v>46</v>
      </c>
      <c r="T817" t="s">
        <v>46</v>
      </c>
      <c r="U817" s="4">
        <v>43.12</v>
      </c>
      <c r="V817" t="str">
        <f t="shared" si="12"/>
        <v>-005</v>
      </c>
      <c r="W817" t="str">
        <f>VLOOKUP(K817,[1]Info!A$1:B$21,2,0)</f>
        <v>Equipamentos Carbonização</v>
      </c>
      <c r="X817" t="str">
        <f>IF(M817="109595132","Material de Limpeza-Não Avaliar",IF(AND(K817="F20",M817&lt;&gt;109595132),IF(RIGHT(F817,2)="70","Infraestrutura de Planta","Prédios e Instalações"),IF(K817="FPC",VLOOKUP(F817,[1]Info!$E$2:$F$11,2,0),IF(K817="FGP",VLOOKUP(F817,[1]Info!$E$9:$F$10,2,0),IF(K817="F10",VLOOKUP(F817,[1]Info!$E$2:$F$3,2,0),VLOOKUP(K817,[1]Info!$A$1:$B$21,2,0))))))</f>
        <v>Equipamentos Carbonização</v>
      </c>
    </row>
    <row r="818" spans="1:24" x14ac:dyDescent="0.35">
      <c r="A818" t="s">
        <v>41</v>
      </c>
      <c r="B818" t="s">
        <v>73</v>
      </c>
      <c r="C818" t="s">
        <v>74</v>
      </c>
      <c r="D818" t="s">
        <v>542</v>
      </c>
      <c r="E818" t="s">
        <v>543</v>
      </c>
      <c r="F818">
        <v>7093370</v>
      </c>
      <c r="G818" t="s">
        <v>151</v>
      </c>
      <c r="H818" t="s">
        <v>43</v>
      </c>
      <c r="I818" t="s">
        <v>44</v>
      </c>
      <c r="J818" t="s">
        <v>152</v>
      </c>
      <c r="K818" t="s">
        <v>7</v>
      </c>
      <c r="L818" t="s">
        <v>148</v>
      </c>
      <c r="M818" t="s">
        <v>1032</v>
      </c>
      <c r="N818" t="s">
        <v>1033</v>
      </c>
      <c r="O818" t="s">
        <v>153</v>
      </c>
      <c r="P818" t="s">
        <v>383</v>
      </c>
      <c r="Q818" t="s">
        <v>1074</v>
      </c>
      <c r="R818" t="s">
        <v>1075</v>
      </c>
      <c r="S818" t="s">
        <v>46</v>
      </c>
      <c r="T818" t="s">
        <v>46</v>
      </c>
      <c r="U818" s="4">
        <v>69.48</v>
      </c>
      <c r="V818" t="str">
        <f t="shared" si="12"/>
        <v>FR19</v>
      </c>
      <c r="W818" t="str">
        <f>VLOOKUP(K818,[1]Info!A$1:B$21,2,0)</f>
        <v>Fornos Retangulares - Engenharia e Obras</v>
      </c>
      <c r="X818" t="str">
        <f>IF(M818="109595132","Material de Limpeza-Não Avaliar",IF(AND(K818="F20",M818&lt;&gt;109595132),IF(RIGHT(F818,2)="70","Infraestrutura de Planta","Prédios e Instalações"),IF(K818="FPC",VLOOKUP(F818,[1]Info!$E$2:$F$11,2,0),IF(K818="FGP",VLOOKUP(F818,[1]Info!$E$9:$F$10,2,0),IF(K818="F10",VLOOKUP(F818,[1]Info!$E$2:$F$3,2,0),VLOOKUP(K818,[1]Info!$A$1:$B$21,2,0))))))</f>
        <v>Fornos Retangulares - Engenharia e Obras</v>
      </c>
    </row>
    <row r="819" spans="1:24" x14ac:dyDescent="0.35">
      <c r="A819" t="s">
        <v>41</v>
      </c>
      <c r="B819" t="s">
        <v>73</v>
      </c>
      <c r="C819" t="s">
        <v>74</v>
      </c>
      <c r="D819" t="s">
        <v>542</v>
      </c>
      <c r="E819" t="s">
        <v>543</v>
      </c>
      <c r="F819">
        <v>7093370</v>
      </c>
      <c r="G819" t="s">
        <v>151</v>
      </c>
      <c r="H819" t="s">
        <v>43</v>
      </c>
      <c r="I819" t="s">
        <v>44</v>
      </c>
      <c r="J819" t="s">
        <v>152</v>
      </c>
      <c r="K819" t="s">
        <v>7</v>
      </c>
      <c r="L819" t="s">
        <v>148</v>
      </c>
      <c r="M819" t="s">
        <v>1034</v>
      </c>
      <c r="N819" t="s">
        <v>1035</v>
      </c>
      <c r="O819" t="s">
        <v>153</v>
      </c>
      <c r="P819" t="s">
        <v>383</v>
      </c>
      <c r="Q819" t="s">
        <v>1074</v>
      </c>
      <c r="R819" t="s">
        <v>1075</v>
      </c>
      <c r="S819" t="s">
        <v>46</v>
      </c>
      <c r="T819" t="s">
        <v>46</v>
      </c>
      <c r="U819" s="4">
        <v>83.58</v>
      </c>
      <c r="V819" t="str">
        <f t="shared" si="12"/>
        <v>FR19</v>
      </c>
      <c r="W819" t="str">
        <f>VLOOKUP(K819,[1]Info!A$1:B$21,2,0)</f>
        <v>Fornos Retangulares - Engenharia e Obras</v>
      </c>
      <c r="X819" t="str">
        <f>IF(M819="109595132","Material de Limpeza-Não Avaliar",IF(AND(K819="F20",M819&lt;&gt;109595132),IF(RIGHT(F819,2)="70","Infraestrutura de Planta","Prédios e Instalações"),IF(K819="FPC",VLOOKUP(F819,[1]Info!$E$2:$F$11,2,0),IF(K819="FGP",VLOOKUP(F819,[1]Info!$E$9:$F$10,2,0),IF(K819="F10",VLOOKUP(F819,[1]Info!$E$2:$F$3,2,0),VLOOKUP(K819,[1]Info!$A$1:$B$21,2,0))))))</f>
        <v>Fornos Retangulares - Engenharia e Obras</v>
      </c>
    </row>
    <row r="820" spans="1:24" x14ac:dyDescent="0.35">
      <c r="A820" t="s">
        <v>41</v>
      </c>
      <c r="B820" t="s">
        <v>73</v>
      </c>
      <c r="C820" t="s">
        <v>74</v>
      </c>
      <c r="D820" t="s">
        <v>542</v>
      </c>
      <c r="E820" t="s">
        <v>543</v>
      </c>
      <c r="F820">
        <v>7093370</v>
      </c>
      <c r="G820" t="s">
        <v>151</v>
      </c>
      <c r="H820" t="s">
        <v>43</v>
      </c>
      <c r="I820" t="s">
        <v>44</v>
      </c>
      <c r="J820" t="s">
        <v>152</v>
      </c>
      <c r="K820" t="s">
        <v>7</v>
      </c>
      <c r="L820" t="s">
        <v>148</v>
      </c>
      <c r="M820" t="s">
        <v>1055</v>
      </c>
      <c r="N820" t="s">
        <v>1056</v>
      </c>
      <c r="O820" t="s">
        <v>1057</v>
      </c>
      <c r="P820" t="s">
        <v>383</v>
      </c>
      <c r="Q820" t="s">
        <v>764</v>
      </c>
      <c r="R820" t="s">
        <v>765</v>
      </c>
      <c r="S820" t="s">
        <v>46</v>
      </c>
      <c r="T820" t="s">
        <v>46</v>
      </c>
      <c r="U820" s="4">
        <v>53.9</v>
      </c>
      <c r="V820" t="str">
        <f t="shared" si="12"/>
        <v>-030</v>
      </c>
      <c r="W820" t="str">
        <f>VLOOKUP(K820,[1]Info!A$1:B$21,2,0)</f>
        <v>Fornos Retangulares - Engenharia e Obras</v>
      </c>
      <c r="X820" t="str">
        <f>IF(M820="109595132","Material de Limpeza-Não Avaliar",IF(AND(K820="F20",M820&lt;&gt;109595132),IF(RIGHT(F820,2)="70","Infraestrutura de Planta","Prédios e Instalações"),IF(K820="FPC",VLOOKUP(F820,[1]Info!$E$2:$F$11,2,0),IF(K820="FGP",VLOOKUP(F820,[1]Info!$E$9:$F$10,2,0),IF(K820="F10",VLOOKUP(F820,[1]Info!$E$2:$F$3,2,0),VLOOKUP(K820,[1]Info!$A$1:$B$21,2,0))))))</f>
        <v>Fornos Retangulares - Engenharia e Obras</v>
      </c>
    </row>
    <row r="821" spans="1:24" x14ac:dyDescent="0.35">
      <c r="A821" t="s">
        <v>41</v>
      </c>
      <c r="B821" t="s">
        <v>73</v>
      </c>
      <c r="C821" t="s">
        <v>74</v>
      </c>
      <c r="D821" t="s">
        <v>542</v>
      </c>
      <c r="E821" t="s">
        <v>543</v>
      </c>
      <c r="F821">
        <v>7093370</v>
      </c>
      <c r="G821" t="s">
        <v>151</v>
      </c>
      <c r="H821" t="s">
        <v>43</v>
      </c>
      <c r="I821" t="s">
        <v>44</v>
      </c>
      <c r="J821" t="s">
        <v>152</v>
      </c>
      <c r="K821" t="s">
        <v>7</v>
      </c>
      <c r="L821" t="s">
        <v>148</v>
      </c>
      <c r="M821" t="s">
        <v>1055</v>
      </c>
      <c r="N821" t="s">
        <v>1056</v>
      </c>
      <c r="O821" t="s">
        <v>1057</v>
      </c>
      <c r="P821" t="s">
        <v>383</v>
      </c>
      <c r="Q821" t="s">
        <v>1074</v>
      </c>
      <c r="R821" t="s">
        <v>1075</v>
      </c>
      <c r="S821" t="s">
        <v>46</v>
      </c>
      <c r="T821" t="s">
        <v>46</v>
      </c>
      <c r="U821" s="4">
        <v>69.47</v>
      </c>
      <c r="V821" t="str">
        <f t="shared" si="12"/>
        <v>-030</v>
      </c>
      <c r="W821" t="str">
        <f>VLOOKUP(K821,[1]Info!A$1:B$21,2,0)</f>
        <v>Fornos Retangulares - Engenharia e Obras</v>
      </c>
      <c r="X821" t="str">
        <f>IF(M821="109595132","Material de Limpeza-Não Avaliar",IF(AND(K821="F20",M821&lt;&gt;109595132),IF(RIGHT(F821,2)="70","Infraestrutura de Planta","Prédios e Instalações"),IF(K821="FPC",VLOOKUP(F821,[1]Info!$E$2:$F$11,2,0),IF(K821="FGP",VLOOKUP(F821,[1]Info!$E$9:$F$10,2,0),IF(K821="F10",VLOOKUP(F821,[1]Info!$E$2:$F$3,2,0),VLOOKUP(K821,[1]Info!$A$1:$B$21,2,0))))))</f>
        <v>Fornos Retangulares - Engenharia e Obras</v>
      </c>
    </row>
    <row r="822" spans="1:24" x14ac:dyDescent="0.35">
      <c r="A822" t="s">
        <v>41</v>
      </c>
      <c r="B822" t="s">
        <v>73</v>
      </c>
      <c r="C822" t="s">
        <v>74</v>
      </c>
      <c r="D822" t="s">
        <v>542</v>
      </c>
      <c r="E822" t="s">
        <v>543</v>
      </c>
      <c r="F822">
        <v>7093370</v>
      </c>
      <c r="G822" t="s">
        <v>151</v>
      </c>
      <c r="H822" t="s">
        <v>43</v>
      </c>
      <c r="I822" t="s">
        <v>44</v>
      </c>
      <c r="J822" t="s">
        <v>152</v>
      </c>
      <c r="K822" t="s">
        <v>7</v>
      </c>
      <c r="L822" t="s">
        <v>148</v>
      </c>
      <c r="M822" t="s">
        <v>1078</v>
      </c>
      <c r="N822" t="s">
        <v>1079</v>
      </c>
      <c r="O822" t="s">
        <v>1080</v>
      </c>
      <c r="P822" t="s">
        <v>383</v>
      </c>
      <c r="Q822" t="s">
        <v>1081</v>
      </c>
      <c r="R822" t="s">
        <v>1082</v>
      </c>
      <c r="S822" t="s">
        <v>46</v>
      </c>
      <c r="T822" t="s">
        <v>46</v>
      </c>
      <c r="U822" s="4">
        <v>34.86</v>
      </c>
      <c r="V822" t="str">
        <f t="shared" si="12"/>
        <v>-030</v>
      </c>
      <c r="W822" t="str">
        <f>VLOOKUP(K822,[1]Info!A$1:B$21,2,0)</f>
        <v>Fornos Retangulares - Engenharia e Obras</v>
      </c>
      <c r="X822" t="str">
        <f>IF(M822="109595132","Material de Limpeza-Não Avaliar",IF(AND(K822="F20",M822&lt;&gt;109595132),IF(RIGHT(F822,2)="70","Infraestrutura de Planta","Prédios e Instalações"),IF(K822="FPC",VLOOKUP(F822,[1]Info!$E$2:$F$11,2,0),IF(K822="FGP",VLOOKUP(F822,[1]Info!$E$9:$F$10,2,0),IF(K822="F10",VLOOKUP(F822,[1]Info!$E$2:$F$3,2,0),VLOOKUP(K822,[1]Info!$A$1:$B$21,2,0))))))</f>
        <v>Fornos Retangulares - Engenharia e Obras</v>
      </c>
    </row>
    <row r="823" spans="1:24" x14ac:dyDescent="0.35">
      <c r="A823" t="s">
        <v>41</v>
      </c>
      <c r="B823" t="s">
        <v>73</v>
      </c>
      <c r="C823" t="s">
        <v>74</v>
      </c>
      <c r="D823" t="s">
        <v>542</v>
      </c>
      <c r="E823" t="s">
        <v>543</v>
      </c>
      <c r="F823">
        <v>7093370</v>
      </c>
      <c r="G823" t="s">
        <v>151</v>
      </c>
      <c r="H823" t="s">
        <v>43</v>
      </c>
      <c r="I823" t="s">
        <v>44</v>
      </c>
      <c r="J823" t="s">
        <v>152</v>
      </c>
      <c r="K823" t="s">
        <v>7</v>
      </c>
      <c r="L823" t="s">
        <v>148</v>
      </c>
      <c r="M823" t="s">
        <v>1083</v>
      </c>
      <c r="N823" t="s">
        <v>1084</v>
      </c>
      <c r="O823" t="s">
        <v>1085</v>
      </c>
      <c r="P823" t="s">
        <v>383</v>
      </c>
      <c r="Q823" t="s">
        <v>1081</v>
      </c>
      <c r="R823" t="s">
        <v>1082</v>
      </c>
      <c r="S823" t="s">
        <v>46</v>
      </c>
      <c r="T823" t="s">
        <v>46</v>
      </c>
      <c r="U823" s="4">
        <v>34.86</v>
      </c>
      <c r="V823" t="str">
        <f t="shared" si="12"/>
        <v>-035</v>
      </c>
      <c r="W823" t="str">
        <f>VLOOKUP(K823,[1]Info!A$1:B$21,2,0)</f>
        <v>Fornos Retangulares - Engenharia e Obras</v>
      </c>
      <c r="X823" t="str">
        <f>IF(M823="109595132","Material de Limpeza-Não Avaliar",IF(AND(K823="F20",M823&lt;&gt;109595132),IF(RIGHT(F823,2)="70","Infraestrutura de Planta","Prédios e Instalações"),IF(K823="FPC",VLOOKUP(F823,[1]Info!$E$2:$F$11,2,0),IF(K823="FGP",VLOOKUP(F823,[1]Info!$E$9:$F$10,2,0),IF(K823="F10",VLOOKUP(F823,[1]Info!$E$2:$F$3,2,0),VLOOKUP(K823,[1]Info!$A$1:$B$21,2,0))))))</f>
        <v>Fornos Retangulares - Engenharia e Obras</v>
      </c>
    </row>
    <row r="824" spans="1:24" x14ac:dyDescent="0.35">
      <c r="A824" t="s">
        <v>41</v>
      </c>
      <c r="B824" t="s">
        <v>73</v>
      </c>
      <c r="C824" t="s">
        <v>74</v>
      </c>
      <c r="D824" t="s">
        <v>542</v>
      </c>
      <c r="E824" t="s">
        <v>543</v>
      </c>
      <c r="F824">
        <v>7093370</v>
      </c>
      <c r="G824" t="s">
        <v>151</v>
      </c>
      <c r="H824" t="s">
        <v>43</v>
      </c>
      <c r="I824" t="s">
        <v>44</v>
      </c>
      <c r="J824" t="s">
        <v>152</v>
      </c>
      <c r="K824" t="s">
        <v>7</v>
      </c>
      <c r="L824" t="s">
        <v>148</v>
      </c>
      <c r="M824" t="s">
        <v>1086</v>
      </c>
      <c r="N824" t="s">
        <v>1087</v>
      </c>
      <c r="O824" t="s">
        <v>1088</v>
      </c>
      <c r="P824" t="s">
        <v>383</v>
      </c>
      <c r="Q824" t="s">
        <v>764</v>
      </c>
      <c r="R824" t="s">
        <v>765</v>
      </c>
      <c r="S824" t="s">
        <v>46</v>
      </c>
      <c r="T824" t="s">
        <v>46</v>
      </c>
      <c r="U824" s="4">
        <v>53.9</v>
      </c>
      <c r="V824" t="str">
        <f t="shared" si="12"/>
        <v>-030</v>
      </c>
      <c r="W824" t="str">
        <f>VLOOKUP(K824,[1]Info!A$1:B$21,2,0)</f>
        <v>Fornos Retangulares - Engenharia e Obras</v>
      </c>
      <c r="X824" t="str">
        <f>IF(M824="109595132","Material de Limpeza-Não Avaliar",IF(AND(K824="F20",M824&lt;&gt;109595132),IF(RIGHT(F824,2)="70","Infraestrutura de Planta","Prédios e Instalações"),IF(K824="FPC",VLOOKUP(F824,[1]Info!$E$2:$F$11,2,0),IF(K824="FGP",VLOOKUP(F824,[1]Info!$E$9:$F$10,2,0),IF(K824="F10",VLOOKUP(F824,[1]Info!$E$2:$F$3,2,0),VLOOKUP(K824,[1]Info!$A$1:$B$21,2,0))))))</f>
        <v>Fornos Retangulares - Engenharia e Obras</v>
      </c>
    </row>
    <row r="825" spans="1:24" x14ac:dyDescent="0.35">
      <c r="A825" t="s">
        <v>41</v>
      </c>
      <c r="B825" t="s">
        <v>73</v>
      </c>
      <c r="C825" t="s">
        <v>74</v>
      </c>
      <c r="D825" t="s">
        <v>542</v>
      </c>
      <c r="E825" t="s">
        <v>543</v>
      </c>
      <c r="F825">
        <v>7093370</v>
      </c>
      <c r="G825" t="s">
        <v>151</v>
      </c>
      <c r="H825" t="s">
        <v>43</v>
      </c>
      <c r="I825" t="s">
        <v>44</v>
      </c>
      <c r="J825" t="s">
        <v>152</v>
      </c>
      <c r="K825" t="s">
        <v>6</v>
      </c>
      <c r="L825" t="s">
        <v>51</v>
      </c>
      <c r="M825" t="s">
        <v>1061</v>
      </c>
      <c r="N825" t="s">
        <v>1062</v>
      </c>
      <c r="O825" t="s">
        <v>1063</v>
      </c>
      <c r="P825" t="s">
        <v>383</v>
      </c>
      <c r="Q825" t="s">
        <v>764</v>
      </c>
      <c r="R825" t="s">
        <v>765</v>
      </c>
      <c r="S825" t="s">
        <v>46</v>
      </c>
      <c r="T825" t="s">
        <v>46</v>
      </c>
      <c r="U825" s="4">
        <v>107.79</v>
      </c>
      <c r="V825" t="str">
        <f t="shared" si="12"/>
        <v>EP39</v>
      </c>
      <c r="W825" t="str">
        <f>VLOOKUP(K825,[1]Info!A$1:B$21,2,0)</f>
        <v>Equipamentos Carbonização</v>
      </c>
      <c r="X825" t="str">
        <f>IF(M825="109595132","Material de Limpeza-Não Avaliar",IF(AND(K825="F20",M825&lt;&gt;109595132),IF(RIGHT(F825,2)="70","Infraestrutura de Planta","Prédios e Instalações"),IF(K825="FPC",VLOOKUP(F825,[1]Info!$E$2:$F$11,2,0),IF(K825="FGP",VLOOKUP(F825,[1]Info!$E$9:$F$10,2,0),IF(K825="F10",VLOOKUP(F825,[1]Info!$E$2:$F$3,2,0),VLOOKUP(K825,[1]Info!$A$1:$B$21,2,0))))))</f>
        <v>Equipamentos Carbonização</v>
      </c>
    </row>
    <row r="826" spans="1:24" x14ac:dyDescent="0.35">
      <c r="A826" t="s">
        <v>41</v>
      </c>
      <c r="B826" t="s">
        <v>73</v>
      </c>
      <c r="C826" t="s">
        <v>74</v>
      </c>
      <c r="D826" t="s">
        <v>542</v>
      </c>
      <c r="E826" t="s">
        <v>543</v>
      </c>
      <c r="F826">
        <v>7092370</v>
      </c>
      <c r="G826" t="s">
        <v>292</v>
      </c>
      <c r="H826" t="s">
        <v>43</v>
      </c>
      <c r="I826" t="s">
        <v>44</v>
      </c>
      <c r="J826" t="s">
        <v>208</v>
      </c>
      <c r="K826" t="s">
        <v>7</v>
      </c>
      <c r="L826" t="s">
        <v>148</v>
      </c>
      <c r="M826" t="s">
        <v>1036</v>
      </c>
      <c r="N826" t="s">
        <v>1037</v>
      </c>
      <c r="O826" t="s">
        <v>293</v>
      </c>
      <c r="P826" t="s">
        <v>383</v>
      </c>
      <c r="Q826" t="s">
        <v>1074</v>
      </c>
      <c r="R826" t="s">
        <v>1075</v>
      </c>
      <c r="S826" t="s">
        <v>46</v>
      </c>
      <c r="T826" t="s">
        <v>46</v>
      </c>
      <c r="U826" s="4">
        <v>69.48</v>
      </c>
      <c r="V826" t="str">
        <f t="shared" si="12"/>
        <v>FR19</v>
      </c>
      <c r="W826" t="str">
        <f>VLOOKUP(K826,[1]Info!A$1:B$21,2,0)</f>
        <v>Fornos Retangulares - Engenharia e Obras</v>
      </c>
      <c r="X826" t="str">
        <f>IF(M826="109595132","Material de Limpeza-Não Avaliar",IF(AND(K826="F20",M826&lt;&gt;109595132),IF(RIGHT(F826,2)="70","Infraestrutura de Planta","Prédios e Instalações"),IF(K826="FPC",VLOOKUP(F826,[1]Info!$E$2:$F$11,2,0),IF(K826="FGP",VLOOKUP(F826,[1]Info!$E$9:$F$10,2,0),IF(K826="F10",VLOOKUP(F826,[1]Info!$E$2:$F$3,2,0),VLOOKUP(K826,[1]Info!$A$1:$B$21,2,0))))))</f>
        <v>Fornos Retangulares - Engenharia e Obras</v>
      </c>
    </row>
    <row r="827" spans="1:24" x14ac:dyDescent="0.35">
      <c r="A827" t="s">
        <v>41</v>
      </c>
      <c r="B827" t="s">
        <v>73</v>
      </c>
      <c r="C827" t="s">
        <v>74</v>
      </c>
      <c r="D827" t="s">
        <v>542</v>
      </c>
      <c r="E827" t="s">
        <v>543</v>
      </c>
      <c r="F827">
        <v>7092370</v>
      </c>
      <c r="G827" t="s">
        <v>292</v>
      </c>
      <c r="H827" t="s">
        <v>43</v>
      </c>
      <c r="I827" t="s">
        <v>44</v>
      </c>
      <c r="J827" t="s">
        <v>208</v>
      </c>
      <c r="K827" t="s">
        <v>6</v>
      </c>
      <c r="L827" t="s">
        <v>51</v>
      </c>
      <c r="M827" t="s">
        <v>294</v>
      </c>
      <c r="N827" t="s">
        <v>295</v>
      </c>
      <c r="O827" t="s">
        <v>296</v>
      </c>
      <c r="P827" t="s">
        <v>383</v>
      </c>
      <c r="Q827" t="s">
        <v>1089</v>
      </c>
      <c r="R827" t="s">
        <v>1090</v>
      </c>
      <c r="S827" t="s">
        <v>46</v>
      </c>
      <c r="T827" t="s">
        <v>46</v>
      </c>
      <c r="U827" s="4">
        <v>34.28</v>
      </c>
      <c r="V827" t="str">
        <f t="shared" si="12"/>
        <v>-005</v>
      </c>
      <c r="W827" t="str">
        <f>VLOOKUP(K827,[1]Info!A$1:B$21,2,0)</f>
        <v>Equipamentos Carbonização</v>
      </c>
      <c r="X827" t="str">
        <f>IF(M827="109595132","Material de Limpeza-Não Avaliar",IF(AND(K827="F20",M827&lt;&gt;109595132),IF(RIGHT(F827,2)="70","Infraestrutura de Planta","Prédios e Instalações"),IF(K827="FPC",VLOOKUP(F827,[1]Info!$E$2:$F$11,2,0),IF(K827="FGP",VLOOKUP(F827,[1]Info!$E$9:$F$10,2,0),IF(K827="F10",VLOOKUP(F827,[1]Info!$E$2:$F$3,2,0),VLOOKUP(K827,[1]Info!$A$1:$B$21,2,0))))))</f>
        <v>Equipamentos Carbonização</v>
      </c>
    </row>
    <row r="828" spans="1:24" x14ac:dyDescent="0.35">
      <c r="A828" t="s">
        <v>41</v>
      </c>
      <c r="B828" t="s">
        <v>73</v>
      </c>
      <c r="C828" t="s">
        <v>74</v>
      </c>
      <c r="D828" t="s">
        <v>542</v>
      </c>
      <c r="E828" t="s">
        <v>543</v>
      </c>
      <c r="F828">
        <v>7092370</v>
      </c>
      <c r="G828" t="s">
        <v>292</v>
      </c>
      <c r="H828" t="s">
        <v>43</v>
      </c>
      <c r="I828" t="s">
        <v>44</v>
      </c>
      <c r="J828" t="s">
        <v>208</v>
      </c>
      <c r="K828" t="s">
        <v>6</v>
      </c>
      <c r="L828" t="s">
        <v>51</v>
      </c>
      <c r="M828" t="s">
        <v>294</v>
      </c>
      <c r="N828" t="s">
        <v>295</v>
      </c>
      <c r="O828" t="s">
        <v>296</v>
      </c>
      <c r="P828" t="s">
        <v>383</v>
      </c>
      <c r="Q828" t="s">
        <v>1091</v>
      </c>
      <c r="R828" t="s">
        <v>1092</v>
      </c>
      <c r="S828" t="s">
        <v>46</v>
      </c>
      <c r="T828" t="s">
        <v>46</v>
      </c>
      <c r="U828" s="4">
        <v>89.27</v>
      </c>
      <c r="V828" t="str">
        <f t="shared" si="12"/>
        <v>-005</v>
      </c>
      <c r="W828" t="str">
        <f>VLOOKUP(K828,[1]Info!A$1:B$21,2,0)</f>
        <v>Equipamentos Carbonização</v>
      </c>
      <c r="X828" t="str">
        <f>IF(M828="109595132","Material de Limpeza-Não Avaliar",IF(AND(K828="F20",M828&lt;&gt;109595132),IF(RIGHT(F828,2)="70","Infraestrutura de Planta","Prédios e Instalações"),IF(K828="FPC",VLOOKUP(F828,[1]Info!$E$2:$F$11,2,0),IF(K828="FGP",VLOOKUP(F828,[1]Info!$E$9:$F$10,2,0),IF(K828="F10",VLOOKUP(F828,[1]Info!$E$2:$F$3,2,0),VLOOKUP(K828,[1]Info!$A$1:$B$21,2,0))))))</f>
        <v>Equipamentos Carbonização</v>
      </c>
    </row>
    <row r="829" spans="1:24" x14ac:dyDescent="0.35">
      <c r="A829" t="s">
        <v>41</v>
      </c>
      <c r="B829" t="s">
        <v>73</v>
      </c>
      <c r="C829" t="s">
        <v>74</v>
      </c>
      <c r="D829" t="s">
        <v>542</v>
      </c>
      <c r="E829" t="s">
        <v>543</v>
      </c>
      <c r="F829">
        <v>7092370</v>
      </c>
      <c r="G829" t="s">
        <v>292</v>
      </c>
      <c r="H829" t="s">
        <v>43</v>
      </c>
      <c r="I829" t="s">
        <v>44</v>
      </c>
      <c r="J829" t="s">
        <v>208</v>
      </c>
      <c r="K829" t="s">
        <v>6</v>
      </c>
      <c r="L829" t="s">
        <v>51</v>
      </c>
      <c r="M829" t="s">
        <v>294</v>
      </c>
      <c r="N829" t="s">
        <v>295</v>
      </c>
      <c r="O829" t="s">
        <v>296</v>
      </c>
      <c r="P829" t="s">
        <v>383</v>
      </c>
      <c r="Q829" t="s">
        <v>551</v>
      </c>
      <c r="R829" t="s">
        <v>552</v>
      </c>
      <c r="S829" t="s">
        <v>46</v>
      </c>
      <c r="T829" t="s">
        <v>46</v>
      </c>
      <c r="U829" s="4">
        <v>391.56</v>
      </c>
      <c r="V829" t="str">
        <f t="shared" si="12"/>
        <v>-005</v>
      </c>
      <c r="W829" t="str">
        <f>VLOOKUP(K829,[1]Info!A$1:B$21,2,0)</f>
        <v>Equipamentos Carbonização</v>
      </c>
      <c r="X829" t="str">
        <f>IF(M829="109595132","Material de Limpeza-Não Avaliar",IF(AND(K829="F20",M829&lt;&gt;109595132),IF(RIGHT(F829,2)="70","Infraestrutura de Planta","Prédios e Instalações"),IF(K829="FPC",VLOOKUP(F829,[1]Info!$E$2:$F$11,2,0),IF(K829="FGP",VLOOKUP(F829,[1]Info!$E$9:$F$10,2,0),IF(K829="F10",VLOOKUP(F829,[1]Info!$E$2:$F$3,2,0),VLOOKUP(K829,[1]Info!$A$1:$B$21,2,0))))))</f>
        <v>Equipamentos Carbonização</v>
      </c>
    </row>
    <row r="830" spans="1:24" x14ac:dyDescent="0.35">
      <c r="A830" t="s">
        <v>41</v>
      </c>
      <c r="B830" t="s">
        <v>73</v>
      </c>
      <c r="C830" t="s">
        <v>74</v>
      </c>
      <c r="D830" t="s">
        <v>542</v>
      </c>
      <c r="E830" t="s">
        <v>543</v>
      </c>
      <c r="F830">
        <v>7092370</v>
      </c>
      <c r="G830" t="s">
        <v>292</v>
      </c>
      <c r="H830" t="s">
        <v>43</v>
      </c>
      <c r="I830" t="s">
        <v>44</v>
      </c>
      <c r="J830" t="s">
        <v>208</v>
      </c>
      <c r="K830" t="s">
        <v>6</v>
      </c>
      <c r="L830" t="s">
        <v>51</v>
      </c>
      <c r="M830" t="s">
        <v>294</v>
      </c>
      <c r="N830" t="s">
        <v>295</v>
      </c>
      <c r="O830" t="s">
        <v>296</v>
      </c>
      <c r="P830" t="s">
        <v>383</v>
      </c>
      <c r="Q830" t="s">
        <v>1076</v>
      </c>
      <c r="R830" t="s">
        <v>1077</v>
      </c>
      <c r="S830" t="s">
        <v>46</v>
      </c>
      <c r="T830" t="s">
        <v>46</v>
      </c>
      <c r="U830" s="4">
        <v>193.58</v>
      </c>
      <c r="V830" t="str">
        <f t="shared" si="12"/>
        <v>-005</v>
      </c>
      <c r="W830" t="str">
        <f>VLOOKUP(K830,[1]Info!A$1:B$21,2,0)</f>
        <v>Equipamentos Carbonização</v>
      </c>
      <c r="X830" t="str">
        <f>IF(M830="109595132","Material de Limpeza-Não Avaliar",IF(AND(K830="F20",M830&lt;&gt;109595132),IF(RIGHT(F830,2)="70","Infraestrutura de Planta","Prédios e Instalações"),IF(K830="FPC",VLOOKUP(F830,[1]Info!$E$2:$F$11,2,0),IF(K830="FGP",VLOOKUP(F830,[1]Info!$E$9:$F$10,2,0),IF(K830="F10",VLOOKUP(F830,[1]Info!$E$2:$F$3,2,0),VLOOKUP(K830,[1]Info!$A$1:$B$21,2,0))))))</f>
        <v>Equipamentos Carbonização</v>
      </c>
    </row>
    <row r="831" spans="1:24" x14ac:dyDescent="0.35">
      <c r="A831" t="s">
        <v>41</v>
      </c>
      <c r="B831" t="s">
        <v>73</v>
      </c>
      <c r="C831" t="s">
        <v>74</v>
      </c>
      <c r="D831" t="s">
        <v>542</v>
      </c>
      <c r="E831" t="s">
        <v>543</v>
      </c>
      <c r="F831">
        <v>7092370</v>
      </c>
      <c r="G831" t="s">
        <v>292</v>
      </c>
      <c r="H831" t="s">
        <v>43</v>
      </c>
      <c r="I831" t="s">
        <v>44</v>
      </c>
      <c r="J831" t="s">
        <v>208</v>
      </c>
      <c r="K831" t="s">
        <v>6</v>
      </c>
      <c r="L831" t="s">
        <v>51</v>
      </c>
      <c r="M831" t="s">
        <v>294</v>
      </c>
      <c r="N831" t="s">
        <v>295</v>
      </c>
      <c r="O831" t="s">
        <v>296</v>
      </c>
      <c r="P831" t="s">
        <v>383</v>
      </c>
      <c r="Q831" t="s">
        <v>764</v>
      </c>
      <c r="R831" t="s">
        <v>765</v>
      </c>
      <c r="S831" t="s">
        <v>46</v>
      </c>
      <c r="T831" t="s">
        <v>46</v>
      </c>
      <c r="U831" s="4">
        <v>388.05</v>
      </c>
      <c r="V831" t="str">
        <f t="shared" si="12"/>
        <v>-005</v>
      </c>
      <c r="W831" t="str">
        <f>VLOOKUP(K831,[1]Info!A$1:B$21,2,0)</f>
        <v>Equipamentos Carbonização</v>
      </c>
      <c r="X831" t="str">
        <f>IF(M831="109595132","Material de Limpeza-Não Avaliar",IF(AND(K831="F20",M831&lt;&gt;109595132),IF(RIGHT(F831,2)="70","Infraestrutura de Planta","Prédios e Instalações"),IF(K831="FPC",VLOOKUP(F831,[1]Info!$E$2:$F$11,2,0),IF(K831="FGP",VLOOKUP(F831,[1]Info!$E$9:$F$10,2,0),IF(K831="F10",VLOOKUP(F831,[1]Info!$E$2:$F$3,2,0),VLOOKUP(K831,[1]Info!$A$1:$B$21,2,0))))))</f>
        <v>Equipamentos Carbonização</v>
      </c>
    </row>
    <row r="832" spans="1:24" x14ac:dyDescent="0.35">
      <c r="A832" t="s">
        <v>41</v>
      </c>
      <c r="B832" t="s">
        <v>73</v>
      </c>
      <c r="C832" t="s">
        <v>74</v>
      </c>
      <c r="D832" t="s">
        <v>542</v>
      </c>
      <c r="E832" t="s">
        <v>543</v>
      </c>
      <c r="F832">
        <v>7092370</v>
      </c>
      <c r="G832" t="s">
        <v>292</v>
      </c>
      <c r="H832" t="s">
        <v>43</v>
      </c>
      <c r="I832" t="s">
        <v>44</v>
      </c>
      <c r="J832" t="s">
        <v>208</v>
      </c>
      <c r="K832" t="s">
        <v>6</v>
      </c>
      <c r="L832" t="s">
        <v>51</v>
      </c>
      <c r="M832" t="s">
        <v>294</v>
      </c>
      <c r="N832" t="s">
        <v>295</v>
      </c>
      <c r="O832" t="s">
        <v>296</v>
      </c>
      <c r="P832" t="s">
        <v>383</v>
      </c>
      <c r="Q832" t="s">
        <v>1081</v>
      </c>
      <c r="R832" t="s">
        <v>1082</v>
      </c>
      <c r="S832" t="s">
        <v>46</v>
      </c>
      <c r="T832" t="s">
        <v>46</v>
      </c>
      <c r="U832" s="4">
        <v>209.16</v>
      </c>
      <c r="V832" t="str">
        <f t="shared" si="12"/>
        <v>-005</v>
      </c>
      <c r="W832" t="str">
        <f>VLOOKUP(K832,[1]Info!A$1:B$21,2,0)</f>
        <v>Equipamentos Carbonização</v>
      </c>
      <c r="X832" t="str">
        <f>IF(M832="109595132","Material de Limpeza-Não Avaliar",IF(AND(K832="F20",M832&lt;&gt;109595132),IF(RIGHT(F832,2)="70","Infraestrutura de Planta","Prédios e Instalações"),IF(K832="FPC",VLOOKUP(F832,[1]Info!$E$2:$F$11,2,0),IF(K832="FGP",VLOOKUP(F832,[1]Info!$E$9:$F$10,2,0),IF(K832="F10",VLOOKUP(F832,[1]Info!$E$2:$F$3,2,0),VLOOKUP(K832,[1]Info!$A$1:$B$21,2,0))))))</f>
        <v>Equipamentos Carbonização</v>
      </c>
    </row>
    <row r="833" spans="1:24" x14ac:dyDescent="0.35">
      <c r="A833" t="s">
        <v>41</v>
      </c>
      <c r="B833" t="s">
        <v>73</v>
      </c>
      <c r="C833" t="s">
        <v>74</v>
      </c>
      <c r="D833" t="s">
        <v>542</v>
      </c>
      <c r="E833" t="s">
        <v>543</v>
      </c>
      <c r="F833">
        <v>7091870</v>
      </c>
      <c r="G833" t="s">
        <v>162</v>
      </c>
      <c r="H833" t="s">
        <v>43</v>
      </c>
      <c r="I833" t="s">
        <v>44</v>
      </c>
      <c r="J833" t="s">
        <v>163</v>
      </c>
      <c r="K833" t="s">
        <v>7</v>
      </c>
      <c r="L833" t="s">
        <v>148</v>
      </c>
      <c r="M833" t="s">
        <v>1038</v>
      </c>
      <c r="N833" t="s">
        <v>1039</v>
      </c>
      <c r="O833" t="s">
        <v>238</v>
      </c>
      <c r="P833" t="s">
        <v>383</v>
      </c>
      <c r="Q833" t="s">
        <v>1074</v>
      </c>
      <c r="R833" t="s">
        <v>1075</v>
      </c>
      <c r="S833" t="s">
        <v>46</v>
      </c>
      <c r="T833" t="s">
        <v>46</v>
      </c>
      <c r="U833" s="4">
        <v>69.48</v>
      </c>
      <c r="V833" t="str">
        <f t="shared" si="12"/>
        <v>FR19</v>
      </c>
      <c r="W833" t="str">
        <f>VLOOKUP(K833,[1]Info!A$1:B$21,2,0)</f>
        <v>Fornos Retangulares - Engenharia e Obras</v>
      </c>
      <c r="X833" t="str">
        <f>IF(M833="109595132","Material de Limpeza-Não Avaliar",IF(AND(K833="F20",M833&lt;&gt;109595132),IF(RIGHT(F833,2)="70","Infraestrutura de Planta","Prédios e Instalações"),IF(K833="FPC",VLOOKUP(F833,[1]Info!$E$2:$F$11,2,0),IF(K833="FGP",VLOOKUP(F833,[1]Info!$E$9:$F$10,2,0),IF(K833="F10",VLOOKUP(F833,[1]Info!$E$2:$F$3,2,0),VLOOKUP(K833,[1]Info!$A$1:$B$21,2,0))))))</f>
        <v>Fornos Retangulares - Engenharia e Obras</v>
      </c>
    </row>
    <row r="834" spans="1:24" x14ac:dyDescent="0.35">
      <c r="A834" t="s">
        <v>41</v>
      </c>
      <c r="B834" t="s">
        <v>73</v>
      </c>
      <c r="C834" t="s">
        <v>74</v>
      </c>
      <c r="D834" t="s">
        <v>542</v>
      </c>
      <c r="E834" t="s">
        <v>543</v>
      </c>
      <c r="F834">
        <v>7091870</v>
      </c>
      <c r="G834" t="s">
        <v>162</v>
      </c>
      <c r="H834" t="s">
        <v>43</v>
      </c>
      <c r="I834" t="s">
        <v>44</v>
      </c>
      <c r="J834" t="s">
        <v>163</v>
      </c>
      <c r="K834" t="s">
        <v>6</v>
      </c>
      <c r="L834" t="s">
        <v>51</v>
      </c>
      <c r="M834" t="s">
        <v>839</v>
      </c>
      <c r="N834" t="s">
        <v>840</v>
      </c>
      <c r="O834" t="s">
        <v>841</v>
      </c>
      <c r="P834" t="s">
        <v>383</v>
      </c>
      <c r="Q834" t="s">
        <v>1089</v>
      </c>
      <c r="R834" t="s">
        <v>1090</v>
      </c>
      <c r="S834" t="s">
        <v>46</v>
      </c>
      <c r="T834" t="s">
        <v>46</v>
      </c>
      <c r="U834" s="4">
        <v>34.28</v>
      </c>
      <c r="V834" t="str">
        <f t="shared" si="12"/>
        <v>0050</v>
      </c>
      <c r="W834" t="str">
        <f>VLOOKUP(K834,[1]Info!A$1:B$21,2,0)</f>
        <v>Equipamentos Carbonização</v>
      </c>
      <c r="X834" t="str">
        <f>IF(M834="109595132","Material de Limpeza-Não Avaliar",IF(AND(K834="F20",M834&lt;&gt;109595132),IF(RIGHT(F834,2)="70","Infraestrutura de Planta","Prédios e Instalações"),IF(K834="FPC",VLOOKUP(F834,[1]Info!$E$2:$F$11,2,0),IF(K834="FGP",VLOOKUP(F834,[1]Info!$E$9:$F$10,2,0),IF(K834="F10",VLOOKUP(F834,[1]Info!$E$2:$F$3,2,0),VLOOKUP(K834,[1]Info!$A$1:$B$21,2,0))))))</f>
        <v>Equipamentos Carbonização</v>
      </c>
    </row>
    <row r="835" spans="1:24" x14ac:dyDescent="0.35">
      <c r="A835" t="s">
        <v>41</v>
      </c>
      <c r="B835" t="s">
        <v>73</v>
      </c>
      <c r="C835" t="s">
        <v>74</v>
      </c>
      <c r="D835" t="s">
        <v>542</v>
      </c>
      <c r="E835" t="s">
        <v>543</v>
      </c>
      <c r="F835">
        <v>7091870</v>
      </c>
      <c r="G835" t="s">
        <v>162</v>
      </c>
      <c r="H835" t="s">
        <v>43</v>
      </c>
      <c r="I835" t="s">
        <v>44</v>
      </c>
      <c r="J835" t="s">
        <v>163</v>
      </c>
      <c r="K835" t="s">
        <v>6</v>
      </c>
      <c r="L835" t="s">
        <v>51</v>
      </c>
      <c r="M835" t="s">
        <v>839</v>
      </c>
      <c r="N835" t="s">
        <v>840</v>
      </c>
      <c r="O835" t="s">
        <v>841</v>
      </c>
      <c r="P835" t="s">
        <v>383</v>
      </c>
      <c r="Q835" t="s">
        <v>1091</v>
      </c>
      <c r="R835" t="s">
        <v>1092</v>
      </c>
      <c r="S835" t="s">
        <v>46</v>
      </c>
      <c r="T835" t="s">
        <v>46</v>
      </c>
      <c r="U835" s="4">
        <v>89.27</v>
      </c>
      <c r="V835" t="str">
        <f t="shared" si="12"/>
        <v>0050</v>
      </c>
      <c r="W835" t="str">
        <f>VLOOKUP(K835,[1]Info!A$1:B$21,2,0)</f>
        <v>Equipamentos Carbonização</v>
      </c>
      <c r="X835" t="str">
        <f>IF(M835="109595132","Material de Limpeza-Não Avaliar",IF(AND(K835="F20",M835&lt;&gt;109595132),IF(RIGHT(F835,2)="70","Infraestrutura de Planta","Prédios e Instalações"),IF(K835="FPC",VLOOKUP(F835,[1]Info!$E$2:$F$11,2,0),IF(K835="FGP",VLOOKUP(F835,[1]Info!$E$9:$F$10,2,0),IF(K835="F10",VLOOKUP(F835,[1]Info!$E$2:$F$3,2,0),VLOOKUP(K835,[1]Info!$A$1:$B$21,2,0))))))</f>
        <v>Equipamentos Carbonização</v>
      </c>
    </row>
    <row r="836" spans="1:24" x14ac:dyDescent="0.35">
      <c r="A836" t="s">
        <v>41</v>
      </c>
      <c r="B836" t="s">
        <v>73</v>
      </c>
      <c r="C836" t="s">
        <v>74</v>
      </c>
      <c r="D836" t="s">
        <v>542</v>
      </c>
      <c r="E836" t="s">
        <v>543</v>
      </c>
      <c r="F836">
        <v>7091870</v>
      </c>
      <c r="G836" t="s">
        <v>162</v>
      </c>
      <c r="H836" t="s">
        <v>43</v>
      </c>
      <c r="I836" t="s">
        <v>44</v>
      </c>
      <c r="J836" t="s">
        <v>163</v>
      </c>
      <c r="K836" t="s">
        <v>6</v>
      </c>
      <c r="L836" t="s">
        <v>51</v>
      </c>
      <c r="M836" t="s">
        <v>839</v>
      </c>
      <c r="N836" t="s">
        <v>840</v>
      </c>
      <c r="O836" t="s">
        <v>841</v>
      </c>
      <c r="P836" t="s">
        <v>383</v>
      </c>
      <c r="Q836" t="s">
        <v>551</v>
      </c>
      <c r="R836" t="s">
        <v>552</v>
      </c>
      <c r="S836" t="s">
        <v>46</v>
      </c>
      <c r="T836" t="s">
        <v>46</v>
      </c>
      <c r="U836" s="4">
        <v>391.56</v>
      </c>
      <c r="V836" t="str">
        <f t="shared" ref="V836:V899" si="13">RIGHT(O836,4)</f>
        <v>0050</v>
      </c>
      <c r="W836" t="str">
        <f>VLOOKUP(K836,[1]Info!A$1:B$21,2,0)</f>
        <v>Equipamentos Carbonização</v>
      </c>
      <c r="X836" t="str">
        <f>IF(M836="109595132","Material de Limpeza-Não Avaliar",IF(AND(K836="F20",M836&lt;&gt;109595132),IF(RIGHT(F836,2)="70","Infraestrutura de Planta","Prédios e Instalações"),IF(K836="FPC",VLOOKUP(F836,[1]Info!$E$2:$F$11,2,0),IF(K836="FGP",VLOOKUP(F836,[1]Info!$E$9:$F$10,2,0),IF(K836="F10",VLOOKUP(F836,[1]Info!$E$2:$F$3,2,0),VLOOKUP(K836,[1]Info!$A$1:$B$21,2,0))))))</f>
        <v>Equipamentos Carbonização</v>
      </c>
    </row>
    <row r="837" spans="1:24" x14ac:dyDescent="0.35">
      <c r="A837" t="s">
        <v>41</v>
      </c>
      <c r="B837" t="s">
        <v>73</v>
      </c>
      <c r="C837" t="s">
        <v>74</v>
      </c>
      <c r="D837" t="s">
        <v>542</v>
      </c>
      <c r="E837" t="s">
        <v>543</v>
      </c>
      <c r="F837">
        <v>7091870</v>
      </c>
      <c r="G837" t="s">
        <v>162</v>
      </c>
      <c r="H837" t="s">
        <v>43</v>
      </c>
      <c r="I837" t="s">
        <v>44</v>
      </c>
      <c r="J837" t="s">
        <v>163</v>
      </c>
      <c r="K837" t="s">
        <v>6</v>
      </c>
      <c r="L837" t="s">
        <v>51</v>
      </c>
      <c r="M837" t="s">
        <v>839</v>
      </c>
      <c r="N837" t="s">
        <v>840</v>
      </c>
      <c r="O837" t="s">
        <v>841</v>
      </c>
      <c r="P837" t="s">
        <v>383</v>
      </c>
      <c r="Q837" t="s">
        <v>1076</v>
      </c>
      <c r="R837" t="s">
        <v>1077</v>
      </c>
      <c r="S837" t="s">
        <v>46</v>
      </c>
      <c r="T837" t="s">
        <v>46</v>
      </c>
      <c r="U837" s="4">
        <v>193.58</v>
      </c>
      <c r="V837" t="str">
        <f t="shared" si="13"/>
        <v>0050</v>
      </c>
      <c r="W837" t="str">
        <f>VLOOKUP(K837,[1]Info!A$1:B$21,2,0)</f>
        <v>Equipamentos Carbonização</v>
      </c>
      <c r="X837" t="str">
        <f>IF(M837="109595132","Material de Limpeza-Não Avaliar",IF(AND(K837="F20",M837&lt;&gt;109595132),IF(RIGHT(F837,2)="70","Infraestrutura de Planta","Prédios e Instalações"),IF(K837="FPC",VLOOKUP(F837,[1]Info!$E$2:$F$11,2,0),IF(K837="FGP",VLOOKUP(F837,[1]Info!$E$9:$F$10,2,0),IF(K837="F10",VLOOKUP(F837,[1]Info!$E$2:$F$3,2,0),VLOOKUP(K837,[1]Info!$A$1:$B$21,2,0))))))</f>
        <v>Equipamentos Carbonização</v>
      </c>
    </row>
    <row r="838" spans="1:24" x14ac:dyDescent="0.35">
      <c r="A838" t="s">
        <v>41</v>
      </c>
      <c r="B838" t="s">
        <v>73</v>
      </c>
      <c r="C838" t="s">
        <v>74</v>
      </c>
      <c r="D838" t="s">
        <v>542</v>
      </c>
      <c r="E838" t="s">
        <v>543</v>
      </c>
      <c r="F838">
        <v>7091870</v>
      </c>
      <c r="G838" t="s">
        <v>162</v>
      </c>
      <c r="H838" t="s">
        <v>43</v>
      </c>
      <c r="I838" t="s">
        <v>44</v>
      </c>
      <c r="J838" t="s">
        <v>163</v>
      </c>
      <c r="K838" t="s">
        <v>6</v>
      </c>
      <c r="L838" t="s">
        <v>51</v>
      </c>
      <c r="M838" t="s">
        <v>839</v>
      </c>
      <c r="N838" t="s">
        <v>840</v>
      </c>
      <c r="O838" t="s">
        <v>841</v>
      </c>
      <c r="P838" t="s">
        <v>383</v>
      </c>
      <c r="Q838" t="s">
        <v>764</v>
      </c>
      <c r="R838" t="s">
        <v>765</v>
      </c>
      <c r="S838" t="s">
        <v>46</v>
      </c>
      <c r="T838" t="s">
        <v>46</v>
      </c>
      <c r="U838" s="4">
        <v>388.06</v>
      </c>
      <c r="V838" t="str">
        <f t="shared" si="13"/>
        <v>0050</v>
      </c>
      <c r="W838" t="str">
        <f>VLOOKUP(K838,[1]Info!A$1:B$21,2,0)</f>
        <v>Equipamentos Carbonização</v>
      </c>
      <c r="X838" t="str">
        <f>IF(M838="109595132","Material de Limpeza-Não Avaliar",IF(AND(K838="F20",M838&lt;&gt;109595132),IF(RIGHT(F838,2)="70","Infraestrutura de Planta","Prédios e Instalações"),IF(K838="FPC",VLOOKUP(F838,[1]Info!$E$2:$F$11,2,0),IF(K838="FGP",VLOOKUP(F838,[1]Info!$E$9:$F$10,2,0),IF(K838="F10",VLOOKUP(F838,[1]Info!$E$2:$F$3,2,0),VLOOKUP(K838,[1]Info!$A$1:$B$21,2,0))))))</f>
        <v>Equipamentos Carbonização</v>
      </c>
    </row>
    <row r="839" spans="1:24" x14ac:dyDescent="0.35">
      <c r="A839" t="s">
        <v>41</v>
      </c>
      <c r="B839" t="s">
        <v>73</v>
      </c>
      <c r="C839" t="s">
        <v>74</v>
      </c>
      <c r="D839" t="s">
        <v>542</v>
      </c>
      <c r="E839" t="s">
        <v>543</v>
      </c>
      <c r="F839">
        <v>7091870</v>
      </c>
      <c r="G839" t="s">
        <v>162</v>
      </c>
      <c r="H839" t="s">
        <v>43</v>
      </c>
      <c r="I839" t="s">
        <v>44</v>
      </c>
      <c r="J839" t="s">
        <v>163</v>
      </c>
      <c r="K839" t="s">
        <v>6</v>
      </c>
      <c r="L839" t="s">
        <v>51</v>
      </c>
      <c r="M839" t="s">
        <v>839</v>
      </c>
      <c r="N839" t="s">
        <v>840</v>
      </c>
      <c r="O839" t="s">
        <v>841</v>
      </c>
      <c r="P839" t="s">
        <v>383</v>
      </c>
      <c r="Q839" t="s">
        <v>1081</v>
      </c>
      <c r="R839" t="s">
        <v>1082</v>
      </c>
      <c r="S839" t="s">
        <v>46</v>
      </c>
      <c r="T839" t="s">
        <v>46</v>
      </c>
      <c r="U839" s="4">
        <v>209.17</v>
      </c>
      <c r="V839" t="str">
        <f t="shared" si="13"/>
        <v>0050</v>
      </c>
      <c r="W839" t="str">
        <f>VLOOKUP(K839,[1]Info!A$1:B$21,2,0)</f>
        <v>Equipamentos Carbonização</v>
      </c>
      <c r="X839" t="str">
        <f>IF(M839="109595132","Material de Limpeza-Não Avaliar",IF(AND(K839="F20",M839&lt;&gt;109595132),IF(RIGHT(F839,2)="70","Infraestrutura de Planta","Prédios e Instalações"),IF(K839="FPC",VLOOKUP(F839,[1]Info!$E$2:$F$11,2,0),IF(K839="FGP",VLOOKUP(F839,[1]Info!$E$9:$F$10,2,0),IF(K839="F10",VLOOKUP(F839,[1]Info!$E$2:$F$3,2,0),VLOOKUP(K839,[1]Info!$A$1:$B$21,2,0))))))</f>
        <v>Equipamentos Carbonização</v>
      </c>
    </row>
    <row r="840" spans="1:24" x14ac:dyDescent="0.35">
      <c r="A840" t="s">
        <v>41</v>
      </c>
      <c r="B840" t="s">
        <v>73</v>
      </c>
      <c r="C840" t="s">
        <v>74</v>
      </c>
      <c r="D840" t="s">
        <v>542</v>
      </c>
      <c r="E840" t="s">
        <v>543</v>
      </c>
      <c r="F840">
        <v>7091870</v>
      </c>
      <c r="G840" t="s">
        <v>162</v>
      </c>
      <c r="H840" t="s">
        <v>43</v>
      </c>
      <c r="I840" t="s">
        <v>44</v>
      </c>
      <c r="J840" t="s">
        <v>163</v>
      </c>
      <c r="K840" t="s">
        <v>5</v>
      </c>
      <c r="L840" t="s">
        <v>148</v>
      </c>
      <c r="M840" t="s">
        <v>1093</v>
      </c>
      <c r="N840" t="s">
        <v>1094</v>
      </c>
      <c r="O840" t="s">
        <v>1095</v>
      </c>
      <c r="P840" t="s">
        <v>383</v>
      </c>
      <c r="Q840" t="s">
        <v>1089</v>
      </c>
      <c r="R840" t="s">
        <v>1090</v>
      </c>
      <c r="S840" t="s">
        <v>46</v>
      </c>
      <c r="T840" t="s">
        <v>46</v>
      </c>
      <c r="U840" s="4">
        <v>47.69</v>
      </c>
      <c r="V840" t="str">
        <f t="shared" si="13"/>
        <v>-FRC</v>
      </c>
      <c r="W840" t="str">
        <f>VLOOKUP(K840,[1]Info!A$1:B$21,2,0)</f>
        <v>Fornos / Carbonização (Setup)</v>
      </c>
      <c r="X840" t="str">
        <f>IF(M840="109595132","Material de Limpeza-Não Avaliar",IF(AND(K840="F20",M840&lt;&gt;109595132),IF(RIGHT(F840,2)="70","Infraestrutura de Planta","Prédios e Instalações"),IF(K840="FPC",VLOOKUP(F840,[1]Info!$E$2:$F$11,2,0),IF(K840="FGP",VLOOKUP(F840,[1]Info!$E$9:$F$10,2,0),IF(K840="F10",VLOOKUP(F840,[1]Info!$E$2:$F$3,2,0),VLOOKUP(K840,[1]Info!$A$1:$B$21,2,0))))))</f>
        <v>Fornos / Carbonização (Setup)</v>
      </c>
    </row>
    <row r="841" spans="1:24" x14ac:dyDescent="0.35">
      <c r="A841" t="s">
        <v>41</v>
      </c>
      <c r="B841" t="s">
        <v>73</v>
      </c>
      <c r="C841" t="s">
        <v>74</v>
      </c>
      <c r="D841" t="s">
        <v>542</v>
      </c>
      <c r="E841" t="s">
        <v>543</v>
      </c>
      <c r="F841">
        <v>7091870</v>
      </c>
      <c r="G841" t="s">
        <v>162</v>
      </c>
      <c r="H841" t="s">
        <v>43</v>
      </c>
      <c r="I841" t="s">
        <v>44</v>
      </c>
      <c r="J841" t="s">
        <v>163</v>
      </c>
      <c r="K841" t="s">
        <v>5</v>
      </c>
      <c r="L841" t="s">
        <v>148</v>
      </c>
      <c r="M841" t="s">
        <v>1093</v>
      </c>
      <c r="N841" t="s">
        <v>1094</v>
      </c>
      <c r="O841" t="s">
        <v>1095</v>
      </c>
      <c r="P841" t="s">
        <v>383</v>
      </c>
      <c r="Q841" t="s">
        <v>764</v>
      </c>
      <c r="R841" t="s">
        <v>765</v>
      </c>
      <c r="S841" t="s">
        <v>46</v>
      </c>
      <c r="T841" t="s">
        <v>46</v>
      </c>
      <c r="U841" s="4">
        <v>125.74</v>
      </c>
      <c r="V841" t="str">
        <f t="shared" si="13"/>
        <v>-FRC</v>
      </c>
      <c r="W841" t="str">
        <f>VLOOKUP(K841,[1]Info!A$1:B$21,2,0)</f>
        <v>Fornos / Carbonização (Setup)</v>
      </c>
      <c r="X841" t="str">
        <f>IF(M841="109595132","Material de Limpeza-Não Avaliar",IF(AND(K841="F20",M841&lt;&gt;109595132),IF(RIGHT(F841,2)="70","Infraestrutura de Planta","Prédios e Instalações"),IF(K841="FPC",VLOOKUP(F841,[1]Info!$E$2:$F$11,2,0),IF(K841="FGP",VLOOKUP(F841,[1]Info!$E$9:$F$10,2,0),IF(K841="F10",VLOOKUP(F841,[1]Info!$E$2:$F$3,2,0),VLOOKUP(K841,[1]Info!$A$1:$B$21,2,0))))))</f>
        <v>Fornos / Carbonização (Setup)</v>
      </c>
    </row>
    <row r="842" spans="1:24" x14ac:dyDescent="0.35">
      <c r="A842" t="s">
        <v>41</v>
      </c>
      <c r="B842" t="s">
        <v>73</v>
      </c>
      <c r="C842" t="s">
        <v>74</v>
      </c>
      <c r="D842" t="s">
        <v>542</v>
      </c>
      <c r="E842" t="s">
        <v>543</v>
      </c>
      <c r="F842">
        <v>7091570</v>
      </c>
      <c r="G842" t="s">
        <v>1096</v>
      </c>
      <c r="H842" t="s">
        <v>43</v>
      </c>
      <c r="I842" t="s">
        <v>44</v>
      </c>
      <c r="J842" t="s">
        <v>79</v>
      </c>
      <c r="K842" t="s">
        <v>6</v>
      </c>
      <c r="L842" t="s">
        <v>51</v>
      </c>
      <c r="M842" t="s">
        <v>1097</v>
      </c>
      <c r="N842" t="s">
        <v>1098</v>
      </c>
      <c r="O842" t="s">
        <v>1099</v>
      </c>
      <c r="P842" t="s">
        <v>383</v>
      </c>
      <c r="Q842" t="s">
        <v>764</v>
      </c>
      <c r="R842" t="s">
        <v>765</v>
      </c>
      <c r="S842" t="s">
        <v>46</v>
      </c>
      <c r="T842" t="s">
        <v>46</v>
      </c>
      <c r="U842" s="4">
        <v>107.79</v>
      </c>
      <c r="V842" t="str">
        <f t="shared" si="13"/>
        <v>-005</v>
      </c>
      <c r="W842" t="str">
        <f>VLOOKUP(K842,[1]Info!A$1:B$21,2,0)</f>
        <v>Equipamentos Carbonização</v>
      </c>
      <c r="X842" t="str">
        <f>IF(M842="109595132","Material de Limpeza-Não Avaliar",IF(AND(K842="F20",M842&lt;&gt;109595132),IF(RIGHT(F842,2)="70","Infraestrutura de Planta","Prédios e Instalações"),IF(K842="FPC",VLOOKUP(F842,[1]Info!$E$2:$F$11,2,0),IF(K842="FGP",VLOOKUP(F842,[1]Info!$E$9:$F$10,2,0),IF(K842="F10",VLOOKUP(F842,[1]Info!$E$2:$F$3,2,0),VLOOKUP(K842,[1]Info!$A$1:$B$21,2,0))))))</f>
        <v>Equipamentos Carbonização</v>
      </c>
    </row>
    <row r="843" spans="1:24" x14ac:dyDescent="0.35">
      <c r="A843" t="s">
        <v>41</v>
      </c>
      <c r="B843" t="s">
        <v>73</v>
      </c>
      <c r="C843" t="s">
        <v>74</v>
      </c>
      <c r="D843" t="s">
        <v>542</v>
      </c>
      <c r="E843" t="s">
        <v>543</v>
      </c>
      <c r="F843">
        <v>7091370</v>
      </c>
      <c r="G843" t="s">
        <v>242</v>
      </c>
      <c r="H843" t="s">
        <v>43</v>
      </c>
      <c r="I843" t="s">
        <v>44</v>
      </c>
      <c r="J843" t="s">
        <v>50</v>
      </c>
      <c r="K843" t="s">
        <v>6</v>
      </c>
      <c r="L843" t="s">
        <v>51</v>
      </c>
      <c r="M843" t="s">
        <v>844</v>
      </c>
      <c r="N843" t="s">
        <v>845</v>
      </c>
      <c r="O843" t="s">
        <v>846</v>
      </c>
      <c r="P843" t="s">
        <v>383</v>
      </c>
      <c r="Q843" t="s">
        <v>1081</v>
      </c>
      <c r="R843" t="s">
        <v>1082</v>
      </c>
      <c r="S843" t="s">
        <v>46</v>
      </c>
      <c r="T843" t="s">
        <v>46</v>
      </c>
      <c r="U843" s="4">
        <v>127.82</v>
      </c>
      <c r="V843" t="str">
        <f t="shared" si="13"/>
        <v>-005</v>
      </c>
      <c r="W843" t="str">
        <f>VLOOKUP(K843,[1]Info!A$1:B$21,2,0)</f>
        <v>Equipamentos Carbonização</v>
      </c>
      <c r="X843" t="str">
        <f>IF(M843="109595132","Material de Limpeza-Não Avaliar",IF(AND(K843="F20",M843&lt;&gt;109595132),IF(RIGHT(F843,2)="70","Infraestrutura de Planta","Prédios e Instalações"),IF(K843="FPC",VLOOKUP(F843,[1]Info!$E$2:$F$11,2,0),IF(K843="FGP",VLOOKUP(F843,[1]Info!$E$9:$F$10,2,0),IF(K843="F10",VLOOKUP(F843,[1]Info!$E$2:$F$3,2,0),VLOOKUP(K843,[1]Info!$A$1:$B$21,2,0))))))</f>
        <v>Equipamentos Carbonização</v>
      </c>
    </row>
    <row r="844" spans="1:24" x14ac:dyDescent="0.35">
      <c r="A844" t="s">
        <v>41</v>
      </c>
      <c r="B844" t="s">
        <v>73</v>
      </c>
      <c r="C844" t="s">
        <v>74</v>
      </c>
      <c r="D844" t="s">
        <v>542</v>
      </c>
      <c r="E844" t="s">
        <v>543</v>
      </c>
      <c r="F844">
        <v>7091370</v>
      </c>
      <c r="G844" t="s">
        <v>242</v>
      </c>
      <c r="H844" t="s">
        <v>43</v>
      </c>
      <c r="I844" t="s">
        <v>44</v>
      </c>
      <c r="J844" t="s">
        <v>50</v>
      </c>
      <c r="K844" t="s">
        <v>5</v>
      </c>
      <c r="L844" t="s">
        <v>148</v>
      </c>
      <c r="M844" t="s">
        <v>1100</v>
      </c>
      <c r="N844" t="s">
        <v>1101</v>
      </c>
      <c r="O844" t="s">
        <v>1102</v>
      </c>
      <c r="P844" t="s">
        <v>383</v>
      </c>
      <c r="Q844" t="s">
        <v>1081</v>
      </c>
      <c r="R844" t="s">
        <v>1082</v>
      </c>
      <c r="S844" t="s">
        <v>46</v>
      </c>
      <c r="T844" t="s">
        <v>46</v>
      </c>
      <c r="U844" s="4">
        <v>11.62</v>
      </c>
      <c r="V844" t="str">
        <f t="shared" si="13"/>
        <v>-035</v>
      </c>
      <c r="W844" t="str">
        <f>VLOOKUP(K844,[1]Info!A$1:B$21,2,0)</f>
        <v>Fornos / Carbonização (Setup)</v>
      </c>
      <c r="X844" t="str">
        <f>IF(M844="109595132","Material de Limpeza-Não Avaliar",IF(AND(K844="F20",M844&lt;&gt;109595132),IF(RIGHT(F844,2)="70","Infraestrutura de Planta","Prédios e Instalações"),IF(K844="FPC",VLOOKUP(F844,[1]Info!$E$2:$F$11,2,0),IF(K844="FGP",VLOOKUP(F844,[1]Info!$E$9:$F$10,2,0),IF(K844="F10",VLOOKUP(F844,[1]Info!$E$2:$F$3,2,0),VLOOKUP(K844,[1]Info!$A$1:$B$21,2,0))))))</f>
        <v>Fornos / Carbonização (Setup)</v>
      </c>
    </row>
    <row r="845" spans="1:24" x14ac:dyDescent="0.35">
      <c r="A845" t="s">
        <v>41</v>
      </c>
      <c r="B845" t="s">
        <v>73</v>
      </c>
      <c r="C845" t="s">
        <v>74</v>
      </c>
      <c r="D845" t="s">
        <v>542</v>
      </c>
      <c r="E845" t="s">
        <v>543</v>
      </c>
      <c r="F845">
        <v>7091370</v>
      </c>
      <c r="G845" t="s">
        <v>242</v>
      </c>
      <c r="H845" t="s">
        <v>43</v>
      </c>
      <c r="I845" t="s">
        <v>44</v>
      </c>
      <c r="J845" t="s">
        <v>50</v>
      </c>
      <c r="K845" t="s">
        <v>5</v>
      </c>
      <c r="L845" t="s">
        <v>148</v>
      </c>
      <c r="M845" t="s">
        <v>1103</v>
      </c>
      <c r="N845" t="s">
        <v>1104</v>
      </c>
      <c r="O845" t="s">
        <v>1105</v>
      </c>
      <c r="P845" t="s">
        <v>383</v>
      </c>
      <c r="Q845" t="s">
        <v>1081</v>
      </c>
      <c r="R845" t="s">
        <v>1082</v>
      </c>
      <c r="S845" t="s">
        <v>46</v>
      </c>
      <c r="T845" t="s">
        <v>46</v>
      </c>
      <c r="U845" s="4">
        <v>11.62</v>
      </c>
      <c r="V845" t="str">
        <f t="shared" si="13"/>
        <v>-035</v>
      </c>
      <c r="W845" t="str">
        <f>VLOOKUP(K845,[1]Info!A$1:B$21,2,0)</f>
        <v>Fornos / Carbonização (Setup)</v>
      </c>
      <c r="X845" t="str">
        <f>IF(M845="109595132","Material de Limpeza-Não Avaliar",IF(AND(K845="F20",M845&lt;&gt;109595132),IF(RIGHT(F845,2)="70","Infraestrutura de Planta","Prédios e Instalações"),IF(K845="FPC",VLOOKUP(F845,[1]Info!$E$2:$F$11,2,0),IF(K845="FGP",VLOOKUP(F845,[1]Info!$E$9:$F$10,2,0),IF(K845="F10",VLOOKUP(F845,[1]Info!$E$2:$F$3,2,0),VLOOKUP(K845,[1]Info!$A$1:$B$21,2,0))))))</f>
        <v>Fornos / Carbonização (Setup)</v>
      </c>
    </row>
    <row r="846" spans="1:24" x14ac:dyDescent="0.35">
      <c r="A846" t="s">
        <v>41</v>
      </c>
      <c r="B846" t="s">
        <v>73</v>
      </c>
      <c r="C846" t="s">
        <v>74</v>
      </c>
      <c r="D846" t="s">
        <v>542</v>
      </c>
      <c r="E846" t="s">
        <v>543</v>
      </c>
      <c r="F846">
        <v>7091370</v>
      </c>
      <c r="G846" t="s">
        <v>242</v>
      </c>
      <c r="H846" t="s">
        <v>43</v>
      </c>
      <c r="I846" t="s">
        <v>44</v>
      </c>
      <c r="J846" t="s">
        <v>50</v>
      </c>
      <c r="K846" t="s">
        <v>5</v>
      </c>
      <c r="L846" t="s">
        <v>148</v>
      </c>
      <c r="M846" t="s">
        <v>1106</v>
      </c>
      <c r="N846" t="s">
        <v>1107</v>
      </c>
      <c r="O846" t="s">
        <v>1108</v>
      </c>
      <c r="P846" t="s">
        <v>383</v>
      </c>
      <c r="Q846" t="s">
        <v>1081</v>
      </c>
      <c r="R846" t="s">
        <v>1082</v>
      </c>
      <c r="S846" t="s">
        <v>46</v>
      </c>
      <c r="T846" t="s">
        <v>46</v>
      </c>
      <c r="U846" s="4">
        <v>11.62</v>
      </c>
      <c r="V846" t="str">
        <f t="shared" si="13"/>
        <v>-035</v>
      </c>
      <c r="W846" t="str">
        <f>VLOOKUP(K846,[1]Info!A$1:B$21,2,0)</f>
        <v>Fornos / Carbonização (Setup)</v>
      </c>
      <c r="X846" t="str">
        <f>IF(M846="109595132","Material de Limpeza-Não Avaliar",IF(AND(K846="F20",M846&lt;&gt;109595132),IF(RIGHT(F846,2)="70","Infraestrutura de Planta","Prédios e Instalações"),IF(K846="FPC",VLOOKUP(F846,[1]Info!$E$2:$F$11,2,0),IF(K846="FGP",VLOOKUP(F846,[1]Info!$E$9:$F$10,2,0),IF(K846="F10",VLOOKUP(F846,[1]Info!$E$2:$F$3,2,0),VLOOKUP(K846,[1]Info!$A$1:$B$21,2,0))))))</f>
        <v>Fornos / Carbonização (Setup)</v>
      </c>
    </row>
    <row r="847" spans="1:24" x14ac:dyDescent="0.35">
      <c r="A847" t="s">
        <v>41</v>
      </c>
      <c r="B847" t="s">
        <v>73</v>
      </c>
      <c r="C847" t="s">
        <v>74</v>
      </c>
      <c r="D847" t="s">
        <v>542</v>
      </c>
      <c r="E847" t="s">
        <v>543</v>
      </c>
      <c r="F847">
        <v>7091370</v>
      </c>
      <c r="G847" t="s">
        <v>242</v>
      </c>
      <c r="H847" t="s">
        <v>43</v>
      </c>
      <c r="I847" t="s">
        <v>44</v>
      </c>
      <c r="J847" t="s">
        <v>50</v>
      </c>
      <c r="K847" t="s">
        <v>5</v>
      </c>
      <c r="L847" t="s">
        <v>148</v>
      </c>
      <c r="M847" t="s">
        <v>1109</v>
      </c>
      <c r="N847" t="s">
        <v>1110</v>
      </c>
      <c r="O847" t="s">
        <v>1111</v>
      </c>
      <c r="P847" t="s">
        <v>383</v>
      </c>
      <c r="Q847" t="s">
        <v>1081</v>
      </c>
      <c r="R847" t="s">
        <v>1082</v>
      </c>
      <c r="S847" t="s">
        <v>46</v>
      </c>
      <c r="T847" t="s">
        <v>46</v>
      </c>
      <c r="U847" s="4">
        <v>11.62</v>
      </c>
      <c r="V847" t="str">
        <f t="shared" si="13"/>
        <v>-035</v>
      </c>
      <c r="W847" t="str">
        <f>VLOOKUP(K847,[1]Info!A$1:B$21,2,0)</f>
        <v>Fornos / Carbonização (Setup)</v>
      </c>
      <c r="X847" t="str">
        <f>IF(M847="109595132","Material de Limpeza-Não Avaliar",IF(AND(K847="F20",M847&lt;&gt;109595132),IF(RIGHT(F847,2)="70","Infraestrutura de Planta","Prédios e Instalações"),IF(K847="FPC",VLOOKUP(F847,[1]Info!$E$2:$F$11,2,0),IF(K847="FGP",VLOOKUP(F847,[1]Info!$E$9:$F$10,2,0),IF(K847="F10",VLOOKUP(F847,[1]Info!$E$2:$F$3,2,0),VLOOKUP(K847,[1]Info!$A$1:$B$21,2,0))))))</f>
        <v>Fornos / Carbonização (Setup)</v>
      </c>
    </row>
    <row r="848" spans="1:24" x14ac:dyDescent="0.35">
      <c r="A848" t="s">
        <v>41</v>
      </c>
      <c r="B848" t="s">
        <v>73</v>
      </c>
      <c r="C848" t="s">
        <v>74</v>
      </c>
      <c r="D848" t="s">
        <v>94</v>
      </c>
      <c r="E848" t="s">
        <v>52</v>
      </c>
      <c r="F848">
        <v>7098527</v>
      </c>
      <c r="G848" t="s">
        <v>172</v>
      </c>
      <c r="H848" t="s">
        <v>43</v>
      </c>
      <c r="I848" t="s">
        <v>44</v>
      </c>
      <c r="J848" t="s">
        <v>50</v>
      </c>
      <c r="K848" t="s">
        <v>4</v>
      </c>
      <c r="L848" t="s">
        <v>51</v>
      </c>
      <c r="M848" t="s">
        <v>1786</v>
      </c>
      <c r="N848" t="s">
        <v>1787</v>
      </c>
      <c r="O848" t="s">
        <v>173</v>
      </c>
      <c r="P848" t="s">
        <v>1292</v>
      </c>
      <c r="Q848" t="s">
        <v>46</v>
      </c>
      <c r="R848" t="s">
        <v>47</v>
      </c>
      <c r="S848" t="s">
        <v>46</v>
      </c>
      <c r="T848" t="s">
        <v>46</v>
      </c>
      <c r="U848" s="4">
        <v>2448.4299999999998</v>
      </c>
      <c r="V848" t="str">
        <f t="shared" si="13"/>
        <v>GP02</v>
      </c>
      <c r="W848" t="str">
        <f>VLOOKUP(K848,[1]Info!A$1:B$21,2,0)</f>
        <v>Garra Picadora</v>
      </c>
      <c r="X848" t="str">
        <f>IF(M848="109595132","Material de Limpeza-Não Avaliar",IF(AND(K848="F20",M848&lt;&gt;109595132),IF(RIGHT(F848,2)="70","Infraestrutura de Planta","Prédios e Instalações"),IF(K848="FPC",VLOOKUP(F848,[1]Info!$E$2:$F$11,2,0),IF(K848="FGP",VLOOKUP(F848,[1]Info!$E$9:$F$10,2,0),IF(K848="F10",VLOOKUP(F848,[1]Info!$E$2:$F$3,2,0),VLOOKUP(K848,[1]Info!$A$1:$B$21,2,0))))))</f>
        <v>Garra Picadora Diamante</v>
      </c>
    </row>
    <row r="849" spans="1:24" x14ac:dyDescent="0.35">
      <c r="A849" t="s">
        <v>41</v>
      </c>
      <c r="B849" t="s">
        <v>73</v>
      </c>
      <c r="C849" t="s">
        <v>74</v>
      </c>
      <c r="D849" t="s">
        <v>94</v>
      </c>
      <c r="E849" t="s">
        <v>52</v>
      </c>
      <c r="F849">
        <v>7098527</v>
      </c>
      <c r="G849" t="s">
        <v>172</v>
      </c>
      <c r="H849" t="s">
        <v>43</v>
      </c>
      <c r="I849" t="s">
        <v>44</v>
      </c>
      <c r="J849" t="s">
        <v>50</v>
      </c>
      <c r="K849" t="s">
        <v>4</v>
      </c>
      <c r="L849" t="s">
        <v>51</v>
      </c>
      <c r="M849" t="s">
        <v>1788</v>
      </c>
      <c r="N849" t="s">
        <v>1789</v>
      </c>
      <c r="O849" t="s">
        <v>173</v>
      </c>
      <c r="P849" t="s">
        <v>1292</v>
      </c>
      <c r="Q849" t="s">
        <v>46</v>
      </c>
      <c r="R849" t="s">
        <v>47</v>
      </c>
      <c r="S849" t="s">
        <v>46</v>
      </c>
      <c r="T849" t="s">
        <v>46</v>
      </c>
      <c r="U849" s="4">
        <v>1620.6</v>
      </c>
      <c r="V849" t="str">
        <f t="shared" si="13"/>
        <v>GP02</v>
      </c>
      <c r="W849" t="str">
        <f>VLOOKUP(K849,[1]Info!A$1:B$21,2,0)</f>
        <v>Garra Picadora</v>
      </c>
      <c r="X849" t="str">
        <f>IF(M849="109595132","Material de Limpeza-Não Avaliar",IF(AND(K849="F20",M849&lt;&gt;109595132),IF(RIGHT(F849,2)="70","Infraestrutura de Planta","Prédios e Instalações"),IF(K849="FPC",VLOOKUP(F849,[1]Info!$E$2:$F$11,2,0),IF(K849="FGP",VLOOKUP(F849,[1]Info!$E$9:$F$10,2,0),IF(K849="F10",VLOOKUP(F849,[1]Info!$E$2:$F$3,2,0),VLOOKUP(K849,[1]Info!$A$1:$B$21,2,0))))))</f>
        <v>Garra Picadora Diamante</v>
      </c>
    </row>
    <row r="850" spans="1:24" x14ac:dyDescent="0.35">
      <c r="A850" t="s">
        <v>41</v>
      </c>
      <c r="B850" t="s">
        <v>73</v>
      </c>
      <c r="C850" t="s">
        <v>74</v>
      </c>
      <c r="D850" t="s">
        <v>94</v>
      </c>
      <c r="E850" t="s">
        <v>52</v>
      </c>
      <c r="F850">
        <v>7098134</v>
      </c>
      <c r="G850" t="s">
        <v>851</v>
      </c>
      <c r="H850" t="s">
        <v>43</v>
      </c>
      <c r="I850" t="s">
        <v>44</v>
      </c>
      <c r="J850" t="s">
        <v>50</v>
      </c>
      <c r="K850" t="s">
        <v>3</v>
      </c>
      <c r="L850" t="s">
        <v>62</v>
      </c>
      <c r="M850" t="s">
        <v>852</v>
      </c>
      <c r="N850" t="s">
        <v>853</v>
      </c>
      <c r="O850" t="s">
        <v>854</v>
      </c>
      <c r="P850" t="s">
        <v>383</v>
      </c>
      <c r="Q850" t="s">
        <v>1112</v>
      </c>
      <c r="R850" t="s">
        <v>1113</v>
      </c>
      <c r="S850" t="s">
        <v>46</v>
      </c>
      <c r="T850" t="s">
        <v>46</v>
      </c>
      <c r="U850" s="4">
        <v>130.97999999999999</v>
      </c>
      <c r="V850" t="str">
        <f t="shared" si="13"/>
        <v>C020</v>
      </c>
      <c r="W850" t="str">
        <f>VLOOKUP(K850,[1]Info!A$1:B$21,2,0)</f>
        <v>Carregadeira</v>
      </c>
      <c r="X850" t="str">
        <f>IF(M850="109595132","Material de Limpeza-Não Avaliar",IF(AND(K850="F20",M850&lt;&gt;109595132),IF(RIGHT(F850,2)="70","Infraestrutura de Planta","Prédios e Instalações"),IF(K850="FPC",VLOOKUP(F850,[1]Info!$E$2:$F$11,2,0),IF(K850="FGP",VLOOKUP(F850,[1]Info!$E$9:$F$10,2,0),IF(K850="F10",VLOOKUP(F850,[1]Info!$E$2:$F$3,2,0),VLOOKUP(K850,[1]Info!$A$1:$B$21,2,0))))))</f>
        <v>Carregadeira Diamante</v>
      </c>
    </row>
    <row r="851" spans="1:24" x14ac:dyDescent="0.35">
      <c r="A851" t="s">
        <v>41</v>
      </c>
      <c r="B851" t="s">
        <v>73</v>
      </c>
      <c r="C851" t="s">
        <v>74</v>
      </c>
      <c r="D851" t="s">
        <v>94</v>
      </c>
      <c r="E851" t="s">
        <v>52</v>
      </c>
      <c r="F851">
        <v>7098134</v>
      </c>
      <c r="G851" t="s">
        <v>851</v>
      </c>
      <c r="H851" t="s">
        <v>43</v>
      </c>
      <c r="I851" t="s">
        <v>44</v>
      </c>
      <c r="J851" t="s">
        <v>50</v>
      </c>
      <c r="K851" t="s">
        <v>3</v>
      </c>
      <c r="L851" t="s">
        <v>62</v>
      </c>
      <c r="M851" t="s">
        <v>852</v>
      </c>
      <c r="N851" t="s">
        <v>853</v>
      </c>
      <c r="O851" t="s">
        <v>854</v>
      </c>
      <c r="P851" t="s">
        <v>383</v>
      </c>
      <c r="Q851" t="s">
        <v>1114</v>
      </c>
      <c r="R851" t="s">
        <v>1115</v>
      </c>
      <c r="S851" t="s">
        <v>46</v>
      </c>
      <c r="T851" t="s">
        <v>46</v>
      </c>
      <c r="U851" s="4">
        <v>51.45</v>
      </c>
      <c r="V851" t="str">
        <f t="shared" si="13"/>
        <v>C020</v>
      </c>
      <c r="W851" t="str">
        <f>VLOOKUP(K851,[1]Info!A$1:B$21,2,0)</f>
        <v>Carregadeira</v>
      </c>
      <c r="X851" t="str">
        <f>IF(M851="109595132","Material de Limpeza-Não Avaliar",IF(AND(K851="F20",M851&lt;&gt;109595132),IF(RIGHT(F851,2)="70","Infraestrutura de Planta","Prédios e Instalações"),IF(K851="FPC",VLOOKUP(F851,[1]Info!$E$2:$F$11,2,0),IF(K851="FGP",VLOOKUP(F851,[1]Info!$E$9:$F$10,2,0),IF(K851="F10",VLOOKUP(F851,[1]Info!$E$2:$F$3,2,0),VLOOKUP(K851,[1]Info!$A$1:$B$21,2,0))))))</f>
        <v>Carregadeira Diamante</v>
      </c>
    </row>
    <row r="852" spans="1:24" x14ac:dyDescent="0.35">
      <c r="A852" t="s">
        <v>41</v>
      </c>
      <c r="B852" t="s">
        <v>73</v>
      </c>
      <c r="C852" t="s">
        <v>74</v>
      </c>
      <c r="D852" t="s">
        <v>94</v>
      </c>
      <c r="E852" t="s">
        <v>52</v>
      </c>
      <c r="F852">
        <v>7098134</v>
      </c>
      <c r="G852" t="s">
        <v>851</v>
      </c>
      <c r="H852" t="s">
        <v>43</v>
      </c>
      <c r="I852" t="s">
        <v>44</v>
      </c>
      <c r="J852" t="s">
        <v>50</v>
      </c>
      <c r="K852" t="s">
        <v>3</v>
      </c>
      <c r="L852" t="s">
        <v>62</v>
      </c>
      <c r="M852" t="s">
        <v>852</v>
      </c>
      <c r="N852" t="s">
        <v>853</v>
      </c>
      <c r="O852" t="s">
        <v>854</v>
      </c>
      <c r="P852" t="s">
        <v>383</v>
      </c>
      <c r="Q852" t="s">
        <v>1116</v>
      </c>
      <c r="R852" t="s">
        <v>1117</v>
      </c>
      <c r="S852" t="s">
        <v>46</v>
      </c>
      <c r="T852" t="s">
        <v>46</v>
      </c>
      <c r="U852" s="4">
        <v>182.16</v>
      </c>
      <c r="V852" t="str">
        <f t="shared" si="13"/>
        <v>C020</v>
      </c>
      <c r="W852" t="str">
        <f>VLOOKUP(K852,[1]Info!A$1:B$21,2,0)</f>
        <v>Carregadeira</v>
      </c>
      <c r="X852" t="str">
        <f>IF(M852="109595132","Material de Limpeza-Não Avaliar",IF(AND(K852="F20",M852&lt;&gt;109595132),IF(RIGHT(F852,2)="70","Infraestrutura de Planta","Prédios e Instalações"),IF(K852="FPC",VLOOKUP(F852,[1]Info!$E$2:$F$11,2,0),IF(K852="FGP",VLOOKUP(F852,[1]Info!$E$9:$F$10,2,0),IF(K852="F10",VLOOKUP(F852,[1]Info!$E$2:$F$3,2,0),VLOOKUP(K852,[1]Info!$A$1:$B$21,2,0))))))</f>
        <v>Carregadeira Diamante</v>
      </c>
    </row>
    <row r="853" spans="1:24" x14ac:dyDescent="0.35">
      <c r="A853" t="s">
        <v>41</v>
      </c>
      <c r="B853" t="s">
        <v>73</v>
      </c>
      <c r="C853" t="s">
        <v>74</v>
      </c>
      <c r="D853" t="s">
        <v>94</v>
      </c>
      <c r="E853" t="s">
        <v>52</v>
      </c>
      <c r="F853">
        <v>7098134</v>
      </c>
      <c r="G853" t="s">
        <v>851</v>
      </c>
      <c r="H853" t="s">
        <v>43</v>
      </c>
      <c r="I853" t="s">
        <v>44</v>
      </c>
      <c r="J853" t="s">
        <v>50</v>
      </c>
      <c r="K853" t="s">
        <v>3</v>
      </c>
      <c r="L853" t="s">
        <v>62</v>
      </c>
      <c r="M853" t="s">
        <v>852</v>
      </c>
      <c r="N853" t="s">
        <v>853</v>
      </c>
      <c r="O853" t="s">
        <v>854</v>
      </c>
      <c r="P853" t="s">
        <v>383</v>
      </c>
      <c r="Q853" t="s">
        <v>228</v>
      </c>
      <c r="R853" t="s">
        <v>229</v>
      </c>
      <c r="S853" t="s">
        <v>46</v>
      </c>
      <c r="T853" t="s">
        <v>46</v>
      </c>
      <c r="U853" s="4">
        <v>98.42</v>
      </c>
      <c r="V853" t="str">
        <f t="shared" si="13"/>
        <v>C020</v>
      </c>
      <c r="W853" t="str">
        <f>VLOOKUP(K853,[1]Info!A$1:B$21,2,0)</f>
        <v>Carregadeira</v>
      </c>
      <c r="X853" t="str">
        <f>IF(M853="109595132","Material de Limpeza-Não Avaliar",IF(AND(K853="F20",M853&lt;&gt;109595132),IF(RIGHT(F853,2)="70","Infraestrutura de Planta","Prédios e Instalações"),IF(K853="FPC",VLOOKUP(F853,[1]Info!$E$2:$F$11,2,0),IF(K853="FGP",VLOOKUP(F853,[1]Info!$E$9:$F$10,2,0),IF(K853="F10",VLOOKUP(F853,[1]Info!$E$2:$F$3,2,0),VLOOKUP(K853,[1]Info!$A$1:$B$21,2,0))))))</f>
        <v>Carregadeira Diamante</v>
      </c>
    </row>
    <row r="854" spans="1:24" x14ac:dyDescent="0.35">
      <c r="A854" t="s">
        <v>41</v>
      </c>
      <c r="B854" t="s">
        <v>73</v>
      </c>
      <c r="C854" t="s">
        <v>74</v>
      </c>
      <c r="D854" t="s">
        <v>94</v>
      </c>
      <c r="E854" t="s">
        <v>52</v>
      </c>
      <c r="F854">
        <v>7098134</v>
      </c>
      <c r="G854" t="s">
        <v>851</v>
      </c>
      <c r="H854" t="s">
        <v>43</v>
      </c>
      <c r="I854" t="s">
        <v>44</v>
      </c>
      <c r="J854" t="s">
        <v>50</v>
      </c>
      <c r="K854" t="s">
        <v>3</v>
      </c>
      <c r="L854" t="s">
        <v>62</v>
      </c>
      <c r="M854" t="s">
        <v>852</v>
      </c>
      <c r="N854" t="s">
        <v>853</v>
      </c>
      <c r="O854" t="s">
        <v>854</v>
      </c>
      <c r="P854" t="s">
        <v>383</v>
      </c>
      <c r="Q854" t="s">
        <v>1118</v>
      </c>
      <c r="R854" t="s">
        <v>1119</v>
      </c>
      <c r="S854" t="s">
        <v>46</v>
      </c>
      <c r="T854" t="s">
        <v>46</v>
      </c>
      <c r="U854" s="4">
        <v>323.23</v>
      </c>
      <c r="V854" t="str">
        <f t="shared" si="13"/>
        <v>C020</v>
      </c>
      <c r="W854" t="str">
        <f>VLOOKUP(K854,[1]Info!A$1:B$21,2,0)</f>
        <v>Carregadeira</v>
      </c>
      <c r="X854" t="str">
        <f>IF(M854="109595132","Material de Limpeza-Não Avaliar",IF(AND(K854="F20",M854&lt;&gt;109595132),IF(RIGHT(F854,2)="70","Infraestrutura de Planta","Prédios e Instalações"),IF(K854="FPC",VLOOKUP(F854,[1]Info!$E$2:$F$11,2,0),IF(K854="FGP",VLOOKUP(F854,[1]Info!$E$9:$F$10,2,0),IF(K854="F10",VLOOKUP(F854,[1]Info!$E$2:$F$3,2,0),VLOOKUP(K854,[1]Info!$A$1:$B$21,2,0))))))</f>
        <v>Carregadeira Diamante</v>
      </c>
    </row>
    <row r="855" spans="1:24" x14ac:dyDescent="0.35">
      <c r="A855" t="s">
        <v>41</v>
      </c>
      <c r="B855" t="s">
        <v>73</v>
      </c>
      <c r="C855" t="s">
        <v>74</v>
      </c>
      <c r="D855" t="s">
        <v>94</v>
      </c>
      <c r="E855" t="s">
        <v>52</v>
      </c>
      <c r="F855">
        <v>7098134</v>
      </c>
      <c r="G855" t="s">
        <v>851</v>
      </c>
      <c r="H855" t="s">
        <v>43</v>
      </c>
      <c r="I855" t="s">
        <v>44</v>
      </c>
      <c r="J855" t="s">
        <v>50</v>
      </c>
      <c r="K855" t="s">
        <v>3</v>
      </c>
      <c r="L855" t="s">
        <v>62</v>
      </c>
      <c r="M855" t="s">
        <v>852</v>
      </c>
      <c r="N855" t="s">
        <v>853</v>
      </c>
      <c r="O855" t="s">
        <v>854</v>
      </c>
      <c r="P855" t="s">
        <v>383</v>
      </c>
      <c r="Q855" t="s">
        <v>1120</v>
      </c>
      <c r="R855" t="s">
        <v>1121</v>
      </c>
      <c r="S855" t="s">
        <v>46</v>
      </c>
      <c r="T855" t="s">
        <v>46</v>
      </c>
      <c r="U855" s="4">
        <v>176.54</v>
      </c>
      <c r="V855" t="str">
        <f t="shared" si="13"/>
        <v>C020</v>
      </c>
      <c r="W855" t="str">
        <f>VLOOKUP(K855,[1]Info!A$1:B$21,2,0)</f>
        <v>Carregadeira</v>
      </c>
      <c r="X855" t="str">
        <f>IF(M855="109595132","Material de Limpeza-Não Avaliar",IF(AND(K855="F20",M855&lt;&gt;109595132),IF(RIGHT(F855,2)="70","Infraestrutura de Planta","Prédios e Instalações"),IF(K855="FPC",VLOOKUP(F855,[1]Info!$E$2:$F$11,2,0),IF(K855="FGP",VLOOKUP(F855,[1]Info!$E$9:$F$10,2,0),IF(K855="F10",VLOOKUP(F855,[1]Info!$E$2:$F$3,2,0),VLOOKUP(K855,[1]Info!$A$1:$B$21,2,0))))))</f>
        <v>Carregadeira Diamante</v>
      </c>
    </row>
    <row r="856" spans="1:24" x14ac:dyDescent="0.35">
      <c r="A856" t="s">
        <v>41</v>
      </c>
      <c r="B856" t="s">
        <v>73</v>
      </c>
      <c r="C856" t="s">
        <v>74</v>
      </c>
      <c r="D856" t="s">
        <v>94</v>
      </c>
      <c r="E856" t="s">
        <v>52</v>
      </c>
      <c r="F856">
        <v>7098134</v>
      </c>
      <c r="G856" t="s">
        <v>851</v>
      </c>
      <c r="H856" t="s">
        <v>43</v>
      </c>
      <c r="I856" t="s">
        <v>44</v>
      </c>
      <c r="J856" t="s">
        <v>50</v>
      </c>
      <c r="K856" t="s">
        <v>3</v>
      </c>
      <c r="L856" t="s">
        <v>62</v>
      </c>
      <c r="M856" t="s">
        <v>852</v>
      </c>
      <c r="N856" t="s">
        <v>853</v>
      </c>
      <c r="O856" t="s">
        <v>854</v>
      </c>
      <c r="P856" t="s">
        <v>383</v>
      </c>
      <c r="Q856" t="s">
        <v>1122</v>
      </c>
      <c r="R856" t="s">
        <v>1123</v>
      </c>
      <c r="S856" t="s">
        <v>46</v>
      </c>
      <c r="T856" t="s">
        <v>46</v>
      </c>
      <c r="U856" s="4">
        <v>119.04</v>
      </c>
      <c r="V856" t="str">
        <f t="shared" si="13"/>
        <v>C020</v>
      </c>
      <c r="W856" t="str">
        <f>VLOOKUP(K856,[1]Info!A$1:B$21,2,0)</f>
        <v>Carregadeira</v>
      </c>
      <c r="X856" t="str">
        <f>IF(M856="109595132","Material de Limpeza-Não Avaliar",IF(AND(K856="F20",M856&lt;&gt;109595132),IF(RIGHT(F856,2)="70","Infraestrutura de Planta","Prédios e Instalações"),IF(K856="FPC",VLOOKUP(F856,[1]Info!$E$2:$F$11,2,0),IF(K856="FGP",VLOOKUP(F856,[1]Info!$E$9:$F$10,2,0),IF(K856="F10",VLOOKUP(F856,[1]Info!$E$2:$F$3,2,0),VLOOKUP(K856,[1]Info!$A$1:$B$21,2,0))))))</f>
        <v>Carregadeira Diamante</v>
      </c>
    </row>
    <row r="857" spans="1:24" x14ac:dyDescent="0.35">
      <c r="A857" t="s">
        <v>41</v>
      </c>
      <c r="B857" t="s">
        <v>73</v>
      </c>
      <c r="C857" t="s">
        <v>74</v>
      </c>
      <c r="D857" t="s">
        <v>94</v>
      </c>
      <c r="E857" t="s">
        <v>52</v>
      </c>
      <c r="F857">
        <v>7098134</v>
      </c>
      <c r="G857" t="s">
        <v>851</v>
      </c>
      <c r="H857" t="s">
        <v>43</v>
      </c>
      <c r="I857" t="s">
        <v>44</v>
      </c>
      <c r="J857" t="s">
        <v>50</v>
      </c>
      <c r="K857" t="s">
        <v>3</v>
      </c>
      <c r="L857" t="s">
        <v>62</v>
      </c>
      <c r="M857" t="s">
        <v>852</v>
      </c>
      <c r="N857" t="s">
        <v>853</v>
      </c>
      <c r="O857" t="s">
        <v>854</v>
      </c>
      <c r="P857" t="s">
        <v>383</v>
      </c>
      <c r="Q857" t="s">
        <v>1124</v>
      </c>
      <c r="R857" t="s">
        <v>1125</v>
      </c>
      <c r="S857" t="s">
        <v>46</v>
      </c>
      <c r="T857" t="s">
        <v>46</v>
      </c>
      <c r="U857" s="4">
        <v>629.54999999999995</v>
      </c>
      <c r="V857" t="str">
        <f t="shared" si="13"/>
        <v>C020</v>
      </c>
      <c r="W857" t="str">
        <f>VLOOKUP(K857,[1]Info!A$1:B$21,2,0)</f>
        <v>Carregadeira</v>
      </c>
      <c r="X857" t="str">
        <f>IF(M857="109595132","Material de Limpeza-Não Avaliar",IF(AND(K857="F20",M857&lt;&gt;109595132),IF(RIGHT(F857,2)="70","Infraestrutura de Planta","Prédios e Instalações"),IF(K857="FPC",VLOOKUP(F857,[1]Info!$E$2:$F$11,2,0),IF(K857="FGP",VLOOKUP(F857,[1]Info!$E$9:$F$10,2,0),IF(K857="F10",VLOOKUP(F857,[1]Info!$E$2:$F$3,2,0),VLOOKUP(K857,[1]Info!$A$1:$B$21,2,0))))))</f>
        <v>Carregadeira Diamante</v>
      </c>
    </row>
    <row r="858" spans="1:24" x14ac:dyDescent="0.35">
      <c r="A858" t="s">
        <v>41</v>
      </c>
      <c r="B858" t="s">
        <v>73</v>
      </c>
      <c r="C858" t="s">
        <v>74</v>
      </c>
      <c r="D858" t="s">
        <v>94</v>
      </c>
      <c r="E858" t="s">
        <v>52</v>
      </c>
      <c r="F858">
        <v>7098134</v>
      </c>
      <c r="G858" t="s">
        <v>851</v>
      </c>
      <c r="H858" t="s">
        <v>43</v>
      </c>
      <c r="I858" t="s">
        <v>44</v>
      </c>
      <c r="J858" t="s">
        <v>50</v>
      </c>
      <c r="K858" t="s">
        <v>3</v>
      </c>
      <c r="L858" t="s">
        <v>62</v>
      </c>
      <c r="M858" t="s">
        <v>852</v>
      </c>
      <c r="N858" t="s">
        <v>853</v>
      </c>
      <c r="O858" t="s">
        <v>854</v>
      </c>
      <c r="P858" t="s">
        <v>383</v>
      </c>
      <c r="Q858" t="s">
        <v>1126</v>
      </c>
      <c r="R858" t="s">
        <v>1127</v>
      </c>
      <c r="S858" t="s">
        <v>46</v>
      </c>
      <c r="T858" t="s">
        <v>46</v>
      </c>
      <c r="U858" s="4">
        <v>358.24</v>
      </c>
      <c r="V858" t="str">
        <f t="shared" si="13"/>
        <v>C020</v>
      </c>
      <c r="W858" t="str">
        <f>VLOOKUP(K858,[1]Info!A$1:B$21,2,0)</f>
        <v>Carregadeira</v>
      </c>
      <c r="X858" t="str">
        <f>IF(M858="109595132","Material de Limpeza-Não Avaliar",IF(AND(K858="F20",M858&lt;&gt;109595132),IF(RIGHT(F858,2)="70","Infraestrutura de Planta","Prédios e Instalações"),IF(K858="FPC",VLOOKUP(F858,[1]Info!$E$2:$F$11,2,0),IF(K858="FGP",VLOOKUP(F858,[1]Info!$E$9:$F$10,2,0),IF(K858="F10",VLOOKUP(F858,[1]Info!$E$2:$F$3,2,0),VLOOKUP(K858,[1]Info!$A$1:$B$21,2,0))))))</f>
        <v>Carregadeira Diamante</v>
      </c>
    </row>
    <row r="859" spans="1:24" x14ac:dyDescent="0.35">
      <c r="A859" t="s">
        <v>41</v>
      </c>
      <c r="B859" t="s">
        <v>73</v>
      </c>
      <c r="C859" t="s">
        <v>74</v>
      </c>
      <c r="D859" t="s">
        <v>94</v>
      </c>
      <c r="E859" t="s">
        <v>52</v>
      </c>
      <c r="F859">
        <v>7098134</v>
      </c>
      <c r="G859" t="s">
        <v>851</v>
      </c>
      <c r="H859" t="s">
        <v>43</v>
      </c>
      <c r="I859" t="s">
        <v>44</v>
      </c>
      <c r="J859" t="s">
        <v>50</v>
      </c>
      <c r="K859" t="s">
        <v>3</v>
      </c>
      <c r="L859" t="s">
        <v>62</v>
      </c>
      <c r="M859" t="s">
        <v>852</v>
      </c>
      <c r="N859" t="s">
        <v>853</v>
      </c>
      <c r="O859" t="s">
        <v>854</v>
      </c>
      <c r="P859" t="s">
        <v>383</v>
      </c>
      <c r="Q859" t="s">
        <v>154</v>
      </c>
      <c r="R859" t="s">
        <v>155</v>
      </c>
      <c r="S859" t="s">
        <v>46</v>
      </c>
      <c r="T859" t="s">
        <v>46</v>
      </c>
      <c r="U859" s="4">
        <v>81.22</v>
      </c>
      <c r="V859" t="str">
        <f t="shared" si="13"/>
        <v>C020</v>
      </c>
      <c r="W859" t="str">
        <f>VLOOKUP(K859,[1]Info!A$1:B$21,2,0)</f>
        <v>Carregadeira</v>
      </c>
      <c r="X859" t="str">
        <f>IF(M859="109595132","Material de Limpeza-Não Avaliar",IF(AND(K859="F20",M859&lt;&gt;109595132),IF(RIGHT(F859,2)="70","Infraestrutura de Planta","Prédios e Instalações"),IF(K859="FPC",VLOOKUP(F859,[1]Info!$E$2:$F$11,2,0),IF(K859="FGP",VLOOKUP(F859,[1]Info!$E$9:$F$10,2,0),IF(K859="F10",VLOOKUP(F859,[1]Info!$E$2:$F$3,2,0),VLOOKUP(K859,[1]Info!$A$1:$B$21,2,0))))))</f>
        <v>Carregadeira Diamante</v>
      </c>
    </row>
    <row r="860" spans="1:24" x14ac:dyDescent="0.35">
      <c r="A860" t="s">
        <v>41</v>
      </c>
      <c r="B860" t="s">
        <v>73</v>
      </c>
      <c r="C860" t="s">
        <v>74</v>
      </c>
      <c r="D860" t="s">
        <v>94</v>
      </c>
      <c r="E860" t="s">
        <v>52</v>
      </c>
      <c r="F860">
        <v>7098134</v>
      </c>
      <c r="G860" t="s">
        <v>851</v>
      </c>
      <c r="H860" t="s">
        <v>43</v>
      </c>
      <c r="I860" t="s">
        <v>44</v>
      </c>
      <c r="J860" t="s">
        <v>50</v>
      </c>
      <c r="K860" t="s">
        <v>3</v>
      </c>
      <c r="L860" t="s">
        <v>62</v>
      </c>
      <c r="M860" t="s">
        <v>852</v>
      </c>
      <c r="N860" t="s">
        <v>853</v>
      </c>
      <c r="O860" t="s">
        <v>854</v>
      </c>
      <c r="P860" t="s">
        <v>383</v>
      </c>
      <c r="Q860" t="s">
        <v>156</v>
      </c>
      <c r="R860" t="s">
        <v>157</v>
      </c>
      <c r="S860" t="s">
        <v>46</v>
      </c>
      <c r="T860" t="s">
        <v>46</v>
      </c>
      <c r="U860" s="4">
        <v>83.34</v>
      </c>
      <c r="V860" t="str">
        <f t="shared" si="13"/>
        <v>C020</v>
      </c>
      <c r="W860" t="str">
        <f>VLOOKUP(K860,[1]Info!A$1:B$21,2,0)</f>
        <v>Carregadeira</v>
      </c>
      <c r="X860" t="str">
        <f>IF(M860="109595132","Material de Limpeza-Não Avaliar",IF(AND(K860="F20",M860&lt;&gt;109595132),IF(RIGHT(F860,2)="70","Infraestrutura de Planta","Prédios e Instalações"),IF(K860="FPC",VLOOKUP(F860,[1]Info!$E$2:$F$11,2,0),IF(K860="FGP",VLOOKUP(F860,[1]Info!$E$9:$F$10,2,0),IF(K860="F10",VLOOKUP(F860,[1]Info!$E$2:$F$3,2,0),VLOOKUP(K860,[1]Info!$A$1:$B$21,2,0))))))</f>
        <v>Carregadeira Diamante</v>
      </c>
    </row>
    <row r="861" spans="1:24" x14ac:dyDescent="0.35">
      <c r="A861" t="s">
        <v>41</v>
      </c>
      <c r="B861" t="s">
        <v>73</v>
      </c>
      <c r="C861" t="s">
        <v>74</v>
      </c>
      <c r="D861" t="s">
        <v>94</v>
      </c>
      <c r="E861" t="s">
        <v>52</v>
      </c>
      <c r="F861">
        <v>7098134</v>
      </c>
      <c r="G861" t="s">
        <v>851</v>
      </c>
      <c r="H861" t="s">
        <v>43</v>
      </c>
      <c r="I861" t="s">
        <v>44</v>
      </c>
      <c r="J861" t="s">
        <v>50</v>
      </c>
      <c r="K861" t="s">
        <v>3</v>
      </c>
      <c r="L861" t="s">
        <v>62</v>
      </c>
      <c r="M861" t="s">
        <v>852</v>
      </c>
      <c r="N861" t="s">
        <v>853</v>
      </c>
      <c r="O861" t="s">
        <v>854</v>
      </c>
      <c r="P861" t="s">
        <v>383</v>
      </c>
      <c r="Q861" t="s">
        <v>1128</v>
      </c>
      <c r="R861" t="s">
        <v>1129</v>
      </c>
      <c r="S861" t="s">
        <v>46</v>
      </c>
      <c r="T861" t="s">
        <v>46</v>
      </c>
      <c r="U861" s="4">
        <v>121.78</v>
      </c>
      <c r="V861" t="str">
        <f t="shared" si="13"/>
        <v>C020</v>
      </c>
      <c r="W861" t="str">
        <f>VLOOKUP(K861,[1]Info!A$1:B$21,2,0)</f>
        <v>Carregadeira</v>
      </c>
      <c r="X861" t="str">
        <f>IF(M861="109595132","Material de Limpeza-Não Avaliar",IF(AND(K861="F20",M861&lt;&gt;109595132),IF(RIGHT(F861,2)="70","Infraestrutura de Planta","Prédios e Instalações"),IF(K861="FPC",VLOOKUP(F861,[1]Info!$E$2:$F$11,2,0),IF(K861="FGP",VLOOKUP(F861,[1]Info!$E$9:$F$10,2,0),IF(K861="F10",VLOOKUP(F861,[1]Info!$E$2:$F$3,2,0),VLOOKUP(K861,[1]Info!$A$1:$B$21,2,0))))))</f>
        <v>Carregadeira Diamante</v>
      </c>
    </row>
    <row r="862" spans="1:24" x14ac:dyDescent="0.35">
      <c r="A862" t="s">
        <v>41</v>
      </c>
      <c r="B862" t="s">
        <v>73</v>
      </c>
      <c r="C862" t="s">
        <v>74</v>
      </c>
      <c r="D862" t="s">
        <v>94</v>
      </c>
      <c r="E862" t="s">
        <v>52</v>
      </c>
      <c r="F862">
        <v>7098134</v>
      </c>
      <c r="G862" t="s">
        <v>851</v>
      </c>
      <c r="H862" t="s">
        <v>43</v>
      </c>
      <c r="I862" t="s">
        <v>44</v>
      </c>
      <c r="J862" t="s">
        <v>50</v>
      </c>
      <c r="K862" t="s">
        <v>3</v>
      </c>
      <c r="L862" t="s">
        <v>62</v>
      </c>
      <c r="M862" t="s">
        <v>852</v>
      </c>
      <c r="N862" t="s">
        <v>853</v>
      </c>
      <c r="O862" t="s">
        <v>854</v>
      </c>
      <c r="P862" t="s">
        <v>383</v>
      </c>
      <c r="Q862" t="s">
        <v>1130</v>
      </c>
      <c r="R862" t="s">
        <v>1131</v>
      </c>
      <c r="S862" t="s">
        <v>46</v>
      </c>
      <c r="T862" t="s">
        <v>46</v>
      </c>
      <c r="U862" s="4">
        <v>81.52</v>
      </c>
      <c r="V862" t="str">
        <f t="shared" si="13"/>
        <v>C020</v>
      </c>
      <c r="W862" t="str">
        <f>VLOOKUP(K862,[1]Info!A$1:B$21,2,0)</f>
        <v>Carregadeira</v>
      </c>
      <c r="X862" t="str">
        <f>IF(M862="109595132","Material de Limpeza-Não Avaliar",IF(AND(K862="F20",M862&lt;&gt;109595132),IF(RIGHT(F862,2)="70","Infraestrutura de Planta","Prédios e Instalações"),IF(K862="FPC",VLOOKUP(F862,[1]Info!$E$2:$F$11,2,0),IF(K862="FGP",VLOOKUP(F862,[1]Info!$E$9:$F$10,2,0),IF(K862="F10",VLOOKUP(F862,[1]Info!$E$2:$F$3,2,0),VLOOKUP(K862,[1]Info!$A$1:$B$21,2,0))))))</f>
        <v>Carregadeira Diamante</v>
      </c>
    </row>
    <row r="863" spans="1:24" x14ac:dyDescent="0.35">
      <c r="A863" t="s">
        <v>41</v>
      </c>
      <c r="B863" t="s">
        <v>73</v>
      </c>
      <c r="C863" t="s">
        <v>74</v>
      </c>
      <c r="D863" t="s">
        <v>94</v>
      </c>
      <c r="E863" t="s">
        <v>52</v>
      </c>
      <c r="F863">
        <v>7098134</v>
      </c>
      <c r="G863" t="s">
        <v>851</v>
      </c>
      <c r="H863" t="s">
        <v>43</v>
      </c>
      <c r="I863" t="s">
        <v>44</v>
      </c>
      <c r="J863" t="s">
        <v>50</v>
      </c>
      <c r="K863" t="s">
        <v>3</v>
      </c>
      <c r="L863" t="s">
        <v>62</v>
      </c>
      <c r="M863" t="s">
        <v>852</v>
      </c>
      <c r="N863" t="s">
        <v>853</v>
      </c>
      <c r="O863" t="s">
        <v>854</v>
      </c>
      <c r="P863" t="s">
        <v>383</v>
      </c>
      <c r="Q863" t="s">
        <v>1132</v>
      </c>
      <c r="R863" t="s">
        <v>1133</v>
      </c>
      <c r="S863" t="s">
        <v>46</v>
      </c>
      <c r="T863" t="s">
        <v>46</v>
      </c>
      <c r="U863" s="4">
        <v>140.85</v>
      </c>
      <c r="V863" t="str">
        <f t="shared" si="13"/>
        <v>C020</v>
      </c>
      <c r="W863" t="str">
        <f>VLOOKUP(K863,[1]Info!A$1:B$21,2,0)</f>
        <v>Carregadeira</v>
      </c>
      <c r="X863" t="str">
        <f>IF(M863="109595132","Material de Limpeza-Não Avaliar",IF(AND(K863="F20",M863&lt;&gt;109595132),IF(RIGHT(F863,2)="70","Infraestrutura de Planta","Prédios e Instalações"),IF(K863="FPC",VLOOKUP(F863,[1]Info!$E$2:$F$11,2,0),IF(K863="FGP",VLOOKUP(F863,[1]Info!$E$9:$F$10,2,0),IF(K863="F10",VLOOKUP(F863,[1]Info!$E$2:$F$3,2,0),VLOOKUP(K863,[1]Info!$A$1:$B$21,2,0))))))</f>
        <v>Carregadeira Diamante</v>
      </c>
    </row>
    <row r="864" spans="1:24" x14ac:dyDescent="0.35">
      <c r="A864" t="s">
        <v>41</v>
      </c>
      <c r="B864" t="s">
        <v>73</v>
      </c>
      <c r="C864" t="s">
        <v>74</v>
      </c>
      <c r="D864" t="s">
        <v>94</v>
      </c>
      <c r="E864" t="s">
        <v>52</v>
      </c>
      <c r="F864">
        <v>7098134</v>
      </c>
      <c r="G864" t="s">
        <v>851</v>
      </c>
      <c r="H864" t="s">
        <v>43</v>
      </c>
      <c r="I864" t="s">
        <v>44</v>
      </c>
      <c r="J864" t="s">
        <v>50</v>
      </c>
      <c r="K864" t="s">
        <v>3</v>
      </c>
      <c r="L864" t="s">
        <v>62</v>
      </c>
      <c r="M864" t="s">
        <v>852</v>
      </c>
      <c r="N864" t="s">
        <v>853</v>
      </c>
      <c r="O864" t="s">
        <v>854</v>
      </c>
      <c r="P864" t="s">
        <v>383</v>
      </c>
      <c r="Q864" t="s">
        <v>1134</v>
      </c>
      <c r="R864" t="s">
        <v>1135</v>
      </c>
      <c r="S864" t="s">
        <v>46</v>
      </c>
      <c r="T864" t="s">
        <v>46</v>
      </c>
      <c r="U864" s="4">
        <v>549.03</v>
      </c>
      <c r="V864" t="str">
        <f t="shared" si="13"/>
        <v>C020</v>
      </c>
      <c r="W864" t="str">
        <f>VLOOKUP(K864,[1]Info!A$1:B$21,2,0)</f>
        <v>Carregadeira</v>
      </c>
      <c r="X864" t="str">
        <f>IF(M864="109595132","Material de Limpeza-Não Avaliar",IF(AND(K864="F20",M864&lt;&gt;109595132),IF(RIGHT(F864,2)="70","Infraestrutura de Planta","Prédios e Instalações"),IF(K864="FPC",VLOOKUP(F864,[1]Info!$E$2:$F$11,2,0),IF(K864="FGP",VLOOKUP(F864,[1]Info!$E$9:$F$10,2,0),IF(K864="F10",VLOOKUP(F864,[1]Info!$E$2:$F$3,2,0),VLOOKUP(K864,[1]Info!$A$1:$B$21,2,0))))))</f>
        <v>Carregadeira Diamante</v>
      </c>
    </row>
    <row r="865" spans="1:24" x14ac:dyDescent="0.35">
      <c r="A865" t="s">
        <v>41</v>
      </c>
      <c r="B865" t="s">
        <v>73</v>
      </c>
      <c r="C865" t="s">
        <v>74</v>
      </c>
      <c r="D865" t="s">
        <v>94</v>
      </c>
      <c r="E865" t="s">
        <v>52</v>
      </c>
      <c r="F865">
        <v>7098132</v>
      </c>
      <c r="G865" t="s">
        <v>233</v>
      </c>
      <c r="H865" t="s">
        <v>43</v>
      </c>
      <c r="I865" t="s">
        <v>44</v>
      </c>
      <c r="J865" t="s">
        <v>50</v>
      </c>
      <c r="K865" t="s">
        <v>9</v>
      </c>
      <c r="L865" t="s">
        <v>51</v>
      </c>
      <c r="M865" t="s">
        <v>1136</v>
      </c>
      <c r="N865" t="s">
        <v>1137</v>
      </c>
      <c r="O865" t="s">
        <v>234</v>
      </c>
      <c r="P865" t="s">
        <v>383</v>
      </c>
      <c r="Q865" t="s">
        <v>265</v>
      </c>
      <c r="R865" t="s">
        <v>266</v>
      </c>
      <c r="S865" t="s">
        <v>46</v>
      </c>
      <c r="T865" t="s">
        <v>46</v>
      </c>
      <c r="U865" s="4">
        <v>119.48</v>
      </c>
      <c r="V865" t="str">
        <f t="shared" si="13"/>
        <v>CR01</v>
      </c>
      <c r="W865" t="str">
        <f>VLOOKUP(K865,[1]Info!A$1:B$21,2,0)</f>
        <v>Caminhão Barrelador</v>
      </c>
      <c r="X865" t="str">
        <f>IF(M865="109595132","Material de Limpeza-Não Avaliar",IF(AND(K865="F20",M865&lt;&gt;109595132),IF(RIGHT(F865,2)="70","Infraestrutura de Planta","Prédios e Instalações"),IF(K865="FPC",VLOOKUP(F865,[1]Info!$E$2:$F$11,2,0),IF(K865="FGP",VLOOKUP(F865,[1]Info!$E$9:$F$10,2,0),IF(K865="F10",VLOOKUP(F865,[1]Info!$E$2:$F$3,2,0),VLOOKUP(K865,[1]Info!$A$1:$B$21,2,0))))))</f>
        <v>Caminhão Barrelador</v>
      </c>
    </row>
    <row r="866" spans="1:24" x14ac:dyDescent="0.35">
      <c r="A866" t="s">
        <v>41</v>
      </c>
      <c r="B866" t="s">
        <v>73</v>
      </c>
      <c r="C866" t="s">
        <v>74</v>
      </c>
      <c r="D866" t="s">
        <v>94</v>
      </c>
      <c r="E866" t="s">
        <v>52</v>
      </c>
      <c r="F866">
        <v>7098132</v>
      </c>
      <c r="G866" t="s">
        <v>233</v>
      </c>
      <c r="H866" t="s">
        <v>43</v>
      </c>
      <c r="I866" t="s">
        <v>44</v>
      </c>
      <c r="J866" t="s">
        <v>50</v>
      </c>
      <c r="K866" t="s">
        <v>9</v>
      </c>
      <c r="L866" t="s">
        <v>51</v>
      </c>
      <c r="M866" t="s">
        <v>374</v>
      </c>
      <c r="N866" t="s">
        <v>375</v>
      </c>
      <c r="O866" t="s">
        <v>234</v>
      </c>
      <c r="P866" t="s">
        <v>1292</v>
      </c>
      <c r="Q866" t="s">
        <v>46</v>
      </c>
      <c r="R866" t="s">
        <v>47</v>
      </c>
      <c r="S866" t="s">
        <v>46</v>
      </c>
      <c r="T866" t="s">
        <v>46</v>
      </c>
      <c r="U866" s="4">
        <v>780</v>
      </c>
      <c r="V866" t="str">
        <f t="shared" si="13"/>
        <v>CR01</v>
      </c>
      <c r="W866" t="str">
        <f>VLOOKUP(K866,[1]Info!A$1:B$21,2,0)</f>
        <v>Caminhão Barrelador</v>
      </c>
      <c r="X866" t="str">
        <f>IF(M866="109595132","Material de Limpeza-Não Avaliar",IF(AND(K866="F20",M866&lt;&gt;109595132),IF(RIGHT(F866,2)="70","Infraestrutura de Planta","Prédios e Instalações"),IF(K866="FPC",VLOOKUP(F866,[1]Info!$E$2:$F$11,2,0),IF(K866="FGP",VLOOKUP(F866,[1]Info!$E$9:$F$10,2,0),IF(K866="F10",VLOOKUP(F866,[1]Info!$E$2:$F$3,2,0),VLOOKUP(K866,[1]Info!$A$1:$B$21,2,0))))))</f>
        <v>Caminhão Barrelador</v>
      </c>
    </row>
    <row r="867" spans="1:24" x14ac:dyDescent="0.35">
      <c r="A867" t="s">
        <v>41</v>
      </c>
      <c r="B867" t="s">
        <v>73</v>
      </c>
      <c r="C867" t="s">
        <v>74</v>
      </c>
      <c r="D867" t="s">
        <v>94</v>
      </c>
      <c r="E867" t="s">
        <v>52</v>
      </c>
      <c r="F867">
        <v>7098131</v>
      </c>
      <c r="G867" t="s">
        <v>75</v>
      </c>
      <c r="H867" t="s">
        <v>43</v>
      </c>
      <c r="I867" t="s">
        <v>44</v>
      </c>
      <c r="J867" t="s">
        <v>50</v>
      </c>
      <c r="K867" t="s">
        <v>16</v>
      </c>
      <c r="L867" t="s">
        <v>59</v>
      </c>
      <c r="M867" t="s">
        <v>1790</v>
      </c>
      <c r="N867" t="s">
        <v>1791</v>
      </c>
      <c r="O867" t="s">
        <v>1792</v>
      </c>
      <c r="P867" t="s">
        <v>1292</v>
      </c>
      <c r="Q867" t="s">
        <v>46</v>
      </c>
      <c r="R867" t="s">
        <v>47</v>
      </c>
      <c r="S867" t="s">
        <v>46</v>
      </c>
      <c r="T867" t="s">
        <v>46</v>
      </c>
      <c r="U867" s="4">
        <v>255.66</v>
      </c>
      <c r="V867" t="str">
        <f t="shared" si="13"/>
        <v>0070</v>
      </c>
      <c r="W867" t="str">
        <f>VLOOKUP(K867,[1]Info!A$1:B$21,2,0)</f>
        <v>Trator Pneu</v>
      </c>
      <c r="X867" t="str">
        <f>IF(M867="109595132","Material de Limpeza-Não Avaliar",IF(AND(K867="F20",M867&lt;&gt;109595132),IF(RIGHT(F867,2)="70","Infraestrutura de Planta","Prédios e Instalações"),IF(K867="FPC",VLOOKUP(F867,[1]Info!$E$2:$F$11,2,0),IF(K867="FGP",VLOOKUP(F867,[1]Info!$E$9:$F$10,2,0),IF(K867="F10",VLOOKUP(F867,[1]Info!$E$2:$F$3,2,0),VLOOKUP(K867,[1]Info!$A$1:$B$21,2,0))))))</f>
        <v>Trator Pneu</v>
      </c>
    </row>
    <row r="868" spans="1:24" x14ac:dyDescent="0.35">
      <c r="A868" t="s">
        <v>41</v>
      </c>
      <c r="B868" t="s">
        <v>73</v>
      </c>
      <c r="C868" t="s">
        <v>74</v>
      </c>
      <c r="D868" t="s">
        <v>94</v>
      </c>
      <c r="E868" t="s">
        <v>52</v>
      </c>
      <c r="F868">
        <v>7098131</v>
      </c>
      <c r="G868" t="s">
        <v>75</v>
      </c>
      <c r="H868" t="s">
        <v>43</v>
      </c>
      <c r="I868" t="s">
        <v>44</v>
      </c>
      <c r="J868" t="s">
        <v>50</v>
      </c>
      <c r="K868" t="s">
        <v>16</v>
      </c>
      <c r="L868" t="s">
        <v>59</v>
      </c>
      <c r="M868" t="s">
        <v>1138</v>
      </c>
      <c r="N868" t="s">
        <v>1139</v>
      </c>
      <c r="O868" t="s">
        <v>1140</v>
      </c>
      <c r="P868" t="s">
        <v>383</v>
      </c>
      <c r="Q868" t="s">
        <v>128</v>
      </c>
      <c r="R868" t="s">
        <v>129</v>
      </c>
      <c r="S868" t="s">
        <v>46</v>
      </c>
      <c r="T868" t="s">
        <v>46</v>
      </c>
      <c r="U868" s="4">
        <v>263.39999999999998</v>
      </c>
      <c r="V868" t="str">
        <f t="shared" si="13"/>
        <v>0070</v>
      </c>
      <c r="W868" t="str">
        <f>VLOOKUP(K868,[1]Info!A$1:B$21,2,0)</f>
        <v>Trator Pneu</v>
      </c>
      <c r="X868" t="str">
        <f>IF(M868="109595132","Material de Limpeza-Não Avaliar",IF(AND(K868="F20",M868&lt;&gt;109595132),IF(RIGHT(F868,2)="70","Infraestrutura de Planta","Prédios e Instalações"),IF(K868="FPC",VLOOKUP(F868,[1]Info!$E$2:$F$11,2,0),IF(K868="FGP",VLOOKUP(F868,[1]Info!$E$9:$F$10,2,0),IF(K868="F10",VLOOKUP(F868,[1]Info!$E$2:$F$3,2,0),VLOOKUP(K868,[1]Info!$A$1:$B$21,2,0))))))</f>
        <v>Trator Pneu</v>
      </c>
    </row>
    <row r="869" spans="1:24" x14ac:dyDescent="0.35">
      <c r="A869" t="s">
        <v>41</v>
      </c>
      <c r="B869" t="s">
        <v>73</v>
      </c>
      <c r="C869" t="s">
        <v>74</v>
      </c>
      <c r="D869" t="s">
        <v>94</v>
      </c>
      <c r="E869" t="s">
        <v>52</v>
      </c>
      <c r="F869">
        <v>7098131</v>
      </c>
      <c r="G869" t="s">
        <v>75</v>
      </c>
      <c r="H869" t="s">
        <v>43</v>
      </c>
      <c r="I869" t="s">
        <v>44</v>
      </c>
      <c r="J869" t="s">
        <v>50</v>
      </c>
      <c r="K869" t="s">
        <v>16</v>
      </c>
      <c r="L869" t="s">
        <v>59</v>
      </c>
      <c r="M869" t="s">
        <v>1793</v>
      </c>
      <c r="N869" t="s">
        <v>1794</v>
      </c>
      <c r="O869" t="s">
        <v>1795</v>
      </c>
      <c r="P869" t="s">
        <v>1292</v>
      </c>
      <c r="Q869" t="s">
        <v>46</v>
      </c>
      <c r="R869" t="s">
        <v>47</v>
      </c>
      <c r="S869" t="s">
        <v>46</v>
      </c>
      <c r="T869" t="s">
        <v>46</v>
      </c>
      <c r="U869" s="4">
        <v>412.68</v>
      </c>
      <c r="V869" t="str">
        <f t="shared" si="13"/>
        <v>-010</v>
      </c>
      <c r="W869" t="str">
        <f>VLOOKUP(K869,[1]Info!A$1:B$21,2,0)</f>
        <v>Trator Pneu</v>
      </c>
      <c r="X869" t="str">
        <f>IF(M869="109595132","Material de Limpeza-Não Avaliar",IF(AND(K869="F20",M869&lt;&gt;109595132),IF(RIGHT(F869,2)="70","Infraestrutura de Planta","Prédios e Instalações"),IF(K869="FPC",VLOOKUP(F869,[1]Info!$E$2:$F$11,2,0),IF(K869="FGP",VLOOKUP(F869,[1]Info!$E$9:$F$10,2,0),IF(K869="F10",VLOOKUP(F869,[1]Info!$E$2:$F$3,2,0),VLOOKUP(K869,[1]Info!$A$1:$B$21,2,0))))))</f>
        <v>Trator Pneu</v>
      </c>
    </row>
    <row r="870" spans="1:24" x14ac:dyDescent="0.35">
      <c r="A870" t="s">
        <v>41</v>
      </c>
      <c r="B870" t="s">
        <v>73</v>
      </c>
      <c r="C870" t="s">
        <v>74</v>
      </c>
      <c r="D870" t="s">
        <v>94</v>
      </c>
      <c r="E870" t="s">
        <v>52</v>
      </c>
      <c r="F870">
        <v>7098131</v>
      </c>
      <c r="G870" t="s">
        <v>75</v>
      </c>
      <c r="H870" t="s">
        <v>43</v>
      </c>
      <c r="I870" t="s">
        <v>44</v>
      </c>
      <c r="J870" t="s">
        <v>50</v>
      </c>
      <c r="K870" t="s">
        <v>16</v>
      </c>
      <c r="L870" t="s">
        <v>62</v>
      </c>
      <c r="M870" t="s">
        <v>1796</v>
      </c>
      <c r="N870" t="s">
        <v>1797</v>
      </c>
      <c r="O870" t="s">
        <v>886</v>
      </c>
      <c r="P870" t="s">
        <v>1292</v>
      </c>
      <c r="Q870" t="s">
        <v>46</v>
      </c>
      <c r="R870" t="s">
        <v>47</v>
      </c>
      <c r="S870" t="s">
        <v>46</v>
      </c>
      <c r="T870" t="s">
        <v>46</v>
      </c>
      <c r="U870" s="4">
        <v>299.47000000000003</v>
      </c>
      <c r="V870" t="str">
        <f t="shared" si="13"/>
        <v>TP30</v>
      </c>
      <c r="W870" t="str">
        <f>VLOOKUP(K870,[1]Info!A$1:B$21,2,0)</f>
        <v>Trator Pneu</v>
      </c>
      <c r="X870" t="str">
        <f>IF(M870="109595132","Material de Limpeza-Não Avaliar",IF(AND(K870="F20",M870&lt;&gt;109595132),IF(RIGHT(F870,2)="70","Infraestrutura de Planta","Prédios e Instalações"),IF(K870="FPC",VLOOKUP(F870,[1]Info!$E$2:$F$11,2,0),IF(K870="FGP",VLOOKUP(F870,[1]Info!$E$9:$F$10,2,0),IF(K870="F10",VLOOKUP(F870,[1]Info!$E$2:$F$3,2,0),VLOOKUP(K870,[1]Info!$A$1:$B$21,2,0))))))</f>
        <v>Trator Pneu</v>
      </c>
    </row>
    <row r="871" spans="1:24" x14ac:dyDescent="0.35">
      <c r="A871" t="s">
        <v>41</v>
      </c>
      <c r="B871" t="s">
        <v>73</v>
      </c>
      <c r="C871" t="s">
        <v>74</v>
      </c>
      <c r="D871" t="s">
        <v>94</v>
      </c>
      <c r="E871" t="s">
        <v>52</v>
      </c>
      <c r="F871">
        <v>7098131</v>
      </c>
      <c r="G871" t="s">
        <v>75</v>
      </c>
      <c r="H871" t="s">
        <v>43</v>
      </c>
      <c r="I871" t="s">
        <v>44</v>
      </c>
      <c r="J871" t="s">
        <v>50</v>
      </c>
      <c r="K871" t="s">
        <v>16</v>
      </c>
      <c r="L871" t="s">
        <v>62</v>
      </c>
      <c r="M871" t="s">
        <v>1141</v>
      </c>
      <c r="N871" t="s">
        <v>1142</v>
      </c>
      <c r="O871" t="s">
        <v>276</v>
      </c>
      <c r="P871" t="s">
        <v>383</v>
      </c>
      <c r="Q871" t="s">
        <v>86</v>
      </c>
      <c r="R871" t="s">
        <v>80</v>
      </c>
      <c r="S871" t="s">
        <v>46</v>
      </c>
      <c r="T871" t="s">
        <v>46</v>
      </c>
      <c r="U871" s="4">
        <v>135.34</v>
      </c>
      <c r="V871" t="str">
        <f t="shared" si="13"/>
        <v>TP35</v>
      </c>
      <c r="W871" t="str">
        <f>VLOOKUP(K871,[1]Info!A$1:B$21,2,0)</f>
        <v>Trator Pneu</v>
      </c>
      <c r="X871" t="str">
        <f>IF(M871="109595132","Material de Limpeza-Não Avaliar",IF(AND(K871="F20",M871&lt;&gt;109595132),IF(RIGHT(F871,2)="70","Infraestrutura de Planta","Prédios e Instalações"),IF(K871="FPC",VLOOKUP(F871,[1]Info!$E$2:$F$11,2,0),IF(K871="FGP",VLOOKUP(F871,[1]Info!$E$9:$F$10,2,0),IF(K871="F10",VLOOKUP(F871,[1]Info!$E$2:$F$3,2,0),VLOOKUP(K871,[1]Info!$A$1:$B$21,2,0))))))</f>
        <v>Trator Pneu</v>
      </c>
    </row>
    <row r="872" spans="1:24" x14ac:dyDescent="0.35">
      <c r="A872" t="s">
        <v>41</v>
      </c>
      <c r="B872" t="s">
        <v>73</v>
      </c>
      <c r="C872" t="s">
        <v>74</v>
      </c>
      <c r="D872" t="s">
        <v>94</v>
      </c>
      <c r="E872" t="s">
        <v>52</v>
      </c>
      <c r="F872">
        <v>7098131</v>
      </c>
      <c r="G872" t="s">
        <v>75</v>
      </c>
      <c r="H872" t="s">
        <v>43</v>
      </c>
      <c r="I872" t="s">
        <v>44</v>
      </c>
      <c r="J872" t="s">
        <v>50</v>
      </c>
      <c r="K872" t="s">
        <v>16</v>
      </c>
      <c r="L872" t="s">
        <v>62</v>
      </c>
      <c r="M872" t="s">
        <v>1141</v>
      </c>
      <c r="N872" t="s">
        <v>1142</v>
      </c>
      <c r="O872" t="s">
        <v>276</v>
      </c>
      <c r="P872" t="s">
        <v>383</v>
      </c>
      <c r="Q872" t="s">
        <v>128</v>
      </c>
      <c r="R872" t="s">
        <v>129</v>
      </c>
      <c r="S872" t="s">
        <v>46</v>
      </c>
      <c r="T872" t="s">
        <v>46</v>
      </c>
      <c r="U872" s="4">
        <v>263.39999999999998</v>
      </c>
      <c r="V872" t="str">
        <f t="shared" si="13"/>
        <v>TP35</v>
      </c>
      <c r="W872" t="str">
        <f>VLOOKUP(K872,[1]Info!A$1:B$21,2,0)</f>
        <v>Trator Pneu</v>
      </c>
      <c r="X872" t="str">
        <f>IF(M872="109595132","Material de Limpeza-Não Avaliar",IF(AND(K872="F20",M872&lt;&gt;109595132),IF(RIGHT(F872,2)="70","Infraestrutura de Planta","Prédios e Instalações"),IF(K872="FPC",VLOOKUP(F872,[1]Info!$E$2:$F$11,2,0),IF(K872="FGP",VLOOKUP(F872,[1]Info!$E$9:$F$10,2,0),IF(K872="F10",VLOOKUP(F872,[1]Info!$E$2:$F$3,2,0),VLOOKUP(K872,[1]Info!$A$1:$B$21,2,0))))))</f>
        <v>Trator Pneu</v>
      </c>
    </row>
    <row r="873" spans="1:24" x14ac:dyDescent="0.35">
      <c r="A873" t="s">
        <v>41</v>
      </c>
      <c r="B873" t="s">
        <v>73</v>
      </c>
      <c r="C873" t="s">
        <v>74</v>
      </c>
      <c r="D873" t="s">
        <v>94</v>
      </c>
      <c r="E873" t="s">
        <v>52</v>
      </c>
      <c r="F873">
        <v>7098131</v>
      </c>
      <c r="G873" t="s">
        <v>75</v>
      </c>
      <c r="H873" t="s">
        <v>43</v>
      </c>
      <c r="I873" t="s">
        <v>44</v>
      </c>
      <c r="J873" t="s">
        <v>50</v>
      </c>
      <c r="K873" t="s">
        <v>16</v>
      </c>
      <c r="L873" t="s">
        <v>62</v>
      </c>
      <c r="M873" t="s">
        <v>1141</v>
      </c>
      <c r="N873" t="s">
        <v>1142</v>
      </c>
      <c r="O873" t="s">
        <v>276</v>
      </c>
      <c r="P873" t="s">
        <v>383</v>
      </c>
      <c r="Q873" t="s">
        <v>87</v>
      </c>
      <c r="R873" t="s">
        <v>90</v>
      </c>
      <c r="S873" t="s">
        <v>46</v>
      </c>
      <c r="T873" t="s">
        <v>46</v>
      </c>
      <c r="U873" s="4">
        <v>71.31</v>
      </c>
      <c r="V873" t="str">
        <f t="shared" si="13"/>
        <v>TP35</v>
      </c>
      <c r="W873" t="str">
        <f>VLOOKUP(K873,[1]Info!A$1:B$21,2,0)</f>
        <v>Trator Pneu</v>
      </c>
      <c r="X873" t="str">
        <f>IF(M873="109595132","Material de Limpeza-Não Avaliar",IF(AND(K873="F20",M873&lt;&gt;109595132),IF(RIGHT(F873,2)="70","Infraestrutura de Planta","Prédios e Instalações"),IF(K873="FPC",VLOOKUP(F873,[1]Info!$E$2:$F$11,2,0),IF(K873="FGP",VLOOKUP(F873,[1]Info!$E$9:$F$10,2,0),IF(K873="F10",VLOOKUP(F873,[1]Info!$E$2:$F$3,2,0),VLOOKUP(K873,[1]Info!$A$1:$B$21,2,0))))))</f>
        <v>Trator Pneu</v>
      </c>
    </row>
    <row r="874" spans="1:24" x14ac:dyDescent="0.35">
      <c r="A874" t="s">
        <v>41</v>
      </c>
      <c r="B874" t="s">
        <v>73</v>
      </c>
      <c r="C874" t="s">
        <v>74</v>
      </c>
      <c r="D874" t="s">
        <v>94</v>
      </c>
      <c r="E874" t="s">
        <v>52</v>
      </c>
      <c r="F874">
        <v>7098131</v>
      </c>
      <c r="G874" t="s">
        <v>75</v>
      </c>
      <c r="H874" t="s">
        <v>43</v>
      </c>
      <c r="I874" t="s">
        <v>44</v>
      </c>
      <c r="J874" t="s">
        <v>50</v>
      </c>
      <c r="K874" t="s">
        <v>16</v>
      </c>
      <c r="L874" t="s">
        <v>62</v>
      </c>
      <c r="M874" t="s">
        <v>1141</v>
      </c>
      <c r="N874" t="s">
        <v>1142</v>
      </c>
      <c r="O874" t="s">
        <v>276</v>
      </c>
      <c r="P874" t="s">
        <v>383</v>
      </c>
      <c r="Q874" t="s">
        <v>130</v>
      </c>
      <c r="R874" t="s">
        <v>131</v>
      </c>
      <c r="S874" t="s">
        <v>46</v>
      </c>
      <c r="T874" t="s">
        <v>46</v>
      </c>
      <c r="U874" s="4">
        <v>110.89</v>
      </c>
      <c r="V874" t="str">
        <f t="shared" si="13"/>
        <v>TP35</v>
      </c>
      <c r="W874" t="str">
        <f>VLOOKUP(K874,[1]Info!A$1:B$21,2,0)</f>
        <v>Trator Pneu</v>
      </c>
      <c r="X874" t="str">
        <f>IF(M874="109595132","Material de Limpeza-Não Avaliar",IF(AND(K874="F20",M874&lt;&gt;109595132),IF(RIGHT(F874,2)="70","Infraestrutura de Planta","Prédios e Instalações"),IF(K874="FPC",VLOOKUP(F874,[1]Info!$E$2:$F$11,2,0),IF(K874="FGP",VLOOKUP(F874,[1]Info!$E$9:$F$10,2,0),IF(K874="F10",VLOOKUP(F874,[1]Info!$E$2:$F$3,2,0),VLOOKUP(K874,[1]Info!$A$1:$B$21,2,0))))))</f>
        <v>Trator Pneu</v>
      </c>
    </row>
    <row r="875" spans="1:24" x14ac:dyDescent="0.35">
      <c r="A875" t="s">
        <v>41</v>
      </c>
      <c r="B875" t="s">
        <v>73</v>
      </c>
      <c r="C875" t="s">
        <v>74</v>
      </c>
      <c r="D875" t="s">
        <v>94</v>
      </c>
      <c r="E875" t="s">
        <v>52</v>
      </c>
      <c r="F875">
        <v>7098131</v>
      </c>
      <c r="G875" t="s">
        <v>75</v>
      </c>
      <c r="H875" t="s">
        <v>43</v>
      </c>
      <c r="I875" t="s">
        <v>44</v>
      </c>
      <c r="J875" t="s">
        <v>50</v>
      </c>
      <c r="K875" t="s">
        <v>16</v>
      </c>
      <c r="L875" t="s">
        <v>62</v>
      </c>
      <c r="M875" t="s">
        <v>1141</v>
      </c>
      <c r="N875" t="s">
        <v>1142</v>
      </c>
      <c r="O875" t="s">
        <v>276</v>
      </c>
      <c r="P875" t="s">
        <v>383</v>
      </c>
      <c r="Q875" t="s">
        <v>88</v>
      </c>
      <c r="R875" t="s">
        <v>81</v>
      </c>
      <c r="S875" t="s">
        <v>46</v>
      </c>
      <c r="T875" t="s">
        <v>46</v>
      </c>
      <c r="U875" s="4">
        <v>129.47</v>
      </c>
      <c r="V875" t="str">
        <f t="shared" si="13"/>
        <v>TP35</v>
      </c>
      <c r="W875" t="str">
        <f>VLOOKUP(K875,[1]Info!A$1:B$21,2,0)</f>
        <v>Trator Pneu</v>
      </c>
      <c r="X875" t="str">
        <f>IF(M875="109595132","Material de Limpeza-Não Avaliar",IF(AND(K875="F20",M875&lt;&gt;109595132),IF(RIGHT(F875,2)="70","Infraestrutura de Planta","Prédios e Instalações"),IF(K875="FPC",VLOOKUP(F875,[1]Info!$E$2:$F$11,2,0),IF(K875="FGP",VLOOKUP(F875,[1]Info!$E$9:$F$10,2,0),IF(K875="F10",VLOOKUP(F875,[1]Info!$E$2:$F$3,2,0),VLOOKUP(K875,[1]Info!$A$1:$B$21,2,0))))))</f>
        <v>Trator Pneu</v>
      </c>
    </row>
    <row r="876" spans="1:24" x14ac:dyDescent="0.35">
      <c r="A876" t="s">
        <v>41</v>
      </c>
      <c r="B876" t="s">
        <v>73</v>
      </c>
      <c r="C876" t="s">
        <v>74</v>
      </c>
      <c r="D876" t="s">
        <v>94</v>
      </c>
      <c r="E876" t="s">
        <v>52</v>
      </c>
      <c r="F876">
        <v>7098131</v>
      </c>
      <c r="G876" t="s">
        <v>75</v>
      </c>
      <c r="H876" t="s">
        <v>43</v>
      </c>
      <c r="I876" t="s">
        <v>44</v>
      </c>
      <c r="J876" t="s">
        <v>50</v>
      </c>
      <c r="K876" t="s">
        <v>16</v>
      </c>
      <c r="L876" t="s">
        <v>62</v>
      </c>
      <c r="M876" t="s">
        <v>1141</v>
      </c>
      <c r="N876" t="s">
        <v>1142</v>
      </c>
      <c r="O876" t="s">
        <v>276</v>
      </c>
      <c r="P876" t="s">
        <v>383</v>
      </c>
      <c r="Q876" t="s">
        <v>132</v>
      </c>
      <c r="R876" t="s">
        <v>133</v>
      </c>
      <c r="S876" t="s">
        <v>46</v>
      </c>
      <c r="T876" t="s">
        <v>46</v>
      </c>
      <c r="U876" s="4">
        <v>154.15</v>
      </c>
      <c r="V876" t="str">
        <f t="shared" si="13"/>
        <v>TP35</v>
      </c>
      <c r="W876" t="str">
        <f>VLOOKUP(K876,[1]Info!A$1:B$21,2,0)</f>
        <v>Trator Pneu</v>
      </c>
      <c r="X876" t="str">
        <f>IF(M876="109595132","Material de Limpeza-Não Avaliar",IF(AND(K876="F20",M876&lt;&gt;109595132),IF(RIGHT(F876,2)="70","Infraestrutura de Planta","Prédios e Instalações"),IF(K876="FPC",VLOOKUP(F876,[1]Info!$E$2:$F$11,2,0),IF(K876="FGP",VLOOKUP(F876,[1]Info!$E$9:$F$10,2,0),IF(K876="F10",VLOOKUP(F876,[1]Info!$E$2:$F$3,2,0),VLOOKUP(K876,[1]Info!$A$1:$B$21,2,0))))))</f>
        <v>Trator Pneu</v>
      </c>
    </row>
    <row r="877" spans="1:24" x14ac:dyDescent="0.35">
      <c r="A877" t="s">
        <v>41</v>
      </c>
      <c r="B877" t="s">
        <v>73</v>
      </c>
      <c r="C877" t="s">
        <v>74</v>
      </c>
      <c r="D877" t="s">
        <v>94</v>
      </c>
      <c r="E877" t="s">
        <v>52</v>
      </c>
      <c r="F877">
        <v>7098131</v>
      </c>
      <c r="G877" t="s">
        <v>75</v>
      </c>
      <c r="H877" t="s">
        <v>43</v>
      </c>
      <c r="I877" t="s">
        <v>44</v>
      </c>
      <c r="J877" t="s">
        <v>50</v>
      </c>
      <c r="K877" t="s">
        <v>16</v>
      </c>
      <c r="L877" t="s">
        <v>62</v>
      </c>
      <c r="M877" t="s">
        <v>1141</v>
      </c>
      <c r="N877" t="s">
        <v>1142</v>
      </c>
      <c r="O877" t="s">
        <v>276</v>
      </c>
      <c r="P877" t="s">
        <v>383</v>
      </c>
      <c r="Q877" t="s">
        <v>134</v>
      </c>
      <c r="R877" t="s">
        <v>135</v>
      </c>
      <c r="S877" t="s">
        <v>46</v>
      </c>
      <c r="T877" t="s">
        <v>46</v>
      </c>
      <c r="U877" s="4">
        <v>125.7</v>
      </c>
      <c r="V877" t="str">
        <f t="shared" si="13"/>
        <v>TP35</v>
      </c>
      <c r="W877" t="str">
        <f>VLOOKUP(K877,[1]Info!A$1:B$21,2,0)</f>
        <v>Trator Pneu</v>
      </c>
      <c r="X877" t="str">
        <f>IF(M877="109595132","Material de Limpeza-Não Avaliar",IF(AND(K877="F20",M877&lt;&gt;109595132),IF(RIGHT(F877,2)="70","Infraestrutura de Planta","Prédios e Instalações"),IF(K877="FPC",VLOOKUP(F877,[1]Info!$E$2:$F$11,2,0),IF(K877="FGP",VLOOKUP(F877,[1]Info!$E$9:$F$10,2,0),IF(K877="F10",VLOOKUP(F877,[1]Info!$E$2:$F$3,2,0),VLOOKUP(K877,[1]Info!$A$1:$B$21,2,0))))))</f>
        <v>Trator Pneu</v>
      </c>
    </row>
    <row r="878" spans="1:24" x14ac:dyDescent="0.35">
      <c r="A878" t="s">
        <v>41</v>
      </c>
      <c r="B878" t="s">
        <v>73</v>
      </c>
      <c r="C878" t="s">
        <v>74</v>
      </c>
      <c r="D878" t="s">
        <v>94</v>
      </c>
      <c r="E878" t="s">
        <v>52</v>
      </c>
      <c r="F878">
        <v>7098131</v>
      </c>
      <c r="G878" t="s">
        <v>75</v>
      </c>
      <c r="H878" t="s">
        <v>43</v>
      </c>
      <c r="I878" t="s">
        <v>44</v>
      </c>
      <c r="J878" t="s">
        <v>50</v>
      </c>
      <c r="K878" t="s">
        <v>16</v>
      </c>
      <c r="L878" t="s">
        <v>62</v>
      </c>
      <c r="M878" t="s">
        <v>1143</v>
      </c>
      <c r="N878" t="s">
        <v>1144</v>
      </c>
      <c r="O878" t="s">
        <v>1145</v>
      </c>
      <c r="P878" t="s">
        <v>383</v>
      </c>
      <c r="Q878" t="s">
        <v>86</v>
      </c>
      <c r="R878" t="s">
        <v>80</v>
      </c>
      <c r="S878" t="s">
        <v>46</v>
      </c>
      <c r="T878" t="s">
        <v>46</v>
      </c>
      <c r="U878" s="4">
        <v>135.34</v>
      </c>
      <c r="V878" t="str">
        <f t="shared" si="13"/>
        <v>TP34</v>
      </c>
      <c r="W878" t="str">
        <f>VLOOKUP(K878,[1]Info!A$1:B$21,2,0)</f>
        <v>Trator Pneu</v>
      </c>
      <c r="X878" t="str">
        <f>IF(M878="109595132","Material de Limpeza-Não Avaliar",IF(AND(K878="F20",M878&lt;&gt;109595132),IF(RIGHT(F878,2)="70","Infraestrutura de Planta","Prédios e Instalações"),IF(K878="FPC",VLOOKUP(F878,[1]Info!$E$2:$F$11,2,0),IF(K878="FGP",VLOOKUP(F878,[1]Info!$E$9:$F$10,2,0),IF(K878="F10",VLOOKUP(F878,[1]Info!$E$2:$F$3,2,0),VLOOKUP(K878,[1]Info!$A$1:$B$21,2,0))))))</f>
        <v>Trator Pneu</v>
      </c>
    </row>
    <row r="879" spans="1:24" x14ac:dyDescent="0.35">
      <c r="A879" t="s">
        <v>41</v>
      </c>
      <c r="B879" t="s">
        <v>73</v>
      </c>
      <c r="C879" t="s">
        <v>74</v>
      </c>
      <c r="D879" t="s">
        <v>94</v>
      </c>
      <c r="E879" t="s">
        <v>52</v>
      </c>
      <c r="F879">
        <v>7098131</v>
      </c>
      <c r="G879" t="s">
        <v>75</v>
      </c>
      <c r="H879" t="s">
        <v>43</v>
      </c>
      <c r="I879" t="s">
        <v>44</v>
      </c>
      <c r="J879" t="s">
        <v>50</v>
      </c>
      <c r="K879" t="s">
        <v>16</v>
      </c>
      <c r="L879" t="s">
        <v>62</v>
      </c>
      <c r="M879" t="s">
        <v>1143</v>
      </c>
      <c r="N879" t="s">
        <v>1144</v>
      </c>
      <c r="O879" t="s">
        <v>1145</v>
      </c>
      <c r="P879" t="s">
        <v>383</v>
      </c>
      <c r="Q879" t="s">
        <v>128</v>
      </c>
      <c r="R879" t="s">
        <v>129</v>
      </c>
      <c r="S879" t="s">
        <v>46</v>
      </c>
      <c r="T879" t="s">
        <v>46</v>
      </c>
      <c r="U879" s="4">
        <v>263.39999999999998</v>
      </c>
      <c r="V879" t="str">
        <f t="shared" si="13"/>
        <v>TP34</v>
      </c>
      <c r="W879" t="str">
        <f>VLOOKUP(K879,[1]Info!A$1:B$21,2,0)</f>
        <v>Trator Pneu</v>
      </c>
      <c r="X879" t="str">
        <f>IF(M879="109595132","Material de Limpeza-Não Avaliar",IF(AND(K879="F20",M879&lt;&gt;109595132),IF(RIGHT(F879,2)="70","Infraestrutura de Planta","Prédios e Instalações"),IF(K879="FPC",VLOOKUP(F879,[1]Info!$E$2:$F$11,2,0),IF(K879="FGP",VLOOKUP(F879,[1]Info!$E$9:$F$10,2,0),IF(K879="F10",VLOOKUP(F879,[1]Info!$E$2:$F$3,2,0),VLOOKUP(K879,[1]Info!$A$1:$B$21,2,0))))))</f>
        <v>Trator Pneu</v>
      </c>
    </row>
    <row r="880" spans="1:24" x14ac:dyDescent="0.35">
      <c r="A880" t="s">
        <v>41</v>
      </c>
      <c r="B880" t="s">
        <v>73</v>
      </c>
      <c r="C880" t="s">
        <v>74</v>
      </c>
      <c r="D880" t="s">
        <v>94</v>
      </c>
      <c r="E880" t="s">
        <v>52</v>
      </c>
      <c r="F880">
        <v>7098131</v>
      </c>
      <c r="G880" t="s">
        <v>75</v>
      </c>
      <c r="H880" t="s">
        <v>43</v>
      </c>
      <c r="I880" t="s">
        <v>44</v>
      </c>
      <c r="J880" t="s">
        <v>50</v>
      </c>
      <c r="K880" t="s">
        <v>16</v>
      </c>
      <c r="L880" t="s">
        <v>62</v>
      </c>
      <c r="M880" t="s">
        <v>1143</v>
      </c>
      <c r="N880" t="s">
        <v>1144</v>
      </c>
      <c r="O880" t="s">
        <v>1145</v>
      </c>
      <c r="P880" t="s">
        <v>383</v>
      </c>
      <c r="Q880" t="s">
        <v>87</v>
      </c>
      <c r="R880" t="s">
        <v>90</v>
      </c>
      <c r="S880" t="s">
        <v>46</v>
      </c>
      <c r="T880" t="s">
        <v>46</v>
      </c>
      <c r="U880" s="4">
        <v>71.31</v>
      </c>
      <c r="V880" t="str">
        <f t="shared" si="13"/>
        <v>TP34</v>
      </c>
      <c r="W880" t="str">
        <f>VLOOKUP(K880,[1]Info!A$1:B$21,2,0)</f>
        <v>Trator Pneu</v>
      </c>
      <c r="X880" t="str">
        <f>IF(M880="109595132","Material de Limpeza-Não Avaliar",IF(AND(K880="F20",M880&lt;&gt;109595132),IF(RIGHT(F880,2)="70","Infraestrutura de Planta","Prédios e Instalações"),IF(K880="FPC",VLOOKUP(F880,[1]Info!$E$2:$F$11,2,0),IF(K880="FGP",VLOOKUP(F880,[1]Info!$E$9:$F$10,2,0),IF(K880="F10",VLOOKUP(F880,[1]Info!$E$2:$F$3,2,0),VLOOKUP(K880,[1]Info!$A$1:$B$21,2,0))))))</f>
        <v>Trator Pneu</v>
      </c>
    </row>
    <row r="881" spans="1:24" x14ac:dyDescent="0.35">
      <c r="A881" t="s">
        <v>41</v>
      </c>
      <c r="B881" t="s">
        <v>73</v>
      </c>
      <c r="C881" t="s">
        <v>74</v>
      </c>
      <c r="D881" t="s">
        <v>94</v>
      </c>
      <c r="E881" t="s">
        <v>52</v>
      </c>
      <c r="F881">
        <v>7098131</v>
      </c>
      <c r="G881" t="s">
        <v>75</v>
      </c>
      <c r="H881" t="s">
        <v>43</v>
      </c>
      <c r="I881" t="s">
        <v>44</v>
      </c>
      <c r="J881" t="s">
        <v>50</v>
      </c>
      <c r="K881" t="s">
        <v>16</v>
      </c>
      <c r="L881" t="s">
        <v>62</v>
      </c>
      <c r="M881" t="s">
        <v>1143</v>
      </c>
      <c r="N881" t="s">
        <v>1144</v>
      </c>
      <c r="O881" t="s">
        <v>1145</v>
      </c>
      <c r="P881" t="s">
        <v>383</v>
      </c>
      <c r="Q881" t="s">
        <v>130</v>
      </c>
      <c r="R881" t="s">
        <v>131</v>
      </c>
      <c r="S881" t="s">
        <v>46</v>
      </c>
      <c r="T881" t="s">
        <v>46</v>
      </c>
      <c r="U881" s="4">
        <v>110.89</v>
      </c>
      <c r="V881" t="str">
        <f t="shared" si="13"/>
        <v>TP34</v>
      </c>
      <c r="W881" t="str">
        <f>VLOOKUP(K881,[1]Info!A$1:B$21,2,0)</f>
        <v>Trator Pneu</v>
      </c>
      <c r="X881" t="str">
        <f>IF(M881="109595132","Material de Limpeza-Não Avaliar",IF(AND(K881="F20",M881&lt;&gt;109595132),IF(RIGHT(F881,2)="70","Infraestrutura de Planta","Prédios e Instalações"),IF(K881="FPC",VLOOKUP(F881,[1]Info!$E$2:$F$11,2,0),IF(K881="FGP",VLOOKUP(F881,[1]Info!$E$9:$F$10,2,0),IF(K881="F10",VLOOKUP(F881,[1]Info!$E$2:$F$3,2,0),VLOOKUP(K881,[1]Info!$A$1:$B$21,2,0))))))</f>
        <v>Trator Pneu</v>
      </c>
    </row>
    <row r="882" spans="1:24" x14ac:dyDescent="0.35">
      <c r="A882" t="s">
        <v>41</v>
      </c>
      <c r="B882" t="s">
        <v>73</v>
      </c>
      <c r="C882" t="s">
        <v>74</v>
      </c>
      <c r="D882" t="s">
        <v>94</v>
      </c>
      <c r="E882" t="s">
        <v>52</v>
      </c>
      <c r="F882">
        <v>7098131</v>
      </c>
      <c r="G882" t="s">
        <v>75</v>
      </c>
      <c r="H882" t="s">
        <v>43</v>
      </c>
      <c r="I882" t="s">
        <v>44</v>
      </c>
      <c r="J882" t="s">
        <v>50</v>
      </c>
      <c r="K882" t="s">
        <v>16</v>
      </c>
      <c r="L882" t="s">
        <v>62</v>
      </c>
      <c r="M882" t="s">
        <v>1143</v>
      </c>
      <c r="N882" t="s">
        <v>1144</v>
      </c>
      <c r="O882" t="s">
        <v>1145</v>
      </c>
      <c r="P882" t="s">
        <v>383</v>
      </c>
      <c r="Q882" t="s">
        <v>88</v>
      </c>
      <c r="R882" t="s">
        <v>81</v>
      </c>
      <c r="S882" t="s">
        <v>46</v>
      </c>
      <c r="T882" t="s">
        <v>46</v>
      </c>
      <c r="U882" s="4">
        <v>127.89</v>
      </c>
      <c r="V882" t="str">
        <f t="shared" si="13"/>
        <v>TP34</v>
      </c>
      <c r="W882" t="str">
        <f>VLOOKUP(K882,[1]Info!A$1:B$21,2,0)</f>
        <v>Trator Pneu</v>
      </c>
      <c r="X882" t="str">
        <f>IF(M882="109595132","Material de Limpeza-Não Avaliar",IF(AND(K882="F20",M882&lt;&gt;109595132),IF(RIGHT(F882,2)="70","Infraestrutura de Planta","Prédios e Instalações"),IF(K882="FPC",VLOOKUP(F882,[1]Info!$E$2:$F$11,2,0),IF(K882="FGP",VLOOKUP(F882,[1]Info!$E$9:$F$10,2,0),IF(K882="F10",VLOOKUP(F882,[1]Info!$E$2:$F$3,2,0),VLOOKUP(K882,[1]Info!$A$1:$B$21,2,0))))))</f>
        <v>Trator Pneu</v>
      </c>
    </row>
    <row r="883" spans="1:24" x14ac:dyDescent="0.35">
      <c r="A883" t="s">
        <v>41</v>
      </c>
      <c r="B883" t="s">
        <v>73</v>
      </c>
      <c r="C883" t="s">
        <v>74</v>
      </c>
      <c r="D883" t="s">
        <v>94</v>
      </c>
      <c r="E883" t="s">
        <v>52</v>
      </c>
      <c r="F883">
        <v>7098131</v>
      </c>
      <c r="G883" t="s">
        <v>75</v>
      </c>
      <c r="H883" t="s">
        <v>43</v>
      </c>
      <c r="I883" t="s">
        <v>44</v>
      </c>
      <c r="J883" t="s">
        <v>50</v>
      </c>
      <c r="K883" t="s">
        <v>16</v>
      </c>
      <c r="L883" t="s">
        <v>62</v>
      </c>
      <c r="M883" t="s">
        <v>1143</v>
      </c>
      <c r="N883" t="s">
        <v>1144</v>
      </c>
      <c r="O883" t="s">
        <v>1145</v>
      </c>
      <c r="P883" t="s">
        <v>383</v>
      </c>
      <c r="Q883" t="s">
        <v>132</v>
      </c>
      <c r="R883" t="s">
        <v>133</v>
      </c>
      <c r="S883" t="s">
        <v>46</v>
      </c>
      <c r="T883" t="s">
        <v>46</v>
      </c>
      <c r="U883" s="4">
        <v>153.63</v>
      </c>
      <c r="V883" t="str">
        <f t="shared" si="13"/>
        <v>TP34</v>
      </c>
      <c r="W883" t="str">
        <f>VLOOKUP(K883,[1]Info!A$1:B$21,2,0)</f>
        <v>Trator Pneu</v>
      </c>
      <c r="X883" t="str">
        <f>IF(M883="109595132","Material de Limpeza-Não Avaliar",IF(AND(K883="F20",M883&lt;&gt;109595132),IF(RIGHT(F883,2)="70","Infraestrutura de Planta","Prédios e Instalações"),IF(K883="FPC",VLOOKUP(F883,[1]Info!$E$2:$F$11,2,0),IF(K883="FGP",VLOOKUP(F883,[1]Info!$E$9:$F$10,2,0),IF(K883="F10",VLOOKUP(F883,[1]Info!$E$2:$F$3,2,0),VLOOKUP(K883,[1]Info!$A$1:$B$21,2,0))))))</f>
        <v>Trator Pneu</v>
      </c>
    </row>
    <row r="884" spans="1:24" x14ac:dyDescent="0.35">
      <c r="A884" t="s">
        <v>41</v>
      </c>
      <c r="B884" t="s">
        <v>73</v>
      </c>
      <c r="C884" t="s">
        <v>74</v>
      </c>
      <c r="D884" t="s">
        <v>94</v>
      </c>
      <c r="E884" t="s">
        <v>52</v>
      </c>
      <c r="F884">
        <v>7098131</v>
      </c>
      <c r="G884" t="s">
        <v>75</v>
      </c>
      <c r="H884" t="s">
        <v>43</v>
      </c>
      <c r="I884" t="s">
        <v>44</v>
      </c>
      <c r="J884" t="s">
        <v>50</v>
      </c>
      <c r="K884" t="s">
        <v>16</v>
      </c>
      <c r="L884" t="s">
        <v>62</v>
      </c>
      <c r="M884" t="s">
        <v>1143</v>
      </c>
      <c r="N884" t="s">
        <v>1144</v>
      </c>
      <c r="O884" t="s">
        <v>1145</v>
      </c>
      <c r="P884" t="s">
        <v>383</v>
      </c>
      <c r="Q884" t="s">
        <v>134</v>
      </c>
      <c r="R884" t="s">
        <v>135</v>
      </c>
      <c r="S884" t="s">
        <v>46</v>
      </c>
      <c r="T884" t="s">
        <v>46</v>
      </c>
      <c r="U884" s="4">
        <v>125.66</v>
      </c>
      <c r="V884" t="str">
        <f t="shared" si="13"/>
        <v>TP34</v>
      </c>
      <c r="W884" t="str">
        <f>VLOOKUP(K884,[1]Info!A$1:B$21,2,0)</f>
        <v>Trator Pneu</v>
      </c>
      <c r="X884" t="str">
        <f>IF(M884="109595132","Material de Limpeza-Não Avaliar",IF(AND(K884="F20",M884&lt;&gt;109595132),IF(RIGHT(F884,2)="70","Infraestrutura de Planta","Prédios e Instalações"),IF(K884="FPC",VLOOKUP(F884,[1]Info!$E$2:$F$11,2,0),IF(K884="FGP",VLOOKUP(F884,[1]Info!$E$9:$F$10,2,0),IF(K884="F10",VLOOKUP(F884,[1]Info!$E$2:$F$3,2,0),VLOOKUP(K884,[1]Info!$A$1:$B$21,2,0))))))</f>
        <v>Trator Pneu</v>
      </c>
    </row>
    <row r="885" spans="1:24" x14ac:dyDescent="0.35">
      <c r="A885" t="s">
        <v>41</v>
      </c>
      <c r="B885" t="s">
        <v>73</v>
      </c>
      <c r="C885" t="s">
        <v>74</v>
      </c>
      <c r="D885" t="s">
        <v>94</v>
      </c>
      <c r="E885" t="s">
        <v>52</v>
      </c>
      <c r="F885">
        <v>7098131</v>
      </c>
      <c r="G885" t="s">
        <v>75</v>
      </c>
      <c r="H885" t="s">
        <v>43</v>
      </c>
      <c r="I885" t="s">
        <v>44</v>
      </c>
      <c r="J885" t="s">
        <v>50</v>
      </c>
      <c r="K885" t="s">
        <v>16</v>
      </c>
      <c r="L885" t="s">
        <v>62</v>
      </c>
      <c r="M885" t="s">
        <v>1146</v>
      </c>
      <c r="N885" t="s">
        <v>1147</v>
      </c>
      <c r="O885" t="s">
        <v>1148</v>
      </c>
      <c r="P885" t="s">
        <v>383</v>
      </c>
      <c r="Q885" t="s">
        <v>86</v>
      </c>
      <c r="R885" t="s">
        <v>80</v>
      </c>
      <c r="S885" t="s">
        <v>46</v>
      </c>
      <c r="T885" t="s">
        <v>46</v>
      </c>
      <c r="U885" s="4">
        <v>135.34</v>
      </c>
      <c r="V885" t="str">
        <f t="shared" si="13"/>
        <v>TP22</v>
      </c>
      <c r="W885" t="str">
        <f>VLOOKUP(K885,[1]Info!A$1:B$21,2,0)</f>
        <v>Trator Pneu</v>
      </c>
      <c r="X885" t="str">
        <f>IF(M885="109595132","Material de Limpeza-Não Avaliar",IF(AND(K885="F20",M885&lt;&gt;109595132),IF(RIGHT(F885,2)="70","Infraestrutura de Planta","Prédios e Instalações"),IF(K885="FPC",VLOOKUP(F885,[1]Info!$E$2:$F$11,2,0),IF(K885="FGP",VLOOKUP(F885,[1]Info!$E$9:$F$10,2,0),IF(K885="F10",VLOOKUP(F885,[1]Info!$E$2:$F$3,2,0),VLOOKUP(K885,[1]Info!$A$1:$B$21,2,0))))))</f>
        <v>Trator Pneu</v>
      </c>
    </row>
    <row r="886" spans="1:24" x14ac:dyDescent="0.35">
      <c r="A886" t="s">
        <v>41</v>
      </c>
      <c r="B886" t="s">
        <v>73</v>
      </c>
      <c r="C886" t="s">
        <v>74</v>
      </c>
      <c r="D886" t="s">
        <v>94</v>
      </c>
      <c r="E886" t="s">
        <v>52</v>
      </c>
      <c r="F886">
        <v>7098131</v>
      </c>
      <c r="G886" t="s">
        <v>75</v>
      </c>
      <c r="H886" t="s">
        <v>43</v>
      </c>
      <c r="I886" t="s">
        <v>44</v>
      </c>
      <c r="J886" t="s">
        <v>50</v>
      </c>
      <c r="K886" t="s">
        <v>16</v>
      </c>
      <c r="L886" t="s">
        <v>62</v>
      </c>
      <c r="M886" t="s">
        <v>1146</v>
      </c>
      <c r="N886" t="s">
        <v>1147</v>
      </c>
      <c r="O886" t="s">
        <v>1148</v>
      </c>
      <c r="P886" t="s">
        <v>383</v>
      </c>
      <c r="Q886" t="s">
        <v>87</v>
      </c>
      <c r="R886" t="s">
        <v>90</v>
      </c>
      <c r="S886" t="s">
        <v>46</v>
      </c>
      <c r="T886" t="s">
        <v>46</v>
      </c>
      <c r="U886" s="4">
        <v>71.31</v>
      </c>
      <c r="V886" t="str">
        <f t="shared" si="13"/>
        <v>TP22</v>
      </c>
      <c r="W886" t="str">
        <f>VLOOKUP(K886,[1]Info!A$1:B$21,2,0)</f>
        <v>Trator Pneu</v>
      </c>
      <c r="X886" t="str">
        <f>IF(M886="109595132","Material de Limpeza-Não Avaliar",IF(AND(K886="F20",M886&lt;&gt;109595132),IF(RIGHT(F886,2)="70","Infraestrutura de Planta","Prédios e Instalações"),IF(K886="FPC",VLOOKUP(F886,[1]Info!$E$2:$F$11,2,0),IF(K886="FGP",VLOOKUP(F886,[1]Info!$E$9:$F$10,2,0),IF(K886="F10",VLOOKUP(F886,[1]Info!$E$2:$F$3,2,0),VLOOKUP(K886,[1]Info!$A$1:$B$21,2,0))))))</f>
        <v>Trator Pneu</v>
      </c>
    </row>
    <row r="887" spans="1:24" x14ac:dyDescent="0.35">
      <c r="A887" t="s">
        <v>41</v>
      </c>
      <c r="B887" t="s">
        <v>73</v>
      </c>
      <c r="C887" t="s">
        <v>74</v>
      </c>
      <c r="D887" t="s">
        <v>94</v>
      </c>
      <c r="E887" t="s">
        <v>52</v>
      </c>
      <c r="F887">
        <v>7098131</v>
      </c>
      <c r="G887" t="s">
        <v>75</v>
      </c>
      <c r="H887" t="s">
        <v>43</v>
      </c>
      <c r="I887" t="s">
        <v>44</v>
      </c>
      <c r="J887" t="s">
        <v>50</v>
      </c>
      <c r="K887" t="s">
        <v>16</v>
      </c>
      <c r="L887" t="s">
        <v>62</v>
      </c>
      <c r="M887" t="s">
        <v>1146</v>
      </c>
      <c r="N887" t="s">
        <v>1147</v>
      </c>
      <c r="O887" t="s">
        <v>1148</v>
      </c>
      <c r="P887" t="s">
        <v>383</v>
      </c>
      <c r="Q887" t="s">
        <v>88</v>
      </c>
      <c r="R887" t="s">
        <v>81</v>
      </c>
      <c r="S887" t="s">
        <v>46</v>
      </c>
      <c r="T887" t="s">
        <v>46</v>
      </c>
      <c r="U887" s="4">
        <v>127.89</v>
      </c>
      <c r="V887" t="str">
        <f t="shared" si="13"/>
        <v>TP22</v>
      </c>
      <c r="W887" t="str">
        <f>VLOOKUP(K887,[1]Info!A$1:B$21,2,0)</f>
        <v>Trator Pneu</v>
      </c>
      <c r="X887" t="str">
        <f>IF(M887="109595132","Material de Limpeza-Não Avaliar",IF(AND(K887="F20",M887&lt;&gt;109595132),IF(RIGHT(F887,2)="70","Infraestrutura de Planta","Prédios e Instalações"),IF(K887="FPC",VLOOKUP(F887,[1]Info!$E$2:$F$11,2,0),IF(K887="FGP",VLOOKUP(F887,[1]Info!$E$9:$F$10,2,0),IF(K887="F10",VLOOKUP(F887,[1]Info!$E$2:$F$3,2,0),VLOOKUP(K887,[1]Info!$A$1:$B$21,2,0))))))</f>
        <v>Trator Pneu</v>
      </c>
    </row>
    <row r="888" spans="1:24" x14ac:dyDescent="0.35">
      <c r="A888" t="s">
        <v>41</v>
      </c>
      <c r="B888" t="s">
        <v>73</v>
      </c>
      <c r="C888" t="s">
        <v>74</v>
      </c>
      <c r="D888" t="s">
        <v>94</v>
      </c>
      <c r="E888" t="s">
        <v>52</v>
      </c>
      <c r="F888">
        <v>7098131</v>
      </c>
      <c r="G888" t="s">
        <v>75</v>
      </c>
      <c r="H888" t="s">
        <v>43</v>
      </c>
      <c r="I888" t="s">
        <v>44</v>
      </c>
      <c r="J888" t="s">
        <v>50</v>
      </c>
      <c r="K888" t="s">
        <v>16</v>
      </c>
      <c r="L888" t="s">
        <v>62</v>
      </c>
      <c r="M888" t="s">
        <v>1149</v>
      </c>
      <c r="N888" t="s">
        <v>1150</v>
      </c>
      <c r="O888" t="s">
        <v>76</v>
      </c>
      <c r="P888" t="s">
        <v>383</v>
      </c>
      <c r="Q888" t="s">
        <v>86</v>
      </c>
      <c r="R888" t="s">
        <v>80</v>
      </c>
      <c r="S888" t="s">
        <v>46</v>
      </c>
      <c r="T888" t="s">
        <v>46</v>
      </c>
      <c r="U888" s="4">
        <v>135.35</v>
      </c>
      <c r="V888" t="str">
        <f t="shared" si="13"/>
        <v>TP25</v>
      </c>
      <c r="W888" t="str">
        <f>VLOOKUP(K888,[1]Info!A$1:B$21,2,0)</f>
        <v>Trator Pneu</v>
      </c>
      <c r="X888" t="str">
        <f>IF(M888="109595132","Material de Limpeza-Não Avaliar",IF(AND(K888="F20",M888&lt;&gt;109595132),IF(RIGHT(F888,2)="70","Infraestrutura de Planta","Prédios e Instalações"),IF(K888="FPC",VLOOKUP(F888,[1]Info!$E$2:$F$11,2,0),IF(K888="FGP",VLOOKUP(F888,[1]Info!$E$9:$F$10,2,0),IF(K888="F10",VLOOKUP(F888,[1]Info!$E$2:$F$3,2,0),VLOOKUP(K888,[1]Info!$A$1:$B$21,2,0))))))</f>
        <v>Trator Pneu</v>
      </c>
    </row>
    <row r="889" spans="1:24" x14ac:dyDescent="0.35">
      <c r="A889" t="s">
        <v>41</v>
      </c>
      <c r="B889" t="s">
        <v>73</v>
      </c>
      <c r="C889" t="s">
        <v>74</v>
      </c>
      <c r="D889" t="s">
        <v>94</v>
      </c>
      <c r="E889" t="s">
        <v>52</v>
      </c>
      <c r="F889">
        <v>7098131</v>
      </c>
      <c r="G889" t="s">
        <v>75</v>
      </c>
      <c r="H889" t="s">
        <v>43</v>
      </c>
      <c r="I889" t="s">
        <v>44</v>
      </c>
      <c r="J889" t="s">
        <v>50</v>
      </c>
      <c r="K889" t="s">
        <v>16</v>
      </c>
      <c r="L889" t="s">
        <v>62</v>
      </c>
      <c r="M889" t="s">
        <v>1149</v>
      </c>
      <c r="N889" t="s">
        <v>1150</v>
      </c>
      <c r="O889" t="s">
        <v>76</v>
      </c>
      <c r="P889" t="s">
        <v>383</v>
      </c>
      <c r="Q889" t="s">
        <v>1151</v>
      </c>
      <c r="R889" t="s">
        <v>1152</v>
      </c>
      <c r="S889" t="s">
        <v>46</v>
      </c>
      <c r="T889" t="s">
        <v>46</v>
      </c>
      <c r="U889" s="4">
        <v>50.34</v>
      </c>
      <c r="V889" t="str">
        <f t="shared" si="13"/>
        <v>TP25</v>
      </c>
      <c r="W889" t="str">
        <f>VLOOKUP(K889,[1]Info!A$1:B$21,2,0)</f>
        <v>Trator Pneu</v>
      </c>
      <c r="X889" t="str">
        <f>IF(M889="109595132","Material de Limpeza-Não Avaliar",IF(AND(K889="F20",M889&lt;&gt;109595132),IF(RIGHT(F889,2)="70","Infraestrutura de Planta","Prédios e Instalações"),IF(K889="FPC",VLOOKUP(F889,[1]Info!$E$2:$F$11,2,0),IF(K889="FGP",VLOOKUP(F889,[1]Info!$E$9:$F$10,2,0),IF(K889="F10",VLOOKUP(F889,[1]Info!$E$2:$F$3,2,0),VLOOKUP(K889,[1]Info!$A$1:$B$21,2,0))))))</f>
        <v>Trator Pneu</v>
      </c>
    </row>
    <row r="890" spans="1:24" x14ac:dyDescent="0.35">
      <c r="A890" t="s">
        <v>41</v>
      </c>
      <c r="B890" t="s">
        <v>73</v>
      </c>
      <c r="C890" t="s">
        <v>74</v>
      </c>
      <c r="D890" t="s">
        <v>94</v>
      </c>
      <c r="E890" t="s">
        <v>52</v>
      </c>
      <c r="F890">
        <v>7098131</v>
      </c>
      <c r="G890" t="s">
        <v>75</v>
      </c>
      <c r="H890" t="s">
        <v>43</v>
      </c>
      <c r="I890" t="s">
        <v>44</v>
      </c>
      <c r="J890" t="s">
        <v>50</v>
      </c>
      <c r="K890" t="s">
        <v>16</v>
      </c>
      <c r="L890" t="s">
        <v>62</v>
      </c>
      <c r="M890" t="s">
        <v>1149</v>
      </c>
      <c r="N890" t="s">
        <v>1150</v>
      </c>
      <c r="O890" t="s">
        <v>76</v>
      </c>
      <c r="P890" t="s">
        <v>383</v>
      </c>
      <c r="Q890" t="s">
        <v>128</v>
      </c>
      <c r="R890" t="s">
        <v>129</v>
      </c>
      <c r="S890" t="s">
        <v>46</v>
      </c>
      <c r="T890" t="s">
        <v>46</v>
      </c>
      <c r="U890" s="4">
        <v>263.39999999999998</v>
      </c>
      <c r="V890" t="str">
        <f t="shared" si="13"/>
        <v>TP25</v>
      </c>
      <c r="W890" t="str">
        <f>VLOOKUP(K890,[1]Info!A$1:B$21,2,0)</f>
        <v>Trator Pneu</v>
      </c>
      <c r="X890" t="str">
        <f>IF(M890="109595132","Material de Limpeza-Não Avaliar",IF(AND(K890="F20",M890&lt;&gt;109595132),IF(RIGHT(F890,2)="70","Infraestrutura de Planta","Prédios e Instalações"),IF(K890="FPC",VLOOKUP(F890,[1]Info!$E$2:$F$11,2,0),IF(K890="FGP",VLOOKUP(F890,[1]Info!$E$9:$F$10,2,0),IF(K890="F10",VLOOKUP(F890,[1]Info!$E$2:$F$3,2,0),VLOOKUP(K890,[1]Info!$A$1:$B$21,2,0))))))</f>
        <v>Trator Pneu</v>
      </c>
    </row>
    <row r="891" spans="1:24" x14ac:dyDescent="0.35">
      <c r="A891" t="s">
        <v>41</v>
      </c>
      <c r="B891" t="s">
        <v>73</v>
      </c>
      <c r="C891" t="s">
        <v>74</v>
      </c>
      <c r="D891" t="s">
        <v>94</v>
      </c>
      <c r="E891" t="s">
        <v>52</v>
      </c>
      <c r="F891">
        <v>7098131</v>
      </c>
      <c r="G891" t="s">
        <v>75</v>
      </c>
      <c r="H891" t="s">
        <v>43</v>
      </c>
      <c r="I891" t="s">
        <v>44</v>
      </c>
      <c r="J891" t="s">
        <v>50</v>
      </c>
      <c r="K891" t="s">
        <v>16</v>
      </c>
      <c r="L891" t="s">
        <v>62</v>
      </c>
      <c r="M891" t="s">
        <v>1149</v>
      </c>
      <c r="N891" t="s">
        <v>1150</v>
      </c>
      <c r="O891" t="s">
        <v>76</v>
      </c>
      <c r="P891" t="s">
        <v>383</v>
      </c>
      <c r="Q891" t="s">
        <v>87</v>
      </c>
      <c r="R891" t="s">
        <v>90</v>
      </c>
      <c r="S891" t="s">
        <v>46</v>
      </c>
      <c r="T891" t="s">
        <v>46</v>
      </c>
      <c r="U891" s="4">
        <v>71.31</v>
      </c>
      <c r="V891" t="str">
        <f t="shared" si="13"/>
        <v>TP25</v>
      </c>
      <c r="W891" t="str">
        <f>VLOOKUP(K891,[1]Info!A$1:B$21,2,0)</f>
        <v>Trator Pneu</v>
      </c>
      <c r="X891" t="str">
        <f>IF(M891="109595132","Material de Limpeza-Não Avaliar",IF(AND(K891="F20",M891&lt;&gt;109595132),IF(RIGHT(F891,2)="70","Infraestrutura de Planta","Prédios e Instalações"),IF(K891="FPC",VLOOKUP(F891,[1]Info!$E$2:$F$11,2,0),IF(K891="FGP",VLOOKUP(F891,[1]Info!$E$9:$F$10,2,0),IF(K891="F10",VLOOKUP(F891,[1]Info!$E$2:$F$3,2,0),VLOOKUP(K891,[1]Info!$A$1:$B$21,2,0))))))</f>
        <v>Trator Pneu</v>
      </c>
    </row>
    <row r="892" spans="1:24" x14ac:dyDescent="0.35">
      <c r="A892" t="s">
        <v>41</v>
      </c>
      <c r="B892" t="s">
        <v>73</v>
      </c>
      <c r="C892" t="s">
        <v>74</v>
      </c>
      <c r="D892" t="s">
        <v>94</v>
      </c>
      <c r="E892" t="s">
        <v>52</v>
      </c>
      <c r="F892">
        <v>7098131</v>
      </c>
      <c r="G892" t="s">
        <v>75</v>
      </c>
      <c r="H892" t="s">
        <v>43</v>
      </c>
      <c r="I892" t="s">
        <v>44</v>
      </c>
      <c r="J892" t="s">
        <v>50</v>
      </c>
      <c r="K892" t="s">
        <v>16</v>
      </c>
      <c r="L892" t="s">
        <v>62</v>
      </c>
      <c r="M892" t="s">
        <v>1149</v>
      </c>
      <c r="N892" t="s">
        <v>1150</v>
      </c>
      <c r="O892" t="s">
        <v>76</v>
      </c>
      <c r="P892" t="s">
        <v>383</v>
      </c>
      <c r="Q892" t="s">
        <v>130</v>
      </c>
      <c r="R892" t="s">
        <v>131</v>
      </c>
      <c r="S892" t="s">
        <v>46</v>
      </c>
      <c r="T892" t="s">
        <v>46</v>
      </c>
      <c r="U892" s="4">
        <v>110.89</v>
      </c>
      <c r="V892" t="str">
        <f t="shared" si="13"/>
        <v>TP25</v>
      </c>
      <c r="W892" t="str">
        <f>VLOOKUP(K892,[1]Info!A$1:B$21,2,0)</f>
        <v>Trator Pneu</v>
      </c>
      <c r="X892" t="str">
        <f>IF(M892="109595132","Material de Limpeza-Não Avaliar",IF(AND(K892="F20",M892&lt;&gt;109595132),IF(RIGHT(F892,2)="70","Infraestrutura de Planta","Prédios e Instalações"),IF(K892="FPC",VLOOKUP(F892,[1]Info!$E$2:$F$11,2,0),IF(K892="FGP",VLOOKUP(F892,[1]Info!$E$9:$F$10,2,0),IF(K892="F10",VLOOKUP(F892,[1]Info!$E$2:$F$3,2,0),VLOOKUP(K892,[1]Info!$A$1:$B$21,2,0))))))</f>
        <v>Trator Pneu</v>
      </c>
    </row>
    <row r="893" spans="1:24" x14ac:dyDescent="0.35">
      <c r="A893" t="s">
        <v>41</v>
      </c>
      <c r="B893" t="s">
        <v>73</v>
      </c>
      <c r="C893" t="s">
        <v>74</v>
      </c>
      <c r="D893" t="s">
        <v>94</v>
      </c>
      <c r="E893" t="s">
        <v>52</v>
      </c>
      <c r="F893">
        <v>7098131</v>
      </c>
      <c r="G893" t="s">
        <v>75</v>
      </c>
      <c r="H893" t="s">
        <v>43</v>
      </c>
      <c r="I893" t="s">
        <v>44</v>
      </c>
      <c r="J893" t="s">
        <v>50</v>
      </c>
      <c r="K893" t="s">
        <v>16</v>
      </c>
      <c r="L893" t="s">
        <v>62</v>
      </c>
      <c r="M893" t="s">
        <v>1149</v>
      </c>
      <c r="N893" t="s">
        <v>1150</v>
      </c>
      <c r="O893" t="s">
        <v>76</v>
      </c>
      <c r="P893" t="s">
        <v>383</v>
      </c>
      <c r="Q893" t="s">
        <v>88</v>
      </c>
      <c r="R893" t="s">
        <v>81</v>
      </c>
      <c r="S893" t="s">
        <v>46</v>
      </c>
      <c r="T893" t="s">
        <v>46</v>
      </c>
      <c r="U893" s="4">
        <v>127.9</v>
      </c>
      <c r="V893" t="str">
        <f t="shared" si="13"/>
        <v>TP25</v>
      </c>
      <c r="W893" t="str">
        <f>VLOOKUP(K893,[1]Info!A$1:B$21,2,0)</f>
        <v>Trator Pneu</v>
      </c>
      <c r="X893" t="str">
        <f>IF(M893="109595132","Material de Limpeza-Não Avaliar",IF(AND(K893="F20",M893&lt;&gt;109595132),IF(RIGHT(F893,2)="70","Infraestrutura de Planta","Prédios e Instalações"),IF(K893="FPC",VLOOKUP(F893,[1]Info!$E$2:$F$11,2,0),IF(K893="FGP",VLOOKUP(F893,[1]Info!$E$9:$F$10,2,0),IF(K893="F10",VLOOKUP(F893,[1]Info!$E$2:$F$3,2,0),VLOOKUP(K893,[1]Info!$A$1:$B$21,2,0))))))</f>
        <v>Trator Pneu</v>
      </c>
    </row>
    <row r="894" spans="1:24" x14ac:dyDescent="0.35">
      <c r="A894" t="s">
        <v>41</v>
      </c>
      <c r="B894" t="s">
        <v>73</v>
      </c>
      <c r="C894" t="s">
        <v>74</v>
      </c>
      <c r="D894" t="s">
        <v>94</v>
      </c>
      <c r="E894" t="s">
        <v>52</v>
      </c>
      <c r="F894">
        <v>7098131</v>
      </c>
      <c r="G894" t="s">
        <v>75</v>
      </c>
      <c r="H894" t="s">
        <v>43</v>
      </c>
      <c r="I894" t="s">
        <v>44</v>
      </c>
      <c r="J894" t="s">
        <v>50</v>
      </c>
      <c r="K894" t="s">
        <v>16</v>
      </c>
      <c r="L894" t="s">
        <v>62</v>
      </c>
      <c r="M894" t="s">
        <v>1149</v>
      </c>
      <c r="N894" t="s">
        <v>1150</v>
      </c>
      <c r="O894" t="s">
        <v>76</v>
      </c>
      <c r="P894" t="s">
        <v>383</v>
      </c>
      <c r="Q894" t="s">
        <v>132</v>
      </c>
      <c r="R894" t="s">
        <v>133</v>
      </c>
      <c r="S894" t="s">
        <v>46</v>
      </c>
      <c r="T894" t="s">
        <v>46</v>
      </c>
      <c r="U894" s="4">
        <v>153.63</v>
      </c>
      <c r="V894" t="str">
        <f t="shared" si="13"/>
        <v>TP25</v>
      </c>
      <c r="W894" t="str">
        <f>VLOOKUP(K894,[1]Info!A$1:B$21,2,0)</f>
        <v>Trator Pneu</v>
      </c>
      <c r="X894" t="str">
        <f>IF(M894="109595132","Material de Limpeza-Não Avaliar",IF(AND(K894="F20",M894&lt;&gt;109595132),IF(RIGHT(F894,2)="70","Infraestrutura de Planta","Prédios e Instalações"),IF(K894="FPC",VLOOKUP(F894,[1]Info!$E$2:$F$11,2,0),IF(K894="FGP",VLOOKUP(F894,[1]Info!$E$9:$F$10,2,0),IF(K894="F10",VLOOKUP(F894,[1]Info!$E$2:$F$3,2,0),VLOOKUP(K894,[1]Info!$A$1:$B$21,2,0))))))</f>
        <v>Trator Pneu</v>
      </c>
    </row>
    <row r="895" spans="1:24" x14ac:dyDescent="0.35">
      <c r="A895" t="s">
        <v>41</v>
      </c>
      <c r="B895" t="s">
        <v>73</v>
      </c>
      <c r="C895" t="s">
        <v>74</v>
      </c>
      <c r="D895" t="s">
        <v>94</v>
      </c>
      <c r="E895" t="s">
        <v>52</v>
      </c>
      <c r="F895">
        <v>7098131</v>
      </c>
      <c r="G895" t="s">
        <v>75</v>
      </c>
      <c r="H895" t="s">
        <v>43</v>
      </c>
      <c r="I895" t="s">
        <v>44</v>
      </c>
      <c r="J895" t="s">
        <v>50</v>
      </c>
      <c r="K895" t="s">
        <v>16</v>
      </c>
      <c r="L895" t="s">
        <v>62</v>
      </c>
      <c r="M895" t="s">
        <v>1149</v>
      </c>
      <c r="N895" t="s">
        <v>1150</v>
      </c>
      <c r="O895" t="s">
        <v>76</v>
      </c>
      <c r="P895" t="s">
        <v>383</v>
      </c>
      <c r="Q895" t="s">
        <v>134</v>
      </c>
      <c r="R895" t="s">
        <v>135</v>
      </c>
      <c r="S895" t="s">
        <v>46</v>
      </c>
      <c r="T895" t="s">
        <v>46</v>
      </c>
      <c r="U895" s="4">
        <v>125.66</v>
      </c>
      <c r="V895" t="str">
        <f t="shared" si="13"/>
        <v>TP25</v>
      </c>
      <c r="W895" t="str">
        <f>VLOOKUP(K895,[1]Info!A$1:B$21,2,0)</f>
        <v>Trator Pneu</v>
      </c>
      <c r="X895" t="str">
        <f>IF(M895="109595132","Material de Limpeza-Não Avaliar",IF(AND(K895="F20",M895&lt;&gt;109595132),IF(RIGHT(F895,2)="70","Infraestrutura de Planta","Prédios e Instalações"),IF(K895="FPC",VLOOKUP(F895,[1]Info!$E$2:$F$11,2,0),IF(K895="FGP",VLOOKUP(F895,[1]Info!$E$9:$F$10,2,0),IF(K895="F10",VLOOKUP(F895,[1]Info!$E$2:$F$3,2,0),VLOOKUP(K895,[1]Info!$A$1:$B$21,2,0))))))</f>
        <v>Trator Pneu</v>
      </c>
    </row>
    <row r="896" spans="1:24" x14ac:dyDescent="0.35">
      <c r="A896" t="s">
        <v>41</v>
      </c>
      <c r="B896" t="s">
        <v>73</v>
      </c>
      <c r="C896" t="s">
        <v>74</v>
      </c>
      <c r="D896" t="s">
        <v>94</v>
      </c>
      <c r="E896" t="s">
        <v>52</v>
      </c>
      <c r="F896">
        <v>7098131</v>
      </c>
      <c r="G896" t="s">
        <v>75</v>
      </c>
      <c r="H896" t="s">
        <v>43</v>
      </c>
      <c r="I896" t="s">
        <v>44</v>
      </c>
      <c r="J896" t="s">
        <v>50</v>
      </c>
      <c r="K896" t="s">
        <v>16</v>
      </c>
      <c r="L896" t="s">
        <v>62</v>
      </c>
      <c r="M896" t="s">
        <v>1153</v>
      </c>
      <c r="N896" t="s">
        <v>1154</v>
      </c>
      <c r="O896" t="s">
        <v>1155</v>
      </c>
      <c r="P896" t="s">
        <v>383</v>
      </c>
      <c r="Q896" t="s">
        <v>86</v>
      </c>
      <c r="R896" t="s">
        <v>80</v>
      </c>
      <c r="S896" t="s">
        <v>46</v>
      </c>
      <c r="T896" t="s">
        <v>46</v>
      </c>
      <c r="U896" s="4">
        <v>135.35</v>
      </c>
      <c r="V896" t="str">
        <f t="shared" si="13"/>
        <v>TP24</v>
      </c>
      <c r="W896" t="str">
        <f>VLOOKUP(K896,[1]Info!A$1:B$21,2,0)</f>
        <v>Trator Pneu</v>
      </c>
      <c r="X896" t="str">
        <f>IF(M896="109595132","Material de Limpeza-Não Avaliar",IF(AND(K896="F20",M896&lt;&gt;109595132),IF(RIGHT(F896,2)="70","Infraestrutura de Planta","Prédios e Instalações"),IF(K896="FPC",VLOOKUP(F896,[1]Info!$E$2:$F$11,2,0),IF(K896="FGP",VLOOKUP(F896,[1]Info!$E$9:$F$10,2,0),IF(K896="F10",VLOOKUP(F896,[1]Info!$E$2:$F$3,2,0),VLOOKUP(K896,[1]Info!$A$1:$B$21,2,0))))))</f>
        <v>Trator Pneu</v>
      </c>
    </row>
    <row r="897" spans="1:24" x14ac:dyDescent="0.35">
      <c r="A897" t="s">
        <v>41</v>
      </c>
      <c r="B897" t="s">
        <v>73</v>
      </c>
      <c r="C897" t="s">
        <v>74</v>
      </c>
      <c r="D897" t="s">
        <v>94</v>
      </c>
      <c r="E897" t="s">
        <v>52</v>
      </c>
      <c r="F897">
        <v>7098131</v>
      </c>
      <c r="G897" t="s">
        <v>75</v>
      </c>
      <c r="H897" t="s">
        <v>43</v>
      </c>
      <c r="I897" t="s">
        <v>44</v>
      </c>
      <c r="J897" t="s">
        <v>50</v>
      </c>
      <c r="K897" t="s">
        <v>16</v>
      </c>
      <c r="L897" t="s">
        <v>62</v>
      </c>
      <c r="M897" t="s">
        <v>1153</v>
      </c>
      <c r="N897" t="s">
        <v>1154</v>
      </c>
      <c r="O897" t="s">
        <v>1155</v>
      </c>
      <c r="P897" t="s">
        <v>383</v>
      </c>
      <c r="Q897" t="s">
        <v>128</v>
      </c>
      <c r="R897" t="s">
        <v>129</v>
      </c>
      <c r="S897" t="s">
        <v>46</v>
      </c>
      <c r="T897" t="s">
        <v>46</v>
      </c>
      <c r="U897" s="4">
        <v>263.39999999999998</v>
      </c>
      <c r="V897" t="str">
        <f t="shared" si="13"/>
        <v>TP24</v>
      </c>
      <c r="W897" t="str">
        <f>VLOOKUP(K897,[1]Info!A$1:B$21,2,0)</f>
        <v>Trator Pneu</v>
      </c>
      <c r="X897" t="str">
        <f>IF(M897="109595132","Material de Limpeza-Não Avaliar",IF(AND(K897="F20",M897&lt;&gt;109595132),IF(RIGHT(F897,2)="70","Infraestrutura de Planta","Prédios e Instalações"),IF(K897="FPC",VLOOKUP(F897,[1]Info!$E$2:$F$11,2,0),IF(K897="FGP",VLOOKUP(F897,[1]Info!$E$9:$F$10,2,0),IF(K897="F10",VLOOKUP(F897,[1]Info!$E$2:$F$3,2,0),VLOOKUP(K897,[1]Info!$A$1:$B$21,2,0))))))</f>
        <v>Trator Pneu</v>
      </c>
    </row>
    <row r="898" spans="1:24" x14ac:dyDescent="0.35">
      <c r="A898" t="s">
        <v>41</v>
      </c>
      <c r="B898" t="s">
        <v>73</v>
      </c>
      <c r="C898" t="s">
        <v>74</v>
      </c>
      <c r="D898" t="s">
        <v>94</v>
      </c>
      <c r="E898" t="s">
        <v>52</v>
      </c>
      <c r="F898">
        <v>7098131</v>
      </c>
      <c r="G898" t="s">
        <v>75</v>
      </c>
      <c r="H898" t="s">
        <v>43</v>
      </c>
      <c r="I898" t="s">
        <v>44</v>
      </c>
      <c r="J898" t="s">
        <v>50</v>
      </c>
      <c r="K898" t="s">
        <v>16</v>
      </c>
      <c r="L898" t="s">
        <v>62</v>
      </c>
      <c r="M898" t="s">
        <v>1153</v>
      </c>
      <c r="N898" t="s">
        <v>1154</v>
      </c>
      <c r="O898" t="s">
        <v>1155</v>
      </c>
      <c r="P898" t="s">
        <v>383</v>
      </c>
      <c r="Q898" t="s">
        <v>87</v>
      </c>
      <c r="R898" t="s">
        <v>90</v>
      </c>
      <c r="S898" t="s">
        <v>46</v>
      </c>
      <c r="T898" t="s">
        <v>46</v>
      </c>
      <c r="U898" s="4">
        <v>71.31</v>
      </c>
      <c r="V898" t="str">
        <f t="shared" si="13"/>
        <v>TP24</v>
      </c>
      <c r="W898" t="str">
        <f>VLOOKUP(K898,[1]Info!A$1:B$21,2,0)</f>
        <v>Trator Pneu</v>
      </c>
      <c r="X898" t="str">
        <f>IF(M898="109595132","Material de Limpeza-Não Avaliar",IF(AND(K898="F20",M898&lt;&gt;109595132),IF(RIGHT(F898,2)="70","Infraestrutura de Planta","Prédios e Instalações"),IF(K898="FPC",VLOOKUP(F898,[1]Info!$E$2:$F$11,2,0),IF(K898="FGP",VLOOKUP(F898,[1]Info!$E$9:$F$10,2,0),IF(K898="F10",VLOOKUP(F898,[1]Info!$E$2:$F$3,2,0),VLOOKUP(K898,[1]Info!$A$1:$B$21,2,0))))))</f>
        <v>Trator Pneu</v>
      </c>
    </row>
    <row r="899" spans="1:24" x14ac:dyDescent="0.35">
      <c r="A899" t="s">
        <v>41</v>
      </c>
      <c r="B899" t="s">
        <v>73</v>
      </c>
      <c r="C899" t="s">
        <v>74</v>
      </c>
      <c r="D899" t="s">
        <v>94</v>
      </c>
      <c r="E899" t="s">
        <v>52</v>
      </c>
      <c r="F899">
        <v>7098131</v>
      </c>
      <c r="G899" t="s">
        <v>75</v>
      </c>
      <c r="H899" t="s">
        <v>43</v>
      </c>
      <c r="I899" t="s">
        <v>44</v>
      </c>
      <c r="J899" t="s">
        <v>50</v>
      </c>
      <c r="K899" t="s">
        <v>16</v>
      </c>
      <c r="L899" t="s">
        <v>62</v>
      </c>
      <c r="M899" t="s">
        <v>1153</v>
      </c>
      <c r="N899" t="s">
        <v>1154</v>
      </c>
      <c r="O899" t="s">
        <v>1155</v>
      </c>
      <c r="P899" t="s">
        <v>383</v>
      </c>
      <c r="Q899" t="s">
        <v>130</v>
      </c>
      <c r="R899" t="s">
        <v>131</v>
      </c>
      <c r="S899" t="s">
        <v>46</v>
      </c>
      <c r="T899" t="s">
        <v>46</v>
      </c>
      <c r="U899" s="4">
        <v>110.89</v>
      </c>
      <c r="V899" t="str">
        <f t="shared" si="13"/>
        <v>TP24</v>
      </c>
      <c r="W899" t="str">
        <f>VLOOKUP(K899,[1]Info!A$1:B$21,2,0)</f>
        <v>Trator Pneu</v>
      </c>
      <c r="X899" t="str">
        <f>IF(M899="109595132","Material de Limpeza-Não Avaliar",IF(AND(K899="F20",M899&lt;&gt;109595132),IF(RIGHT(F899,2)="70","Infraestrutura de Planta","Prédios e Instalações"),IF(K899="FPC",VLOOKUP(F899,[1]Info!$E$2:$F$11,2,0),IF(K899="FGP",VLOOKUP(F899,[1]Info!$E$9:$F$10,2,0),IF(K899="F10",VLOOKUP(F899,[1]Info!$E$2:$F$3,2,0),VLOOKUP(K899,[1]Info!$A$1:$B$21,2,0))))))</f>
        <v>Trator Pneu</v>
      </c>
    </row>
    <row r="900" spans="1:24" x14ac:dyDescent="0.35">
      <c r="A900" t="s">
        <v>41</v>
      </c>
      <c r="B900" t="s">
        <v>73</v>
      </c>
      <c r="C900" t="s">
        <v>74</v>
      </c>
      <c r="D900" t="s">
        <v>94</v>
      </c>
      <c r="E900" t="s">
        <v>52</v>
      </c>
      <c r="F900">
        <v>7098131</v>
      </c>
      <c r="G900" t="s">
        <v>75</v>
      </c>
      <c r="H900" t="s">
        <v>43</v>
      </c>
      <c r="I900" t="s">
        <v>44</v>
      </c>
      <c r="J900" t="s">
        <v>50</v>
      </c>
      <c r="K900" t="s">
        <v>16</v>
      </c>
      <c r="L900" t="s">
        <v>62</v>
      </c>
      <c r="M900" t="s">
        <v>1153</v>
      </c>
      <c r="N900" t="s">
        <v>1154</v>
      </c>
      <c r="O900" t="s">
        <v>1155</v>
      </c>
      <c r="P900" t="s">
        <v>383</v>
      </c>
      <c r="Q900" t="s">
        <v>88</v>
      </c>
      <c r="R900" t="s">
        <v>81</v>
      </c>
      <c r="S900" t="s">
        <v>46</v>
      </c>
      <c r="T900" t="s">
        <v>46</v>
      </c>
      <c r="U900" s="4">
        <v>127.9</v>
      </c>
      <c r="V900" t="str">
        <f t="shared" ref="V900:V963" si="14">RIGHT(O900,4)</f>
        <v>TP24</v>
      </c>
      <c r="W900" t="str">
        <f>VLOOKUP(K900,[1]Info!A$1:B$21,2,0)</f>
        <v>Trator Pneu</v>
      </c>
      <c r="X900" t="str">
        <f>IF(M900="109595132","Material de Limpeza-Não Avaliar",IF(AND(K900="F20",M900&lt;&gt;109595132),IF(RIGHT(F900,2)="70","Infraestrutura de Planta","Prédios e Instalações"),IF(K900="FPC",VLOOKUP(F900,[1]Info!$E$2:$F$11,2,0),IF(K900="FGP",VLOOKUP(F900,[1]Info!$E$9:$F$10,2,0),IF(K900="F10",VLOOKUP(F900,[1]Info!$E$2:$F$3,2,0),VLOOKUP(K900,[1]Info!$A$1:$B$21,2,0))))))</f>
        <v>Trator Pneu</v>
      </c>
    </row>
    <row r="901" spans="1:24" x14ac:dyDescent="0.35">
      <c r="A901" t="s">
        <v>41</v>
      </c>
      <c r="B901" t="s">
        <v>73</v>
      </c>
      <c r="C901" t="s">
        <v>74</v>
      </c>
      <c r="D901" t="s">
        <v>94</v>
      </c>
      <c r="E901" t="s">
        <v>52</v>
      </c>
      <c r="F901">
        <v>7098131</v>
      </c>
      <c r="G901" t="s">
        <v>75</v>
      </c>
      <c r="H901" t="s">
        <v>43</v>
      </c>
      <c r="I901" t="s">
        <v>44</v>
      </c>
      <c r="J901" t="s">
        <v>50</v>
      </c>
      <c r="K901" t="s">
        <v>16</v>
      </c>
      <c r="L901" t="s">
        <v>62</v>
      </c>
      <c r="M901" t="s">
        <v>1153</v>
      </c>
      <c r="N901" t="s">
        <v>1154</v>
      </c>
      <c r="O901" t="s">
        <v>1155</v>
      </c>
      <c r="P901" t="s">
        <v>383</v>
      </c>
      <c r="Q901" t="s">
        <v>132</v>
      </c>
      <c r="R901" t="s">
        <v>133</v>
      </c>
      <c r="S901" t="s">
        <v>46</v>
      </c>
      <c r="T901" t="s">
        <v>46</v>
      </c>
      <c r="U901" s="4">
        <v>153.63999999999999</v>
      </c>
      <c r="V901" t="str">
        <f t="shared" si="14"/>
        <v>TP24</v>
      </c>
      <c r="W901" t="str">
        <f>VLOOKUP(K901,[1]Info!A$1:B$21,2,0)</f>
        <v>Trator Pneu</v>
      </c>
      <c r="X901" t="str">
        <f>IF(M901="109595132","Material de Limpeza-Não Avaliar",IF(AND(K901="F20",M901&lt;&gt;109595132),IF(RIGHT(F901,2)="70","Infraestrutura de Planta","Prédios e Instalações"),IF(K901="FPC",VLOOKUP(F901,[1]Info!$E$2:$F$11,2,0),IF(K901="FGP",VLOOKUP(F901,[1]Info!$E$9:$F$10,2,0),IF(K901="F10",VLOOKUP(F901,[1]Info!$E$2:$F$3,2,0),VLOOKUP(K901,[1]Info!$A$1:$B$21,2,0))))))</f>
        <v>Trator Pneu</v>
      </c>
    </row>
    <row r="902" spans="1:24" x14ac:dyDescent="0.35">
      <c r="A902" t="s">
        <v>41</v>
      </c>
      <c r="B902" t="s">
        <v>73</v>
      </c>
      <c r="C902" t="s">
        <v>74</v>
      </c>
      <c r="D902" t="s">
        <v>94</v>
      </c>
      <c r="E902" t="s">
        <v>52</v>
      </c>
      <c r="F902">
        <v>7098131</v>
      </c>
      <c r="G902" t="s">
        <v>75</v>
      </c>
      <c r="H902" t="s">
        <v>43</v>
      </c>
      <c r="I902" t="s">
        <v>44</v>
      </c>
      <c r="J902" t="s">
        <v>50</v>
      </c>
      <c r="K902" t="s">
        <v>16</v>
      </c>
      <c r="L902" t="s">
        <v>62</v>
      </c>
      <c r="M902" t="s">
        <v>1153</v>
      </c>
      <c r="N902" t="s">
        <v>1154</v>
      </c>
      <c r="O902" t="s">
        <v>1155</v>
      </c>
      <c r="P902" t="s">
        <v>383</v>
      </c>
      <c r="Q902" t="s">
        <v>134</v>
      </c>
      <c r="R902" t="s">
        <v>135</v>
      </c>
      <c r="S902" t="s">
        <v>46</v>
      </c>
      <c r="T902" t="s">
        <v>46</v>
      </c>
      <c r="U902" s="4">
        <v>125.66</v>
      </c>
      <c r="V902" t="str">
        <f t="shared" si="14"/>
        <v>TP24</v>
      </c>
      <c r="W902" t="str">
        <f>VLOOKUP(K902,[1]Info!A$1:B$21,2,0)</f>
        <v>Trator Pneu</v>
      </c>
      <c r="X902" t="str">
        <f>IF(M902="109595132","Material de Limpeza-Não Avaliar",IF(AND(K902="F20",M902&lt;&gt;109595132),IF(RIGHT(F902,2)="70","Infraestrutura de Planta","Prédios e Instalações"),IF(K902="FPC",VLOOKUP(F902,[1]Info!$E$2:$F$11,2,0),IF(K902="FGP",VLOOKUP(F902,[1]Info!$E$9:$F$10,2,0),IF(K902="F10",VLOOKUP(F902,[1]Info!$E$2:$F$3,2,0),VLOOKUP(K902,[1]Info!$A$1:$B$21,2,0))))))</f>
        <v>Trator Pneu</v>
      </c>
    </row>
    <row r="903" spans="1:24" x14ac:dyDescent="0.35">
      <c r="A903" t="s">
        <v>41</v>
      </c>
      <c r="B903" t="s">
        <v>73</v>
      </c>
      <c r="C903" t="s">
        <v>74</v>
      </c>
      <c r="D903" t="s">
        <v>94</v>
      </c>
      <c r="E903" t="s">
        <v>52</v>
      </c>
      <c r="F903">
        <v>7098131</v>
      </c>
      <c r="G903" t="s">
        <v>75</v>
      </c>
      <c r="H903" t="s">
        <v>43</v>
      </c>
      <c r="I903" t="s">
        <v>44</v>
      </c>
      <c r="J903" t="s">
        <v>50</v>
      </c>
      <c r="K903" t="s">
        <v>16</v>
      </c>
      <c r="L903" t="s">
        <v>62</v>
      </c>
      <c r="M903" t="s">
        <v>1156</v>
      </c>
      <c r="N903" t="s">
        <v>1157</v>
      </c>
      <c r="O903" t="s">
        <v>1158</v>
      </c>
      <c r="P903" t="s">
        <v>383</v>
      </c>
      <c r="Q903" t="s">
        <v>86</v>
      </c>
      <c r="R903" t="s">
        <v>80</v>
      </c>
      <c r="S903" t="s">
        <v>46</v>
      </c>
      <c r="T903" t="s">
        <v>46</v>
      </c>
      <c r="U903" s="4">
        <v>135.35</v>
      </c>
      <c r="V903" t="str">
        <f t="shared" si="14"/>
        <v>TP33</v>
      </c>
      <c r="W903" t="str">
        <f>VLOOKUP(K903,[1]Info!A$1:B$21,2,0)</f>
        <v>Trator Pneu</v>
      </c>
      <c r="X903" t="str">
        <f>IF(M903="109595132","Material de Limpeza-Não Avaliar",IF(AND(K903="F20",M903&lt;&gt;109595132),IF(RIGHT(F903,2)="70","Infraestrutura de Planta","Prédios e Instalações"),IF(K903="FPC",VLOOKUP(F903,[1]Info!$E$2:$F$11,2,0),IF(K903="FGP",VLOOKUP(F903,[1]Info!$E$9:$F$10,2,0),IF(K903="F10",VLOOKUP(F903,[1]Info!$E$2:$F$3,2,0),VLOOKUP(K903,[1]Info!$A$1:$B$21,2,0))))))</f>
        <v>Trator Pneu</v>
      </c>
    </row>
    <row r="904" spans="1:24" x14ac:dyDescent="0.35">
      <c r="A904" t="s">
        <v>41</v>
      </c>
      <c r="B904" t="s">
        <v>73</v>
      </c>
      <c r="C904" t="s">
        <v>74</v>
      </c>
      <c r="D904" t="s">
        <v>94</v>
      </c>
      <c r="E904" t="s">
        <v>52</v>
      </c>
      <c r="F904">
        <v>7098131</v>
      </c>
      <c r="G904" t="s">
        <v>75</v>
      </c>
      <c r="H904" t="s">
        <v>43</v>
      </c>
      <c r="I904" t="s">
        <v>44</v>
      </c>
      <c r="J904" t="s">
        <v>50</v>
      </c>
      <c r="K904" t="s">
        <v>16</v>
      </c>
      <c r="L904" t="s">
        <v>62</v>
      </c>
      <c r="M904" t="s">
        <v>1156</v>
      </c>
      <c r="N904" t="s">
        <v>1157</v>
      </c>
      <c r="O904" t="s">
        <v>1158</v>
      </c>
      <c r="P904" t="s">
        <v>383</v>
      </c>
      <c r="Q904" t="s">
        <v>87</v>
      </c>
      <c r="R904" t="s">
        <v>90</v>
      </c>
      <c r="S904" t="s">
        <v>46</v>
      </c>
      <c r="T904" t="s">
        <v>46</v>
      </c>
      <c r="U904" s="4">
        <v>71.31</v>
      </c>
      <c r="V904" t="str">
        <f t="shared" si="14"/>
        <v>TP33</v>
      </c>
      <c r="W904" t="str">
        <f>VLOOKUP(K904,[1]Info!A$1:B$21,2,0)</f>
        <v>Trator Pneu</v>
      </c>
      <c r="X904" t="str">
        <f>IF(M904="109595132","Material de Limpeza-Não Avaliar",IF(AND(K904="F20",M904&lt;&gt;109595132),IF(RIGHT(F904,2)="70","Infraestrutura de Planta","Prédios e Instalações"),IF(K904="FPC",VLOOKUP(F904,[1]Info!$E$2:$F$11,2,0),IF(K904="FGP",VLOOKUP(F904,[1]Info!$E$9:$F$10,2,0),IF(K904="F10",VLOOKUP(F904,[1]Info!$E$2:$F$3,2,0),VLOOKUP(K904,[1]Info!$A$1:$B$21,2,0))))))</f>
        <v>Trator Pneu</v>
      </c>
    </row>
    <row r="905" spans="1:24" x14ac:dyDescent="0.35">
      <c r="A905" t="s">
        <v>41</v>
      </c>
      <c r="B905" t="s">
        <v>73</v>
      </c>
      <c r="C905" t="s">
        <v>74</v>
      </c>
      <c r="D905" t="s">
        <v>94</v>
      </c>
      <c r="E905" t="s">
        <v>52</v>
      </c>
      <c r="F905">
        <v>7098131</v>
      </c>
      <c r="G905" t="s">
        <v>75</v>
      </c>
      <c r="H905" t="s">
        <v>43</v>
      </c>
      <c r="I905" t="s">
        <v>44</v>
      </c>
      <c r="J905" t="s">
        <v>50</v>
      </c>
      <c r="K905" t="s">
        <v>16</v>
      </c>
      <c r="L905" t="s">
        <v>62</v>
      </c>
      <c r="M905" t="s">
        <v>1156</v>
      </c>
      <c r="N905" t="s">
        <v>1157</v>
      </c>
      <c r="O905" t="s">
        <v>1158</v>
      </c>
      <c r="P905" t="s">
        <v>383</v>
      </c>
      <c r="Q905" t="s">
        <v>88</v>
      </c>
      <c r="R905" t="s">
        <v>81</v>
      </c>
      <c r="S905" t="s">
        <v>46</v>
      </c>
      <c r="T905" t="s">
        <v>46</v>
      </c>
      <c r="U905" s="4">
        <v>127.9</v>
      </c>
      <c r="V905" t="str">
        <f t="shared" si="14"/>
        <v>TP33</v>
      </c>
      <c r="W905" t="str">
        <f>VLOOKUP(K905,[1]Info!A$1:B$21,2,0)</f>
        <v>Trator Pneu</v>
      </c>
      <c r="X905" t="str">
        <f>IF(M905="109595132","Material de Limpeza-Não Avaliar",IF(AND(K905="F20",M905&lt;&gt;109595132),IF(RIGHT(F905,2)="70","Infraestrutura de Planta","Prédios e Instalações"),IF(K905="FPC",VLOOKUP(F905,[1]Info!$E$2:$F$11,2,0),IF(K905="FGP",VLOOKUP(F905,[1]Info!$E$9:$F$10,2,0),IF(K905="F10",VLOOKUP(F905,[1]Info!$E$2:$F$3,2,0),VLOOKUP(K905,[1]Info!$A$1:$B$21,2,0))))))</f>
        <v>Trator Pneu</v>
      </c>
    </row>
    <row r="906" spans="1:24" x14ac:dyDescent="0.35">
      <c r="A906" t="s">
        <v>41</v>
      </c>
      <c r="B906" t="s">
        <v>73</v>
      </c>
      <c r="C906" t="s">
        <v>74</v>
      </c>
      <c r="D906" t="s">
        <v>94</v>
      </c>
      <c r="E906" t="s">
        <v>52</v>
      </c>
      <c r="F906">
        <v>7098131</v>
      </c>
      <c r="G906" t="s">
        <v>75</v>
      </c>
      <c r="H906" t="s">
        <v>43</v>
      </c>
      <c r="I906" t="s">
        <v>44</v>
      </c>
      <c r="J906" t="s">
        <v>50</v>
      </c>
      <c r="K906" t="s">
        <v>16</v>
      </c>
      <c r="L906" t="s">
        <v>62</v>
      </c>
      <c r="M906" t="s">
        <v>1159</v>
      </c>
      <c r="N906" t="s">
        <v>1160</v>
      </c>
      <c r="O906" t="s">
        <v>227</v>
      </c>
      <c r="P906" t="s">
        <v>383</v>
      </c>
      <c r="Q906" t="s">
        <v>86</v>
      </c>
      <c r="R906" t="s">
        <v>80</v>
      </c>
      <c r="S906" t="s">
        <v>46</v>
      </c>
      <c r="T906" t="s">
        <v>46</v>
      </c>
      <c r="U906" s="4">
        <v>135.34</v>
      </c>
      <c r="V906" t="str">
        <f t="shared" si="14"/>
        <v>TP32</v>
      </c>
      <c r="W906" t="str">
        <f>VLOOKUP(K906,[1]Info!A$1:B$21,2,0)</f>
        <v>Trator Pneu</v>
      </c>
      <c r="X906" t="str">
        <f>IF(M906="109595132","Material de Limpeza-Não Avaliar",IF(AND(K906="F20",M906&lt;&gt;109595132),IF(RIGHT(F906,2)="70","Infraestrutura de Planta","Prédios e Instalações"),IF(K906="FPC",VLOOKUP(F906,[1]Info!$E$2:$F$11,2,0),IF(K906="FGP",VLOOKUP(F906,[1]Info!$E$9:$F$10,2,0),IF(K906="F10",VLOOKUP(F906,[1]Info!$E$2:$F$3,2,0),VLOOKUP(K906,[1]Info!$A$1:$B$21,2,0))))))</f>
        <v>Trator Pneu</v>
      </c>
    </row>
    <row r="907" spans="1:24" x14ac:dyDescent="0.35">
      <c r="A907" t="s">
        <v>41</v>
      </c>
      <c r="B907" t="s">
        <v>73</v>
      </c>
      <c r="C907" t="s">
        <v>74</v>
      </c>
      <c r="D907" t="s">
        <v>94</v>
      </c>
      <c r="E907" t="s">
        <v>52</v>
      </c>
      <c r="F907">
        <v>7098131</v>
      </c>
      <c r="G907" t="s">
        <v>75</v>
      </c>
      <c r="H907" t="s">
        <v>43</v>
      </c>
      <c r="I907" t="s">
        <v>44</v>
      </c>
      <c r="J907" t="s">
        <v>50</v>
      </c>
      <c r="K907" t="s">
        <v>16</v>
      </c>
      <c r="L907" t="s">
        <v>62</v>
      </c>
      <c r="M907" t="s">
        <v>1159</v>
      </c>
      <c r="N907" t="s">
        <v>1160</v>
      </c>
      <c r="O907" t="s">
        <v>227</v>
      </c>
      <c r="P907" t="s">
        <v>383</v>
      </c>
      <c r="Q907" t="s">
        <v>87</v>
      </c>
      <c r="R907" t="s">
        <v>90</v>
      </c>
      <c r="S907" t="s">
        <v>46</v>
      </c>
      <c r="T907" t="s">
        <v>46</v>
      </c>
      <c r="U907" s="4">
        <v>71.31</v>
      </c>
      <c r="V907" t="str">
        <f t="shared" si="14"/>
        <v>TP32</v>
      </c>
      <c r="W907" t="str">
        <f>VLOOKUP(K907,[1]Info!A$1:B$21,2,0)</f>
        <v>Trator Pneu</v>
      </c>
      <c r="X907" t="str">
        <f>IF(M907="109595132","Material de Limpeza-Não Avaliar",IF(AND(K907="F20",M907&lt;&gt;109595132),IF(RIGHT(F907,2)="70","Infraestrutura de Planta","Prédios e Instalações"),IF(K907="FPC",VLOOKUP(F907,[1]Info!$E$2:$F$11,2,0),IF(K907="FGP",VLOOKUP(F907,[1]Info!$E$9:$F$10,2,0),IF(K907="F10",VLOOKUP(F907,[1]Info!$E$2:$F$3,2,0),VLOOKUP(K907,[1]Info!$A$1:$B$21,2,0))))))</f>
        <v>Trator Pneu</v>
      </c>
    </row>
    <row r="908" spans="1:24" x14ac:dyDescent="0.35">
      <c r="A908" t="s">
        <v>41</v>
      </c>
      <c r="B908" t="s">
        <v>73</v>
      </c>
      <c r="C908" t="s">
        <v>74</v>
      </c>
      <c r="D908" t="s">
        <v>94</v>
      </c>
      <c r="E908" t="s">
        <v>52</v>
      </c>
      <c r="F908">
        <v>7098131</v>
      </c>
      <c r="G908" t="s">
        <v>75</v>
      </c>
      <c r="H908" t="s">
        <v>43</v>
      </c>
      <c r="I908" t="s">
        <v>44</v>
      </c>
      <c r="J908" t="s">
        <v>50</v>
      </c>
      <c r="K908" t="s">
        <v>16</v>
      </c>
      <c r="L908" t="s">
        <v>62</v>
      </c>
      <c r="M908" t="s">
        <v>1159</v>
      </c>
      <c r="N908" t="s">
        <v>1160</v>
      </c>
      <c r="O908" t="s">
        <v>227</v>
      </c>
      <c r="P908" t="s">
        <v>383</v>
      </c>
      <c r="Q908" t="s">
        <v>88</v>
      </c>
      <c r="R908" t="s">
        <v>81</v>
      </c>
      <c r="S908" t="s">
        <v>46</v>
      </c>
      <c r="T908" t="s">
        <v>46</v>
      </c>
      <c r="U908" s="4">
        <v>129.47</v>
      </c>
      <c r="V908" t="str">
        <f t="shared" si="14"/>
        <v>TP32</v>
      </c>
      <c r="W908" t="str">
        <f>VLOOKUP(K908,[1]Info!A$1:B$21,2,0)</f>
        <v>Trator Pneu</v>
      </c>
      <c r="X908" t="str">
        <f>IF(M908="109595132","Material de Limpeza-Não Avaliar",IF(AND(K908="F20",M908&lt;&gt;109595132),IF(RIGHT(F908,2)="70","Infraestrutura de Planta","Prédios e Instalações"),IF(K908="FPC",VLOOKUP(F908,[1]Info!$E$2:$F$11,2,0),IF(K908="FGP",VLOOKUP(F908,[1]Info!$E$9:$F$10,2,0),IF(K908="F10",VLOOKUP(F908,[1]Info!$E$2:$F$3,2,0),VLOOKUP(K908,[1]Info!$A$1:$B$21,2,0))))))</f>
        <v>Trator Pneu</v>
      </c>
    </row>
    <row r="909" spans="1:24" x14ac:dyDescent="0.35">
      <c r="A909" t="s">
        <v>41</v>
      </c>
      <c r="B909" t="s">
        <v>73</v>
      </c>
      <c r="C909" t="s">
        <v>74</v>
      </c>
      <c r="D909" t="s">
        <v>94</v>
      </c>
      <c r="E909" t="s">
        <v>52</v>
      </c>
      <c r="F909">
        <v>7098131</v>
      </c>
      <c r="G909" t="s">
        <v>75</v>
      </c>
      <c r="H909" t="s">
        <v>43</v>
      </c>
      <c r="I909" t="s">
        <v>44</v>
      </c>
      <c r="J909" t="s">
        <v>50</v>
      </c>
      <c r="K909" t="s">
        <v>16</v>
      </c>
      <c r="L909" t="s">
        <v>51</v>
      </c>
      <c r="M909" t="s">
        <v>1798</v>
      </c>
      <c r="N909" t="s">
        <v>304</v>
      </c>
      <c r="O909" t="s">
        <v>276</v>
      </c>
      <c r="P909" t="s">
        <v>1292</v>
      </c>
      <c r="Q909" t="s">
        <v>46</v>
      </c>
      <c r="R909" t="s">
        <v>47</v>
      </c>
      <c r="S909" t="s">
        <v>46</v>
      </c>
      <c r="T909" t="s">
        <v>46</v>
      </c>
      <c r="U909" s="4">
        <v>559.1</v>
      </c>
      <c r="V909" t="str">
        <f t="shared" si="14"/>
        <v>TP35</v>
      </c>
      <c r="W909" t="str">
        <f>VLOOKUP(K909,[1]Info!A$1:B$21,2,0)</f>
        <v>Trator Pneu</v>
      </c>
      <c r="X909" t="str">
        <f>IF(M909="109595132","Material de Limpeza-Não Avaliar",IF(AND(K909="F20",M909&lt;&gt;109595132),IF(RIGHT(F909,2)="70","Infraestrutura de Planta","Prédios e Instalações"),IF(K909="FPC",VLOOKUP(F909,[1]Info!$E$2:$F$11,2,0),IF(K909="FGP",VLOOKUP(F909,[1]Info!$E$9:$F$10,2,0),IF(K909="F10",VLOOKUP(F909,[1]Info!$E$2:$F$3,2,0),VLOOKUP(K909,[1]Info!$A$1:$B$21,2,0))))))</f>
        <v>Trator Pneu</v>
      </c>
    </row>
    <row r="910" spans="1:24" x14ac:dyDescent="0.35">
      <c r="A910" t="s">
        <v>41</v>
      </c>
      <c r="B910" t="s">
        <v>73</v>
      </c>
      <c r="C910" t="s">
        <v>74</v>
      </c>
      <c r="D910" t="s">
        <v>94</v>
      </c>
      <c r="E910" t="s">
        <v>52</v>
      </c>
      <c r="F910">
        <v>7098131</v>
      </c>
      <c r="G910" t="s">
        <v>75</v>
      </c>
      <c r="H910" t="s">
        <v>43</v>
      </c>
      <c r="I910" t="s">
        <v>44</v>
      </c>
      <c r="J910" t="s">
        <v>50</v>
      </c>
      <c r="K910" t="s">
        <v>16</v>
      </c>
      <c r="L910" t="s">
        <v>51</v>
      </c>
      <c r="M910" t="s">
        <v>1799</v>
      </c>
      <c r="N910" t="s">
        <v>1800</v>
      </c>
      <c r="O910" t="s">
        <v>864</v>
      </c>
      <c r="P910" t="s">
        <v>1292</v>
      </c>
      <c r="Q910" t="s">
        <v>46</v>
      </c>
      <c r="R910" t="s">
        <v>47</v>
      </c>
      <c r="S910" t="s">
        <v>46</v>
      </c>
      <c r="T910" t="s">
        <v>46</v>
      </c>
      <c r="U910" s="4">
        <v>2425</v>
      </c>
      <c r="V910" t="str">
        <f t="shared" si="14"/>
        <v>TP31</v>
      </c>
      <c r="W910" t="str">
        <f>VLOOKUP(K910,[1]Info!A$1:B$21,2,0)</f>
        <v>Trator Pneu</v>
      </c>
      <c r="X910" t="str">
        <f>IF(M910="109595132","Material de Limpeza-Não Avaliar",IF(AND(K910="F20",M910&lt;&gt;109595132),IF(RIGHT(F910,2)="70","Infraestrutura de Planta","Prédios e Instalações"),IF(K910="FPC",VLOOKUP(F910,[1]Info!$E$2:$F$11,2,0),IF(K910="FGP",VLOOKUP(F910,[1]Info!$E$9:$F$10,2,0),IF(K910="F10",VLOOKUP(F910,[1]Info!$E$2:$F$3,2,0),VLOOKUP(K910,[1]Info!$A$1:$B$21,2,0))))))</f>
        <v>Trator Pneu</v>
      </c>
    </row>
    <row r="911" spans="1:24" x14ac:dyDescent="0.35">
      <c r="A911" t="s">
        <v>41</v>
      </c>
      <c r="B911" t="s">
        <v>73</v>
      </c>
      <c r="C911" t="s">
        <v>74</v>
      </c>
      <c r="D911" t="s">
        <v>94</v>
      </c>
      <c r="E911" t="s">
        <v>52</v>
      </c>
      <c r="F911">
        <v>7098131</v>
      </c>
      <c r="G911" t="s">
        <v>75</v>
      </c>
      <c r="H911" t="s">
        <v>43</v>
      </c>
      <c r="I911" t="s">
        <v>44</v>
      </c>
      <c r="J911" t="s">
        <v>50</v>
      </c>
      <c r="K911" t="s">
        <v>16</v>
      </c>
      <c r="L911" t="s">
        <v>51</v>
      </c>
      <c r="M911" t="s">
        <v>1801</v>
      </c>
      <c r="N911" t="s">
        <v>1802</v>
      </c>
      <c r="O911" t="s">
        <v>1803</v>
      </c>
      <c r="P911" t="s">
        <v>1292</v>
      </c>
      <c r="Q911" t="s">
        <v>46</v>
      </c>
      <c r="R911" t="s">
        <v>47</v>
      </c>
      <c r="S911" t="s">
        <v>46</v>
      </c>
      <c r="T911" t="s">
        <v>46</v>
      </c>
      <c r="U911" s="4">
        <v>528.61</v>
      </c>
      <c r="V911" t="str">
        <f t="shared" si="14"/>
        <v>0010</v>
      </c>
      <c r="W911" t="str">
        <f>VLOOKUP(K911,[1]Info!A$1:B$21,2,0)</f>
        <v>Trator Pneu</v>
      </c>
      <c r="X911" t="str">
        <f>IF(M911="109595132","Material de Limpeza-Não Avaliar",IF(AND(K911="F20",M911&lt;&gt;109595132),IF(RIGHT(F911,2)="70","Infraestrutura de Planta","Prédios e Instalações"),IF(K911="FPC",VLOOKUP(F911,[1]Info!$E$2:$F$11,2,0),IF(K911="FGP",VLOOKUP(F911,[1]Info!$E$9:$F$10,2,0),IF(K911="F10",VLOOKUP(F911,[1]Info!$E$2:$F$3,2,0),VLOOKUP(K911,[1]Info!$A$1:$B$21,2,0))))))</f>
        <v>Trator Pneu</v>
      </c>
    </row>
    <row r="912" spans="1:24" x14ac:dyDescent="0.35">
      <c r="A912" t="s">
        <v>41</v>
      </c>
      <c r="B912" t="s">
        <v>73</v>
      </c>
      <c r="C912" t="s">
        <v>74</v>
      </c>
      <c r="D912" t="s">
        <v>94</v>
      </c>
      <c r="E912" t="s">
        <v>52</v>
      </c>
      <c r="F912">
        <v>7098131</v>
      </c>
      <c r="G912" t="s">
        <v>75</v>
      </c>
      <c r="H912" t="s">
        <v>43</v>
      </c>
      <c r="I912" t="s">
        <v>44</v>
      </c>
      <c r="J912" t="s">
        <v>50</v>
      </c>
      <c r="K912" t="s">
        <v>16</v>
      </c>
      <c r="L912" t="s">
        <v>51</v>
      </c>
      <c r="M912" t="s">
        <v>1804</v>
      </c>
      <c r="N912" t="s">
        <v>1805</v>
      </c>
      <c r="O912" t="s">
        <v>1806</v>
      </c>
      <c r="P912" t="s">
        <v>1292</v>
      </c>
      <c r="Q912" t="s">
        <v>46</v>
      </c>
      <c r="R912" t="s">
        <v>47</v>
      </c>
      <c r="S912" t="s">
        <v>46</v>
      </c>
      <c r="T912" t="s">
        <v>46</v>
      </c>
      <c r="U912" s="4">
        <v>1949.82</v>
      </c>
      <c r="V912" t="str">
        <f t="shared" si="14"/>
        <v>0010</v>
      </c>
      <c r="W912" t="str">
        <f>VLOOKUP(K912,[1]Info!A$1:B$21,2,0)</f>
        <v>Trator Pneu</v>
      </c>
      <c r="X912" t="str">
        <f>IF(M912="109595132","Material de Limpeza-Não Avaliar",IF(AND(K912="F20",M912&lt;&gt;109595132),IF(RIGHT(F912,2)="70","Infraestrutura de Planta","Prédios e Instalações"),IF(K912="FPC",VLOOKUP(F912,[1]Info!$E$2:$F$11,2,0),IF(K912="FGP",VLOOKUP(F912,[1]Info!$E$9:$F$10,2,0),IF(K912="F10",VLOOKUP(F912,[1]Info!$E$2:$F$3,2,0),VLOOKUP(K912,[1]Info!$A$1:$B$21,2,0))))))</f>
        <v>Trator Pneu</v>
      </c>
    </row>
    <row r="913" spans="1:24" x14ac:dyDescent="0.35">
      <c r="A913" t="s">
        <v>41</v>
      </c>
      <c r="B913" t="s">
        <v>73</v>
      </c>
      <c r="C913" t="s">
        <v>74</v>
      </c>
      <c r="D913" t="s">
        <v>94</v>
      </c>
      <c r="E913" t="s">
        <v>52</v>
      </c>
      <c r="F913">
        <v>7098131</v>
      </c>
      <c r="G913" t="s">
        <v>75</v>
      </c>
      <c r="H913" t="s">
        <v>43</v>
      </c>
      <c r="I913" t="s">
        <v>44</v>
      </c>
      <c r="J913" t="s">
        <v>50</v>
      </c>
      <c r="K913" t="s">
        <v>16</v>
      </c>
      <c r="L913" t="s">
        <v>51</v>
      </c>
      <c r="M913" t="s">
        <v>1807</v>
      </c>
      <c r="N913" t="s">
        <v>1808</v>
      </c>
      <c r="O913" t="s">
        <v>1809</v>
      </c>
      <c r="P913" t="s">
        <v>1292</v>
      </c>
      <c r="Q913" t="s">
        <v>46</v>
      </c>
      <c r="R913" t="s">
        <v>47</v>
      </c>
      <c r="S913" t="s">
        <v>46</v>
      </c>
      <c r="T913" t="s">
        <v>46</v>
      </c>
      <c r="U913" s="4">
        <v>1349.03</v>
      </c>
      <c r="V913" t="str">
        <f t="shared" si="14"/>
        <v>-015</v>
      </c>
      <c r="W913" t="str">
        <f>VLOOKUP(K913,[1]Info!A$1:B$21,2,0)</f>
        <v>Trator Pneu</v>
      </c>
      <c r="X913" t="str">
        <f>IF(M913="109595132","Material de Limpeza-Não Avaliar",IF(AND(K913="F20",M913&lt;&gt;109595132),IF(RIGHT(F913,2)="70","Infraestrutura de Planta","Prédios e Instalações"),IF(K913="FPC",VLOOKUP(F913,[1]Info!$E$2:$F$11,2,0),IF(K913="FGP",VLOOKUP(F913,[1]Info!$E$9:$F$10,2,0),IF(K913="F10",VLOOKUP(F913,[1]Info!$E$2:$F$3,2,0),VLOOKUP(K913,[1]Info!$A$1:$B$21,2,0))))))</f>
        <v>Trator Pneu</v>
      </c>
    </row>
    <row r="914" spans="1:24" x14ac:dyDescent="0.35">
      <c r="A914" t="s">
        <v>41</v>
      </c>
      <c r="B914" t="s">
        <v>73</v>
      </c>
      <c r="C914" t="s">
        <v>74</v>
      </c>
      <c r="D914" t="s">
        <v>94</v>
      </c>
      <c r="E914" t="s">
        <v>52</v>
      </c>
      <c r="F914">
        <v>7098131</v>
      </c>
      <c r="G914" t="s">
        <v>75</v>
      </c>
      <c r="H914" t="s">
        <v>43</v>
      </c>
      <c r="I914" t="s">
        <v>44</v>
      </c>
      <c r="J914" t="s">
        <v>50</v>
      </c>
      <c r="K914" t="s">
        <v>16</v>
      </c>
      <c r="L914" t="s">
        <v>51</v>
      </c>
      <c r="M914" t="s">
        <v>1810</v>
      </c>
      <c r="N914" t="s">
        <v>1811</v>
      </c>
      <c r="O914" t="s">
        <v>1812</v>
      </c>
      <c r="P914" t="s">
        <v>1292</v>
      </c>
      <c r="Q914" t="s">
        <v>46</v>
      </c>
      <c r="R914" t="s">
        <v>47</v>
      </c>
      <c r="S914" t="s">
        <v>46</v>
      </c>
      <c r="T914" t="s">
        <v>46</v>
      </c>
      <c r="U914" s="4">
        <v>669.1</v>
      </c>
      <c r="V914" t="str">
        <f t="shared" si="14"/>
        <v>0010</v>
      </c>
      <c r="W914" t="str">
        <f>VLOOKUP(K914,[1]Info!A$1:B$21,2,0)</f>
        <v>Trator Pneu</v>
      </c>
      <c r="X914" t="str">
        <f>IF(M914="109595132","Material de Limpeza-Não Avaliar",IF(AND(K914="F20",M914&lt;&gt;109595132),IF(RIGHT(F914,2)="70","Infraestrutura de Planta","Prédios e Instalações"),IF(K914="FPC",VLOOKUP(F914,[1]Info!$E$2:$F$11,2,0),IF(K914="FGP",VLOOKUP(F914,[1]Info!$E$9:$F$10,2,0),IF(K914="F10",VLOOKUP(F914,[1]Info!$E$2:$F$3,2,0),VLOOKUP(K914,[1]Info!$A$1:$B$21,2,0))))))</f>
        <v>Trator Pneu</v>
      </c>
    </row>
    <row r="915" spans="1:24" x14ac:dyDescent="0.35">
      <c r="A915" t="s">
        <v>41</v>
      </c>
      <c r="B915" t="s">
        <v>73</v>
      </c>
      <c r="C915" t="s">
        <v>74</v>
      </c>
      <c r="D915" t="s">
        <v>94</v>
      </c>
      <c r="E915" t="s">
        <v>52</v>
      </c>
      <c r="F915">
        <v>7098131</v>
      </c>
      <c r="G915" t="s">
        <v>75</v>
      </c>
      <c r="H915" t="s">
        <v>43</v>
      </c>
      <c r="I915" t="s">
        <v>44</v>
      </c>
      <c r="J915" t="s">
        <v>50</v>
      </c>
      <c r="K915" t="s">
        <v>16</v>
      </c>
      <c r="L915" t="s">
        <v>51</v>
      </c>
      <c r="M915" t="s">
        <v>1161</v>
      </c>
      <c r="N915" t="s">
        <v>1162</v>
      </c>
      <c r="O915" t="s">
        <v>886</v>
      </c>
      <c r="P915" t="s">
        <v>383</v>
      </c>
      <c r="Q915" t="s">
        <v>86</v>
      </c>
      <c r="R915" t="s">
        <v>80</v>
      </c>
      <c r="S915" t="s">
        <v>46</v>
      </c>
      <c r="T915" t="s">
        <v>46</v>
      </c>
      <c r="U915" s="4">
        <v>135.35</v>
      </c>
      <c r="V915" t="str">
        <f t="shared" si="14"/>
        <v>TP30</v>
      </c>
      <c r="W915" t="str">
        <f>VLOOKUP(K915,[1]Info!A$1:B$21,2,0)</f>
        <v>Trator Pneu</v>
      </c>
      <c r="X915" t="str">
        <f>IF(M915="109595132","Material de Limpeza-Não Avaliar",IF(AND(K915="F20",M915&lt;&gt;109595132),IF(RIGHT(F915,2)="70","Infraestrutura de Planta","Prédios e Instalações"),IF(K915="FPC",VLOOKUP(F915,[1]Info!$E$2:$F$11,2,0),IF(K915="FGP",VLOOKUP(F915,[1]Info!$E$9:$F$10,2,0),IF(K915="F10",VLOOKUP(F915,[1]Info!$E$2:$F$3,2,0),VLOOKUP(K915,[1]Info!$A$1:$B$21,2,0))))))</f>
        <v>Trator Pneu</v>
      </c>
    </row>
    <row r="916" spans="1:24" x14ac:dyDescent="0.35">
      <c r="A916" t="s">
        <v>41</v>
      </c>
      <c r="B916" t="s">
        <v>73</v>
      </c>
      <c r="C916" t="s">
        <v>74</v>
      </c>
      <c r="D916" t="s">
        <v>94</v>
      </c>
      <c r="E916" t="s">
        <v>52</v>
      </c>
      <c r="F916">
        <v>7098131</v>
      </c>
      <c r="G916" t="s">
        <v>75</v>
      </c>
      <c r="H916" t="s">
        <v>43</v>
      </c>
      <c r="I916" t="s">
        <v>44</v>
      </c>
      <c r="J916" t="s">
        <v>50</v>
      </c>
      <c r="K916" t="s">
        <v>16</v>
      </c>
      <c r="L916" t="s">
        <v>51</v>
      </c>
      <c r="M916" t="s">
        <v>1161</v>
      </c>
      <c r="N916" t="s">
        <v>1162</v>
      </c>
      <c r="O916" t="s">
        <v>886</v>
      </c>
      <c r="P916" t="s">
        <v>383</v>
      </c>
      <c r="Q916" t="s">
        <v>1151</v>
      </c>
      <c r="R916" t="s">
        <v>1152</v>
      </c>
      <c r="S916" t="s">
        <v>46</v>
      </c>
      <c r="T916" t="s">
        <v>46</v>
      </c>
      <c r="U916" s="4">
        <v>50.34</v>
      </c>
      <c r="V916" t="str">
        <f t="shared" si="14"/>
        <v>TP30</v>
      </c>
      <c r="W916" t="str">
        <f>VLOOKUP(K916,[1]Info!A$1:B$21,2,0)</f>
        <v>Trator Pneu</v>
      </c>
      <c r="X916" t="str">
        <f>IF(M916="109595132","Material de Limpeza-Não Avaliar",IF(AND(K916="F20",M916&lt;&gt;109595132),IF(RIGHT(F916,2)="70","Infraestrutura de Planta","Prédios e Instalações"),IF(K916="FPC",VLOOKUP(F916,[1]Info!$E$2:$F$11,2,0),IF(K916="FGP",VLOOKUP(F916,[1]Info!$E$9:$F$10,2,0),IF(K916="F10",VLOOKUP(F916,[1]Info!$E$2:$F$3,2,0),VLOOKUP(K916,[1]Info!$A$1:$B$21,2,0))))))</f>
        <v>Trator Pneu</v>
      </c>
    </row>
    <row r="917" spans="1:24" x14ac:dyDescent="0.35">
      <c r="A917" t="s">
        <v>41</v>
      </c>
      <c r="B917" t="s">
        <v>73</v>
      </c>
      <c r="C917" t="s">
        <v>74</v>
      </c>
      <c r="D917" t="s">
        <v>94</v>
      </c>
      <c r="E917" t="s">
        <v>52</v>
      </c>
      <c r="F917">
        <v>7098131</v>
      </c>
      <c r="G917" t="s">
        <v>75</v>
      </c>
      <c r="H917" t="s">
        <v>43</v>
      </c>
      <c r="I917" t="s">
        <v>44</v>
      </c>
      <c r="J917" t="s">
        <v>50</v>
      </c>
      <c r="K917" t="s">
        <v>16</v>
      </c>
      <c r="L917" t="s">
        <v>51</v>
      </c>
      <c r="M917" t="s">
        <v>1161</v>
      </c>
      <c r="N917" t="s">
        <v>1162</v>
      </c>
      <c r="O917" t="s">
        <v>886</v>
      </c>
      <c r="P917" t="s">
        <v>383</v>
      </c>
      <c r="Q917" t="s">
        <v>128</v>
      </c>
      <c r="R917" t="s">
        <v>129</v>
      </c>
      <c r="S917" t="s">
        <v>46</v>
      </c>
      <c r="T917" t="s">
        <v>46</v>
      </c>
      <c r="U917" s="4">
        <v>263.39999999999998</v>
      </c>
      <c r="V917" t="str">
        <f t="shared" si="14"/>
        <v>TP30</v>
      </c>
      <c r="W917" t="str">
        <f>VLOOKUP(K917,[1]Info!A$1:B$21,2,0)</f>
        <v>Trator Pneu</v>
      </c>
      <c r="X917" t="str">
        <f>IF(M917="109595132","Material de Limpeza-Não Avaliar",IF(AND(K917="F20",M917&lt;&gt;109595132),IF(RIGHT(F917,2)="70","Infraestrutura de Planta","Prédios e Instalações"),IF(K917="FPC",VLOOKUP(F917,[1]Info!$E$2:$F$11,2,0),IF(K917="FGP",VLOOKUP(F917,[1]Info!$E$9:$F$10,2,0),IF(K917="F10",VLOOKUP(F917,[1]Info!$E$2:$F$3,2,0),VLOOKUP(K917,[1]Info!$A$1:$B$21,2,0))))))</f>
        <v>Trator Pneu</v>
      </c>
    </row>
    <row r="918" spans="1:24" x14ac:dyDescent="0.35">
      <c r="A918" t="s">
        <v>41</v>
      </c>
      <c r="B918" t="s">
        <v>73</v>
      </c>
      <c r="C918" t="s">
        <v>74</v>
      </c>
      <c r="D918" t="s">
        <v>94</v>
      </c>
      <c r="E918" t="s">
        <v>52</v>
      </c>
      <c r="F918">
        <v>7098131</v>
      </c>
      <c r="G918" t="s">
        <v>75</v>
      </c>
      <c r="H918" t="s">
        <v>43</v>
      </c>
      <c r="I918" t="s">
        <v>44</v>
      </c>
      <c r="J918" t="s">
        <v>50</v>
      </c>
      <c r="K918" t="s">
        <v>16</v>
      </c>
      <c r="L918" t="s">
        <v>51</v>
      </c>
      <c r="M918" t="s">
        <v>1161</v>
      </c>
      <c r="N918" t="s">
        <v>1162</v>
      </c>
      <c r="O918" t="s">
        <v>886</v>
      </c>
      <c r="P918" t="s">
        <v>383</v>
      </c>
      <c r="Q918" t="s">
        <v>87</v>
      </c>
      <c r="R918" t="s">
        <v>90</v>
      </c>
      <c r="S918" t="s">
        <v>46</v>
      </c>
      <c r="T918" t="s">
        <v>46</v>
      </c>
      <c r="U918" s="4">
        <v>71.31</v>
      </c>
      <c r="V918" t="str">
        <f t="shared" si="14"/>
        <v>TP30</v>
      </c>
      <c r="W918" t="str">
        <f>VLOOKUP(K918,[1]Info!A$1:B$21,2,0)</f>
        <v>Trator Pneu</v>
      </c>
      <c r="X918" t="str">
        <f>IF(M918="109595132","Material de Limpeza-Não Avaliar",IF(AND(K918="F20",M918&lt;&gt;109595132),IF(RIGHT(F918,2)="70","Infraestrutura de Planta","Prédios e Instalações"),IF(K918="FPC",VLOOKUP(F918,[1]Info!$E$2:$F$11,2,0),IF(K918="FGP",VLOOKUP(F918,[1]Info!$E$9:$F$10,2,0),IF(K918="F10",VLOOKUP(F918,[1]Info!$E$2:$F$3,2,0),VLOOKUP(K918,[1]Info!$A$1:$B$21,2,0))))))</f>
        <v>Trator Pneu</v>
      </c>
    </row>
    <row r="919" spans="1:24" x14ac:dyDescent="0.35">
      <c r="A919" t="s">
        <v>41</v>
      </c>
      <c r="B919" t="s">
        <v>73</v>
      </c>
      <c r="C919" t="s">
        <v>74</v>
      </c>
      <c r="D919" t="s">
        <v>94</v>
      </c>
      <c r="E919" t="s">
        <v>52</v>
      </c>
      <c r="F919">
        <v>7098131</v>
      </c>
      <c r="G919" t="s">
        <v>75</v>
      </c>
      <c r="H919" t="s">
        <v>43</v>
      </c>
      <c r="I919" t="s">
        <v>44</v>
      </c>
      <c r="J919" t="s">
        <v>50</v>
      </c>
      <c r="K919" t="s">
        <v>16</v>
      </c>
      <c r="L919" t="s">
        <v>51</v>
      </c>
      <c r="M919" t="s">
        <v>1161</v>
      </c>
      <c r="N919" t="s">
        <v>1162</v>
      </c>
      <c r="O919" t="s">
        <v>886</v>
      </c>
      <c r="P919" t="s">
        <v>383</v>
      </c>
      <c r="Q919" t="s">
        <v>130</v>
      </c>
      <c r="R919" t="s">
        <v>131</v>
      </c>
      <c r="S919" t="s">
        <v>46</v>
      </c>
      <c r="T919" t="s">
        <v>46</v>
      </c>
      <c r="U919" s="4">
        <v>110.89</v>
      </c>
      <c r="V919" t="str">
        <f t="shared" si="14"/>
        <v>TP30</v>
      </c>
      <c r="W919" t="str">
        <f>VLOOKUP(K919,[1]Info!A$1:B$21,2,0)</f>
        <v>Trator Pneu</v>
      </c>
      <c r="X919" t="str">
        <f>IF(M919="109595132","Material de Limpeza-Não Avaliar",IF(AND(K919="F20",M919&lt;&gt;109595132),IF(RIGHT(F919,2)="70","Infraestrutura de Planta","Prédios e Instalações"),IF(K919="FPC",VLOOKUP(F919,[1]Info!$E$2:$F$11,2,0),IF(K919="FGP",VLOOKUP(F919,[1]Info!$E$9:$F$10,2,0),IF(K919="F10",VLOOKUP(F919,[1]Info!$E$2:$F$3,2,0),VLOOKUP(K919,[1]Info!$A$1:$B$21,2,0))))))</f>
        <v>Trator Pneu</v>
      </c>
    </row>
    <row r="920" spans="1:24" x14ac:dyDescent="0.35">
      <c r="A920" t="s">
        <v>41</v>
      </c>
      <c r="B920" t="s">
        <v>73</v>
      </c>
      <c r="C920" t="s">
        <v>74</v>
      </c>
      <c r="D920" t="s">
        <v>94</v>
      </c>
      <c r="E920" t="s">
        <v>52</v>
      </c>
      <c r="F920">
        <v>7098131</v>
      </c>
      <c r="G920" t="s">
        <v>75</v>
      </c>
      <c r="H920" t="s">
        <v>43</v>
      </c>
      <c r="I920" t="s">
        <v>44</v>
      </c>
      <c r="J920" t="s">
        <v>50</v>
      </c>
      <c r="K920" t="s">
        <v>16</v>
      </c>
      <c r="L920" t="s">
        <v>51</v>
      </c>
      <c r="M920" t="s">
        <v>1161</v>
      </c>
      <c r="N920" t="s">
        <v>1162</v>
      </c>
      <c r="O920" t="s">
        <v>886</v>
      </c>
      <c r="P920" t="s">
        <v>383</v>
      </c>
      <c r="Q920" t="s">
        <v>88</v>
      </c>
      <c r="R920" t="s">
        <v>81</v>
      </c>
      <c r="S920" t="s">
        <v>46</v>
      </c>
      <c r="T920" t="s">
        <v>46</v>
      </c>
      <c r="U920" s="4">
        <v>129.47</v>
      </c>
      <c r="V920" t="str">
        <f t="shared" si="14"/>
        <v>TP30</v>
      </c>
      <c r="W920" t="str">
        <f>VLOOKUP(K920,[1]Info!A$1:B$21,2,0)</f>
        <v>Trator Pneu</v>
      </c>
      <c r="X920" t="str">
        <f>IF(M920="109595132","Material de Limpeza-Não Avaliar",IF(AND(K920="F20",M920&lt;&gt;109595132),IF(RIGHT(F920,2)="70","Infraestrutura de Planta","Prédios e Instalações"),IF(K920="FPC",VLOOKUP(F920,[1]Info!$E$2:$F$11,2,0),IF(K920="FGP",VLOOKUP(F920,[1]Info!$E$9:$F$10,2,0),IF(K920="F10",VLOOKUP(F920,[1]Info!$E$2:$F$3,2,0),VLOOKUP(K920,[1]Info!$A$1:$B$21,2,0))))))</f>
        <v>Trator Pneu</v>
      </c>
    </row>
    <row r="921" spans="1:24" x14ac:dyDescent="0.35">
      <c r="A921" t="s">
        <v>41</v>
      </c>
      <c r="B921" t="s">
        <v>73</v>
      </c>
      <c r="C921" t="s">
        <v>74</v>
      </c>
      <c r="D921" t="s">
        <v>94</v>
      </c>
      <c r="E921" t="s">
        <v>52</v>
      </c>
      <c r="F921">
        <v>7098131</v>
      </c>
      <c r="G921" t="s">
        <v>75</v>
      </c>
      <c r="H921" t="s">
        <v>43</v>
      </c>
      <c r="I921" t="s">
        <v>44</v>
      </c>
      <c r="J921" t="s">
        <v>50</v>
      </c>
      <c r="K921" t="s">
        <v>16</v>
      </c>
      <c r="L921" t="s">
        <v>51</v>
      </c>
      <c r="M921" t="s">
        <v>1161</v>
      </c>
      <c r="N921" t="s">
        <v>1162</v>
      </c>
      <c r="O921" t="s">
        <v>886</v>
      </c>
      <c r="P921" t="s">
        <v>383</v>
      </c>
      <c r="Q921" t="s">
        <v>132</v>
      </c>
      <c r="R921" t="s">
        <v>133</v>
      </c>
      <c r="S921" t="s">
        <v>46</v>
      </c>
      <c r="T921" t="s">
        <v>46</v>
      </c>
      <c r="U921" s="4">
        <v>154.15</v>
      </c>
      <c r="V921" t="str">
        <f t="shared" si="14"/>
        <v>TP30</v>
      </c>
      <c r="W921" t="str">
        <f>VLOOKUP(K921,[1]Info!A$1:B$21,2,0)</f>
        <v>Trator Pneu</v>
      </c>
      <c r="X921" t="str">
        <f>IF(M921="109595132","Material de Limpeza-Não Avaliar",IF(AND(K921="F20",M921&lt;&gt;109595132),IF(RIGHT(F921,2)="70","Infraestrutura de Planta","Prédios e Instalações"),IF(K921="FPC",VLOOKUP(F921,[1]Info!$E$2:$F$11,2,0),IF(K921="FGP",VLOOKUP(F921,[1]Info!$E$9:$F$10,2,0),IF(K921="F10",VLOOKUP(F921,[1]Info!$E$2:$F$3,2,0),VLOOKUP(K921,[1]Info!$A$1:$B$21,2,0))))))</f>
        <v>Trator Pneu</v>
      </c>
    </row>
    <row r="922" spans="1:24" x14ac:dyDescent="0.35">
      <c r="A922" t="s">
        <v>41</v>
      </c>
      <c r="B922" t="s">
        <v>73</v>
      </c>
      <c r="C922" t="s">
        <v>74</v>
      </c>
      <c r="D922" t="s">
        <v>94</v>
      </c>
      <c r="E922" t="s">
        <v>52</v>
      </c>
      <c r="F922">
        <v>7098131</v>
      </c>
      <c r="G922" t="s">
        <v>75</v>
      </c>
      <c r="H922" t="s">
        <v>43</v>
      </c>
      <c r="I922" t="s">
        <v>44</v>
      </c>
      <c r="J922" t="s">
        <v>50</v>
      </c>
      <c r="K922" t="s">
        <v>16</v>
      </c>
      <c r="L922" t="s">
        <v>51</v>
      </c>
      <c r="M922" t="s">
        <v>1161</v>
      </c>
      <c r="N922" t="s">
        <v>1162</v>
      </c>
      <c r="O922" t="s">
        <v>886</v>
      </c>
      <c r="P922" t="s">
        <v>383</v>
      </c>
      <c r="Q922" t="s">
        <v>134</v>
      </c>
      <c r="R922" t="s">
        <v>135</v>
      </c>
      <c r="S922" t="s">
        <v>46</v>
      </c>
      <c r="T922" t="s">
        <v>46</v>
      </c>
      <c r="U922" s="4">
        <v>125.7</v>
      </c>
      <c r="V922" t="str">
        <f t="shared" si="14"/>
        <v>TP30</v>
      </c>
      <c r="W922" t="str">
        <f>VLOOKUP(K922,[1]Info!A$1:B$21,2,0)</f>
        <v>Trator Pneu</v>
      </c>
      <c r="X922" t="str">
        <f>IF(M922="109595132","Material de Limpeza-Não Avaliar",IF(AND(K922="F20",M922&lt;&gt;109595132),IF(RIGHT(F922,2)="70","Infraestrutura de Planta","Prédios e Instalações"),IF(K922="FPC",VLOOKUP(F922,[1]Info!$E$2:$F$11,2,0),IF(K922="FGP",VLOOKUP(F922,[1]Info!$E$9:$F$10,2,0),IF(K922="F10",VLOOKUP(F922,[1]Info!$E$2:$F$3,2,0),VLOOKUP(K922,[1]Info!$A$1:$B$21,2,0))))))</f>
        <v>Trator Pneu</v>
      </c>
    </row>
    <row r="923" spans="1:24" x14ac:dyDescent="0.35">
      <c r="A923" t="s">
        <v>41</v>
      </c>
      <c r="B923" t="s">
        <v>73</v>
      </c>
      <c r="C923" t="s">
        <v>74</v>
      </c>
      <c r="D923" t="s">
        <v>94</v>
      </c>
      <c r="E923" t="s">
        <v>52</v>
      </c>
      <c r="F923">
        <v>7098131</v>
      </c>
      <c r="G923" t="s">
        <v>75</v>
      </c>
      <c r="H923" t="s">
        <v>43</v>
      </c>
      <c r="I923" t="s">
        <v>44</v>
      </c>
      <c r="J923" t="s">
        <v>50</v>
      </c>
      <c r="K923" t="s">
        <v>3</v>
      </c>
      <c r="L923" t="s">
        <v>59</v>
      </c>
      <c r="M923" t="s">
        <v>1813</v>
      </c>
      <c r="N923" t="s">
        <v>1814</v>
      </c>
      <c r="O923" t="s">
        <v>1815</v>
      </c>
      <c r="P923" t="s">
        <v>1292</v>
      </c>
      <c r="Q923" t="s">
        <v>46</v>
      </c>
      <c r="R923" t="s">
        <v>47</v>
      </c>
      <c r="S923" t="s">
        <v>46</v>
      </c>
      <c r="T923" t="s">
        <v>46</v>
      </c>
      <c r="U923" s="4">
        <v>829</v>
      </c>
      <c r="V923" t="str">
        <f t="shared" si="14"/>
        <v>-005</v>
      </c>
      <c r="W923" t="str">
        <f>VLOOKUP(K923,[1]Info!A$1:B$21,2,0)</f>
        <v>Carregadeira</v>
      </c>
      <c r="X923" t="str">
        <f>IF(M923="109595132","Material de Limpeza-Não Avaliar",IF(AND(K923="F20",M923&lt;&gt;109595132),IF(RIGHT(F923,2)="70","Infraestrutura de Planta","Prédios e Instalações"),IF(K923="FPC",VLOOKUP(F923,[1]Info!$E$2:$F$11,2,0),IF(K923="FGP",VLOOKUP(F923,[1]Info!$E$9:$F$10,2,0),IF(K923="F10",VLOOKUP(F923,[1]Info!$E$2:$F$3,2,0),VLOOKUP(K923,[1]Info!$A$1:$B$21,2,0))))))</f>
        <v>Carregadeira Plantas</v>
      </c>
    </row>
    <row r="924" spans="1:24" x14ac:dyDescent="0.35">
      <c r="A924" t="s">
        <v>41</v>
      </c>
      <c r="B924" t="s">
        <v>73</v>
      </c>
      <c r="C924" t="s">
        <v>74</v>
      </c>
      <c r="D924" t="s">
        <v>94</v>
      </c>
      <c r="E924" t="s">
        <v>52</v>
      </c>
      <c r="F924">
        <v>7098131</v>
      </c>
      <c r="G924" t="s">
        <v>75</v>
      </c>
      <c r="H924" t="s">
        <v>43</v>
      </c>
      <c r="I924" t="s">
        <v>44</v>
      </c>
      <c r="J924" t="s">
        <v>50</v>
      </c>
      <c r="K924" t="s">
        <v>3</v>
      </c>
      <c r="L924" t="s">
        <v>62</v>
      </c>
      <c r="M924" t="s">
        <v>1163</v>
      </c>
      <c r="N924" t="s">
        <v>1164</v>
      </c>
      <c r="O924" t="s">
        <v>121</v>
      </c>
      <c r="P924" t="s">
        <v>383</v>
      </c>
      <c r="Q924" t="s">
        <v>158</v>
      </c>
      <c r="R924" t="s">
        <v>159</v>
      </c>
      <c r="S924" t="s">
        <v>46</v>
      </c>
      <c r="T924" t="s">
        <v>46</v>
      </c>
      <c r="U924" s="4">
        <v>796.13</v>
      </c>
      <c r="V924" t="str">
        <f t="shared" si="14"/>
        <v>C044</v>
      </c>
      <c r="W924" t="str">
        <f>VLOOKUP(K924,[1]Info!A$1:B$21,2,0)</f>
        <v>Carregadeira</v>
      </c>
      <c r="X924" t="str">
        <f>IF(M924="109595132","Material de Limpeza-Não Avaliar",IF(AND(K924="F20",M924&lt;&gt;109595132),IF(RIGHT(F924,2)="70","Infraestrutura de Planta","Prédios e Instalações"),IF(K924="FPC",VLOOKUP(F924,[1]Info!$E$2:$F$11,2,0),IF(K924="FGP",VLOOKUP(F924,[1]Info!$E$9:$F$10,2,0),IF(K924="F10",VLOOKUP(F924,[1]Info!$E$2:$F$3,2,0),VLOOKUP(K924,[1]Info!$A$1:$B$21,2,0))))))</f>
        <v>Carregadeira Plantas</v>
      </c>
    </row>
    <row r="925" spans="1:24" x14ac:dyDescent="0.35">
      <c r="A925" t="s">
        <v>41</v>
      </c>
      <c r="B925" t="s">
        <v>73</v>
      </c>
      <c r="C925" t="s">
        <v>74</v>
      </c>
      <c r="D925" t="s">
        <v>94</v>
      </c>
      <c r="E925" t="s">
        <v>52</v>
      </c>
      <c r="F925">
        <v>7098131</v>
      </c>
      <c r="G925" t="s">
        <v>75</v>
      </c>
      <c r="H925" t="s">
        <v>43</v>
      </c>
      <c r="I925" t="s">
        <v>44</v>
      </c>
      <c r="J925" t="s">
        <v>50</v>
      </c>
      <c r="K925" t="s">
        <v>3</v>
      </c>
      <c r="L925" t="s">
        <v>62</v>
      </c>
      <c r="M925" t="s">
        <v>1165</v>
      </c>
      <c r="N925" t="s">
        <v>1166</v>
      </c>
      <c r="O925" t="s">
        <v>1073</v>
      </c>
      <c r="P925" t="s">
        <v>383</v>
      </c>
      <c r="Q925" t="s">
        <v>1112</v>
      </c>
      <c r="R925" t="s">
        <v>1113</v>
      </c>
      <c r="S925" t="s">
        <v>46</v>
      </c>
      <c r="T925" t="s">
        <v>46</v>
      </c>
      <c r="U925" s="4">
        <v>130.97999999999999</v>
      </c>
      <c r="V925" t="str">
        <f t="shared" si="14"/>
        <v>C042</v>
      </c>
      <c r="W925" t="str">
        <f>VLOOKUP(K925,[1]Info!A$1:B$21,2,0)</f>
        <v>Carregadeira</v>
      </c>
      <c r="X925" t="str">
        <f>IF(M925="109595132","Material de Limpeza-Não Avaliar",IF(AND(K925="F20",M925&lt;&gt;109595132),IF(RIGHT(F925,2)="70","Infraestrutura de Planta","Prédios e Instalações"),IF(K925="FPC",VLOOKUP(F925,[1]Info!$E$2:$F$11,2,0),IF(K925="FGP",VLOOKUP(F925,[1]Info!$E$9:$F$10,2,0),IF(K925="F10",VLOOKUP(F925,[1]Info!$E$2:$F$3,2,0),VLOOKUP(K925,[1]Info!$A$1:$B$21,2,0))))))</f>
        <v>Carregadeira Plantas</v>
      </c>
    </row>
    <row r="926" spans="1:24" x14ac:dyDescent="0.35">
      <c r="A926" t="s">
        <v>41</v>
      </c>
      <c r="B926" t="s">
        <v>73</v>
      </c>
      <c r="C926" t="s">
        <v>74</v>
      </c>
      <c r="D926" t="s">
        <v>94</v>
      </c>
      <c r="E926" t="s">
        <v>52</v>
      </c>
      <c r="F926">
        <v>7098131</v>
      </c>
      <c r="G926" t="s">
        <v>75</v>
      </c>
      <c r="H926" t="s">
        <v>43</v>
      </c>
      <c r="I926" t="s">
        <v>44</v>
      </c>
      <c r="J926" t="s">
        <v>50</v>
      </c>
      <c r="K926" t="s">
        <v>3</v>
      </c>
      <c r="L926" t="s">
        <v>62</v>
      </c>
      <c r="M926" t="s">
        <v>1165</v>
      </c>
      <c r="N926" t="s">
        <v>1166</v>
      </c>
      <c r="O926" t="s">
        <v>1073</v>
      </c>
      <c r="P926" t="s">
        <v>383</v>
      </c>
      <c r="Q926" t="s">
        <v>1114</v>
      </c>
      <c r="R926" t="s">
        <v>1115</v>
      </c>
      <c r="S926" t="s">
        <v>46</v>
      </c>
      <c r="T926" t="s">
        <v>46</v>
      </c>
      <c r="U926" s="4">
        <v>51.45</v>
      </c>
      <c r="V926" t="str">
        <f t="shared" si="14"/>
        <v>C042</v>
      </c>
      <c r="W926" t="str">
        <f>VLOOKUP(K926,[1]Info!A$1:B$21,2,0)</f>
        <v>Carregadeira</v>
      </c>
      <c r="X926" t="str">
        <f>IF(M926="109595132","Material de Limpeza-Não Avaliar",IF(AND(K926="F20",M926&lt;&gt;109595132),IF(RIGHT(F926,2)="70","Infraestrutura de Planta","Prédios e Instalações"),IF(K926="FPC",VLOOKUP(F926,[1]Info!$E$2:$F$11,2,0),IF(K926="FGP",VLOOKUP(F926,[1]Info!$E$9:$F$10,2,0),IF(K926="F10",VLOOKUP(F926,[1]Info!$E$2:$F$3,2,0),VLOOKUP(K926,[1]Info!$A$1:$B$21,2,0))))))</f>
        <v>Carregadeira Plantas</v>
      </c>
    </row>
    <row r="927" spans="1:24" x14ac:dyDescent="0.35">
      <c r="A927" t="s">
        <v>41</v>
      </c>
      <c r="B927" t="s">
        <v>73</v>
      </c>
      <c r="C927" t="s">
        <v>74</v>
      </c>
      <c r="D927" t="s">
        <v>94</v>
      </c>
      <c r="E927" t="s">
        <v>52</v>
      </c>
      <c r="F927">
        <v>7098131</v>
      </c>
      <c r="G927" t="s">
        <v>75</v>
      </c>
      <c r="H927" t="s">
        <v>43</v>
      </c>
      <c r="I927" t="s">
        <v>44</v>
      </c>
      <c r="J927" t="s">
        <v>50</v>
      </c>
      <c r="K927" t="s">
        <v>3</v>
      </c>
      <c r="L927" t="s">
        <v>62</v>
      </c>
      <c r="M927" t="s">
        <v>1165</v>
      </c>
      <c r="N927" t="s">
        <v>1166</v>
      </c>
      <c r="O927" t="s">
        <v>1073</v>
      </c>
      <c r="P927" t="s">
        <v>383</v>
      </c>
      <c r="Q927" t="s">
        <v>1116</v>
      </c>
      <c r="R927" t="s">
        <v>1117</v>
      </c>
      <c r="S927" t="s">
        <v>46</v>
      </c>
      <c r="T927" t="s">
        <v>46</v>
      </c>
      <c r="U927" s="4">
        <v>182.16</v>
      </c>
      <c r="V927" t="str">
        <f t="shared" si="14"/>
        <v>C042</v>
      </c>
      <c r="W927" t="str">
        <f>VLOOKUP(K927,[1]Info!A$1:B$21,2,0)</f>
        <v>Carregadeira</v>
      </c>
      <c r="X927" t="str">
        <f>IF(M927="109595132","Material de Limpeza-Não Avaliar",IF(AND(K927="F20",M927&lt;&gt;109595132),IF(RIGHT(F927,2)="70","Infraestrutura de Planta","Prédios e Instalações"),IF(K927="FPC",VLOOKUP(F927,[1]Info!$E$2:$F$11,2,0),IF(K927="FGP",VLOOKUP(F927,[1]Info!$E$9:$F$10,2,0),IF(K927="F10",VLOOKUP(F927,[1]Info!$E$2:$F$3,2,0),VLOOKUP(K927,[1]Info!$A$1:$B$21,2,0))))))</f>
        <v>Carregadeira Plantas</v>
      </c>
    </row>
    <row r="928" spans="1:24" x14ac:dyDescent="0.35">
      <c r="A928" t="s">
        <v>41</v>
      </c>
      <c r="B928" t="s">
        <v>73</v>
      </c>
      <c r="C928" t="s">
        <v>74</v>
      </c>
      <c r="D928" t="s">
        <v>94</v>
      </c>
      <c r="E928" t="s">
        <v>52</v>
      </c>
      <c r="F928">
        <v>7098131</v>
      </c>
      <c r="G928" t="s">
        <v>75</v>
      </c>
      <c r="H928" t="s">
        <v>43</v>
      </c>
      <c r="I928" t="s">
        <v>44</v>
      </c>
      <c r="J928" t="s">
        <v>50</v>
      </c>
      <c r="K928" t="s">
        <v>3</v>
      </c>
      <c r="L928" t="s">
        <v>62</v>
      </c>
      <c r="M928" t="s">
        <v>1165</v>
      </c>
      <c r="N928" t="s">
        <v>1166</v>
      </c>
      <c r="O928" t="s">
        <v>1073</v>
      </c>
      <c r="P928" t="s">
        <v>383</v>
      </c>
      <c r="Q928" t="s">
        <v>228</v>
      </c>
      <c r="R928" t="s">
        <v>229</v>
      </c>
      <c r="S928" t="s">
        <v>46</v>
      </c>
      <c r="T928" t="s">
        <v>46</v>
      </c>
      <c r="U928" s="4">
        <v>98.42</v>
      </c>
      <c r="V928" t="str">
        <f t="shared" si="14"/>
        <v>C042</v>
      </c>
      <c r="W928" t="str">
        <f>VLOOKUP(K928,[1]Info!A$1:B$21,2,0)</f>
        <v>Carregadeira</v>
      </c>
      <c r="X928" t="str">
        <f>IF(M928="109595132","Material de Limpeza-Não Avaliar",IF(AND(K928="F20",M928&lt;&gt;109595132),IF(RIGHT(F928,2)="70","Infraestrutura de Planta","Prédios e Instalações"),IF(K928="FPC",VLOOKUP(F928,[1]Info!$E$2:$F$11,2,0),IF(K928="FGP",VLOOKUP(F928,[1]Info!$E$9:$F$10,2,0),IF(K928="F10",VLOOKUP(F928,[1]Info!$E$2:$F$3,2,0),VLOOKUP(K928,[1]Info!$A$1:$B$21,2,0))))))</f>
        <v>Carregadeira Plantas</v>
      </c>
    </row>
    <row r="929" spans="1:24" x14ac:dyDescent="0.35">
      <c r="A929" t="s">
        <v>41</v>
      </c>
      <c r="B929" t="s">
        <v>73</v>
      </c>
      <c r="C929" t="s">
        <v>74</v>
      </c>
      <c r="D929" t="s">
        <v>94</v>
      </c>
      <c r="E929" t="s">
        <v>52</v>
      </c>
      <c r="F929">
        <v>7098131</v>
      </c>
      <c r="G929" t="s">
        <v>75</v>
      </c>
      <c r="H929" t="s">
        <v>43</v>
      </c>
      <c r="I929" t="s">
        <v>44</v>
      </c>
      <c r="J929" t="s">
        <v>50</v>
      </c>
      <c r="K929" t="s">
        <v>3</v>
      </c>
      <c r="L929" t="s">
        <v>62</v>
      </c>
      <c r="M929" t="s">
        <v>1165</v>
      </c>
      <c r="N929" t="s">
        <v>1166</v>
      </c>
      <c r="O929" t="s">
        <v>1073</v>
      </c>
      <c r="P929" t="s">
        <v>383</v>
      </c>
      <c r="Q929" t="s">
        <v>1118</v>
      </c>
      <c r="R929" t="s">
        <v>1119</v>
      </c>
      <c r="S929" t="s">
        <v>46</v>
      </c>
      <c r="T929" t="s">
        <v>46</v>
      </c>
      <c r="U929" s="4">
        <v>323.23</v>
      </c>
      <c r="V929" t="str">
        <f t="shared" si="14"/>
        <v>C042</v>
      </c>
      <c r="W929" t="str">
        <f>VLOOKUP(K929,[1]Info!A$1:B$21,2,0)</f>
        <v>Carregadeira</v>
      </c>
      <c r="X929" t="str">
        <f>IF(M929="109595132","Material de Limpeza-Não Avaliar",IF(AND(K929="F20",M929&lt;&gt;109595132),IF(RIGHT(F929,2)="70","Infraestrutura de Planta","Prédios e Instalações"),IF(K929="FPC",VLOOKUP(F929,[1]Info!$E$2:$F$11,2,0),IF(K929="FGP",VLOOKUP(F929,[1]Info!$E$9:$F$10,2,0),IF(K929="F10",VLOOKUP(F929,[1]Info!$E$2:$F$3,2,0),VLOOKUP(K929,[1]Info!$A$1:$B$21,2,0))))))</f>
        <v>Carregadeira Plantas</v>
      </c>
    </row>
    <row r="930" spans="1:24" x14ac:dyDescent="0.35">
      <c r="A930" t="s">
        <v>41</v>
      </c>
      <c r="B930" t="s">
        <v>73</v>
      </c>
      <c r="C930" t="s">
        <v>74</v>
      </c>
      <c r="D930" t="s">
        <v>94</v>
      </c>
      <c r="E930" t="s">
        <v>52</v>
      </c>
      <c r="F930">
        <v>7098131</v>
      </c>
      <c r="G930" t="s">
        <v>75</v>
      </c>
      <c r="H930" t="s">
        <v>43</v>
      </c>
      <c r="I930" t="s">
        <v>44</v>
      </c>
      <c r="J930" t="s">
        <v>50</v>
      </c>
      <c r="K930" t="s">
        <v>3</v>
      </c>
      <c r="L930" t="s">
        <v>62</v>
      </c>
      <c r="M930" t="s">
        <v>1165</v>
      </c>
      <c r="N930" t="s">
        <v>1166</v>
      </c>
      <c r="O930" t="s">
        <v>1073</v>
      </c>
      <c r="P930" t="s">
        <v>383</v>
      </c>
      <c r="Q930" t="s">
        <v>1120</v>
      </c>
      <c r="R930" t="s">
        <v>1121</v>
      </c>
      <c r="S930" t="s">
        <v>46</v>
      </c>
      <c r="T930" t="s">
        <v>46</v>
      </c>
      <c r="U930" s="4">
        <v>176.54</v>
      </c>
      <c r="V930" t="str">
        <f t="shared" si="14"/>
        <v>C042</v>
      </c>
      <c r="W930" t="str">
        <f>VLOOKUP(K930,[1]Info!A$1:B$21,2,0)</f>
        <v>Carregadeira</v>
      </c>
      <c r="X930" t="str">
        <f>IF(M930="109595132","Material de Limpeza-Não Avaliar",IF(AND(K930="F20",M930&lt;&gt;109595132),IF(RIGHT(F930,2)="70","Infraestrutura de Planta","Prédios e Instalações"),IF(K930="FPC",VLOOKUP(F930,[1]Info!$E$2:$F$11,2,0),IF(K930="FGP",VLOOKUP(F930,[1]Info!$E$9:$F$10,2,0),IF(K930="F10",VLOOKUP(F930,[1]Info!$E$2:$F$3,2,0),VLOOKUP(K930,[1]Info!$A$1:$B$21,2,0))))))</f>
        <v>Carregadeira Plantas</v>
      </c>
    </row>
    <row r="931" spans="1:24" x14ac:dyDescent="0.35">
      <c r="A931" t="s">
        <v>41</v>
      </c>
      <c r="B931" t="s">
        <v>73</v>
      </c>
      <c r="C931" t="s">
        <v>74</v>
      </c>
      <c r="D931" t="s">
        <v>94</v>
      </c>
      <c r="E931" t="s">
        <v>52</v>
      </c>
      <c r="F931">
        <v>7098131</v>
      </c>
      <c r="G931" t="s">
        <v>75</v>
      </c>
      <c r="H931" t="s">
        <v>43</v>
      </c>
      <c r="I931" t="s">
        <v>44</v>
      </c>
      <c r="J931" t="s">
        <v>50</v>
      </c>
      <c r="K931" t="s">
        <v>3</v>
      </c>
      <c r="L931" t="s">
        <v>62</v>
      </c>
      <c r="M931" t="s">
        <v>1165</v>
      </c>
      <c r="N931" t="s">
        <v>1166</v>
      </c>
      <c r="O931" t="s">
        <v>1073</v>
      </c>
      <c r="P931" t="s">
        <v>383</v>
      </c>
      <c r="Q931" t="s">
        <v>1122</v>
      </c>
      <c r="R931" t="s">
        <v>1123</v>
      </c>
      <c r="S931" t="s">
        <v>46</v>
      </c>
      <c r="T931" t="s">
        <v>46</v>
      </c>
      <c r="U931" s="4">
        <v>125.62</v>
      </c>
      <c r="V931" t="str">
        <f t="shared" si="14"/>
        <v>C042</v>
      </c>
      <c r="W931" t="str">
        <f>VLOOKUP(K931,[1]Info!A$1:B$21,2,0)</f>
        <v>Carregadeira</v>
      </c>
      <c r="X931" t="str">
        <f>IF(M931="109595132","Material de Limpeza-Não Avaliar",IF(AND(K931="F20",M931&lt;&gt;109595132),IF(RIGHT(F931,2)="70","Infraestrutura de Planta","Prédios e Instalações"),IF(K931="FPC",VLOOKUP(F931,[1]Info!$E$2:$F$11,2,0),IF(K931="FGP",VLOOKUP(F931,[1]Info!$E$9:$F$10,2,0),IF(K931="F10",VLOOKUP(F931,[1]Info!$E$2:$F$3,2,0),VLOOKUP(K931,[1]Info!$A$1:$B$21,2,0))))))</f>
        <v>Carregadeira Plantas</v>
      </c>
    </row>
    <row r="932" spans="1:24" x14ac:dyDescent="0.35">
      <c r="A932" t="s">
        <v>41</v>
      </c>
      <c r="B932" t="s">
        <v>73</v>
      </c>
      <c r="C932" t="s">
        <v>74</v>
      </c>
      <c r="D932" t="s">
        <v>94</v>
      </c>
      <c r="E932" t="s">
        <v>52</v>
      </c>
      <c r="F932">
        <v>7098131</v>
      </c>
      <c r="G932" t="s">
        <v>75</v>
      </c>
      <c r="H932" t="s">
        <v>43</v>
      </c>
      <c r="I932" t="s">
        <v>44</v>
      </c>
      <c r="J932" t="s">
        <v>50</v>
      </c>
      <c r="K932" t="s">
        <v>3</v>
      </c>
      <c r="L932" t="s">
        <v>62</v>
      </c>
      <c r="M932" t="s">
        <v>1165</v>
      </c>
      <c r="N932" t="s">
        <v>1166</v>
      </c>
      <c r="O932" t="s">
        <v>1073</v>
      </c>
      <c r="P932" t="s">
        <v>383</v>
      </c>
      <c r="Q932" t="s">
        <v>1124</v>
      </c>
      <c r="R932" t="s">
        <v>1125</v>
      </c>
      <c r="S932" t="s">
        <v>46</v>
      </c>
      <c r="T932" t="s">
        <v>46</v>
      </c>
      <c r="U932" s="4">
        <v>629.54999999999995</v>
      </c>
      <c r="V932" t="str">
        <f t="shared" si="14"/>
        <v>C042</v>
      </c>
      <c r="W932" t="str">
        <f>VLOOKUP(K932,[1]Info!A$1:B$21,2,0)</f>
        <v>Carregadeira</v>
      </c>
      <c r="X932" t="str">
        <f>IF(M932="109595132","Material de Limpeza-Não Avaliar",IF(AND(K932="F20",M932&lt;&gt;109595132),IF(RIGHT(F932,2)="70","Infraestrutura de Planta","Prédios e Instalações"),IF(K932="FPC",VLOOKUP(F932,[1]Info!$E$2:$F$11,2,0),IF(K932="FGP",VLOOKUP(F932,[1]Info!$E$9:$F$10,2,0),IF(K932="F10",VLOOKUP(F932,[1]Info!$E$2:$F$3,2,0),VLOOKUP(K932,[1]Info!$A$1:$B$21,2,0))))))</f>
        <v>Carregadeira Plantas</v>
      </c>
    </row>
    <row r="933" spans="1:24" x14ac:dyDescent="0.35">
      <c r="A933" t="s">
        <v>41</v>
      </c>
      <c r="B933" t="s">
        <v>73</v>
      </c>
      <c r="C933" t="s">
        <v>74</v>
      </c>
      <c r="D933" t="s">
        <v>94</v>
      </c>
      <c r="E933" t="s">
        <v>52</v>
      </c>
      <c r="F933">
        <v>7098131</v>
      </c>
      <c r="G933" t="s">
        <v>75</v>
      </c>
      <c r="H933" t="s">
        <v>43</v>
      </c>
      <c r="I933" t="s">
        <v>44</v>
      </c>
      <c r="J933" t="s">
        <v>50</v>
      </c>
      <c r="K933" t="s">
        <v>3</v>
      </c>
      <c r="L933" t="s">
        <v>62</v>
      </c>
      <c r="M933" t="s">
        <v>1165</v>
      </c>
      <c r="N933" t="s">
        <v>1166</v>
      </c>
      <c r="O933" t="s">
        <v>1073</v>
      </c>
      <c r="P933" t="s">
        <v>383</v>
      </c>
      <c r="Q933" t="s">
        <v>154</v>
      </c>
      <c r="R933" t="s">
        <v>155</v>
      </c>
      <c r="S933" t="s">
        <v>46</v>
      </c>
      <c r="T933" t="s">
        <v>46</v>
      </c>
      <c r="U933" s="4">
        <v>81.209999999999994</v>
      </c>
      <c r="V933" t="str">
        <f t="shared" si="14"/>
        <v>C042</v>
      </c>
      <c r="W933" t="str">
        <f>VLOOKUP(K933,[1]Info!A$1:B$21,2,0)</f>
        <v>Carregadeira</v>
      </c>
      <c r="X933" t="str">
        <f>IF(M933="109595132","Material de Limpeza-Não Avaliar",IF(AND(K933="F20",M933&lt;&gt;109595132),IF(RIGHT(F933,2)="70","Infraestrutura de Planta","Prédios e Instalações"),IF(K933="FPC",VLOOKUP(F933,[1]Info!$E$2:$F$11,2,0),IF(K933="FGP",VLOOKUP(F933,[1]Info!$E$9:$F$10,2,0),IF(K933="F10",VLOOKUP(F933,[1]Info!$E$2:$F$3,2,0),VLOOKUP(K933,[1]Info!$A$1:$B$21,2,0))))))</f>
        <v>Carregadeira Plantas</v>
      </c>
    </row>
    <row r="934" spans="1:24" x14ac:dyDescent="0.35">
      <c r="A934" t="s">
        <v>41</v>
      </c>
      <c r="B934" t="s">
        <v>73</v>
      </c>
      <c r="C934" t="s">
        <v>74</v>
      </c>
      <c r="D934" t="s">
        <v>94</v>
      </c>
      <c r="E934" t="s">
        <v>52</v>
      </c>
      <c r="F934">
        <v>7098131</v>
      </c>
      <c r="G934" t="s">
        <v>75</v>
      </c>
      <c r="H934" t="s">
        <v>43</v>
      </c>
      <c r="I934" t="s">
        <v>44</v>
      </c>
      <c r="J934" t="s">
        <v>50</v>
      </c>
      <c r="K934" t="s">
        <v>3</v>
      </c>
      <c r="L934" t="s">
        <v>62</v>
      </c>
      <c r="M934" t="s">
        <v>1165</v>
      </c>
      <c r="N934" t="s">
        <v>1166</v>
      </c>
      <c r="O934" t="s">
        <v>1073</v>
      </c>
      <c r="P934" t="s">
        <v>383</v>
      </c>
      <c r="Q934" t="s">
        <v>156</v>
      </c>
      <c r="R934" t="s">
        <v>157</v>
      </c>
      <c r="S934" t="s">
        <v>46</v>
      </c>
      <c r="T934" t="s">
        <v>46</v>
      </c>
      <c r="U934" s="4">
        <v>83.35</v>
      </c>
      <c r="V934" t="str">
        <f t="shared" si="14"/>
        <v>C042</v>
      </c>
      <c r="W934" t="str">
        <f>VLOOKUP(K934,[1]Info!A$1:B$21,2,0)</f>
        <v>Carregadeira</v>
      </c>
      <c r="X934" t="str">
        <f>IF(M934="109595132","Material de Limpeza-Não Avaliar",IF(AND(K934="F20",M934&lt;&gt;109595132),IF(RIGHT(F934,2)="70","Infraestrutura de Planta","Prédios e Instalações"),IF(K934="FPC",VLOOKUP(F934,[1]Info!$E$2:$F$11,2,0),IF(K934="FGP",VLOOKUP(F934,[1]Info!$E$9:$F$10,2,0),IF(K934="F10",VLOOKUP(F934,[1]Info!$E$2:$F$3,2,0),VLOOKUP(K934,[1]Info!$A$1:$B$21,2,0))))))</f>
        <v>Carregadeira Plantas</v>
      </c>
    </row>
    <row r="935" spans="1:24" x14ac:dyDescent="0.35">
      <c r="A935" t="s">
        <v>41</v>
      </c>
      <c r="B935" t="s">
        <v>73</v>
      </c>
      <c r="C935" t="s">
        <v>74</v>
      </c>
      <c r="D935" t="s">
        <v>94</v>
      </c>
      <c r="E935" t="s">
        <v>52</v>
      </c>
      <c r="F935">
        <v>7098131</v>
      </c>
      <c r="G935" t="s">
        <v>75</v>
      </c>
      <c r="H935" t="s">
        <v>43</v>
      </c>
      <c r="I935" t="s">
        <v>44</v>
      </c>
      <c r="J935" t="s">
        <v>50</v>
      </c>
      <c r="K935" t="s">
        <v>3</v>
      </c>
      <c r="L935" t="s">
        <v>62</v>
      </c>
      <c r="M935" t="s">
        <v>1165</v>
      </c>
      <c r="N935" t="s">
        <v>1166</v>
      </c>
      <c r="O935" t="s">
        <v>1073</v>
      </c>
      <c r="P935" t="s">
        <v>383</v>
      </c>
      <c r="Q935" t="s">
        <v>1167</v>
      </c>
      <c r="R935" t="s">
        <v>1168</v>
      </c>
      <c r="S935" t="s">
        <v>46</v>
      </c>
      <c r="T935" t="s">
        <v>46</v>
      </c>
      <c r="U935" s="4">
        <v>150.13</v>
      </c>
      <c r="V935" t="str">
        <f t="shared" si="14"/>
        <v>C042</v>
      </c>
      <c r="W935" t="str">
        <f>VLOOKUP(K935,[1]Info!A$1:B$21,2,0)</f>
        <v>Carregadeira</v>
      </c>
      <c r="X935" t="str">
        <f>IF(M935="109595132","Material de Limpeza-Não Avaliar",IF(AND(K935="F20",M935&lt;&gt;109595132),IF(RIGHT(F935,2)="70","Infraestrutura de Planta","Prédios e Instalações"),IF(K935="FPC",VLOOKUP(F935,[1]Info!$E$2:$F$11,2,0),IF(K935="FGP",VLOOKUP(F935,[1]Info!$E$9:$F$10,2,0),IF(K935="F10",VLOOKUP(F935,[1]Info!$E$2:$F$3,2,0),VLOOKUP(K935,[1]Info!$A$1:$B$21,2,0))))))</f>
        <v>Carregadeira Plantas</v>
      </c>
    </row>
    <row r="936" spans="1:24" x14ac:dyDescent="0.35">
      <c r="A936" t="s">
        <v>41</v>
      </c>
      <c r="B936" t="s">
        <v>73</v>
      </c>
      <c r="C936" t="s">
        <v>74</v>
      </c>
      <c r="D936" t="s">
        <v>94</v>
      </c>
      <c r="E936" t="s">
        <v>52</v>
      </c>
      <c r="F936">
        <v>7098131</v>
      </c>
      <c r="G936" t="s">
        <v>75</v>
      </c>
      <c r="H936" t="s">
        <v>43</v>
      </c>
      <c r="I936" t="s">
        <v>44</v>
      </c>
      <c r="J936" t="s">
        <v>50</v>
      </c>
      <c r="K936" t="s">
        <v>3</v>
      </c>
      <c r="L936" t="s">
        <v>62</v>
      </c>
      <c r="M936" t="s">
        <v>1169</v>
      </c>
      <c r="N936" t="s">
        <v>1170</v>
      </c>
      <c r="O936" t="s">
        <v>1171</v>
      </c>
      <c r="P936" t="s">
        <v>383</v>
      </c>
      <c r="Q936" t="s">
        <v>1112</v>
      </c>
      <c r="R936" t="s">
        <v>1113</v>
      </c>
      <c r="S936" t="s">
        <v>46</v>
      </c>
      <c r="T936" t="s">
        <v>46</v>
      </c>
      <c r="U936" s="4">
        <v>130.97999999999999</v>
      </c>
      <c r="V936" t="str">
        <f t="shared" si="14"/>
        <v>C029</v>
      </c>
      <c r="W936" t="str">
        <f>VLOOKUP(K936,[1]Info!A$1:B$21,2,0)</f>
        <v>Carregadeira</v>
      </c>
      <c r="X936" t="str">
        <f>IF(M936="109595132","Material de Limpeza-Não Avaliar",IF(AND(K936="F20",M936&lt;&gt;109595132),IF(RIGHT(F936,2)="70","Infraestrutura de Planta","Prédios e Instalações"),IF(K936="FPC",VLOOKUP(F936,[1]Info!$E$2:$F$11,2,0),IF(K936="FGP",VLOOKUP(F936,[1]Info!$E$9:$F$10,2,0),IF(K936="F10",VLOOKUP(F936,[1]Info!$E$2:$F$3,2,0),VLOOKUP(K936,[1]Info!$A$1:$B$21,2,0))))))</f>
        <v>Carregadeira Plantas</v>
      </c>
    </row>
    <row r="937" spans="1:24" x14ac:dyDescent="0.35">
      <c r="A937" t="s">
        <v>41</v>
      </c>
      <c r="B937" t="s">
        <v>73</v>
      </c>
      <c r="C937" t="s">
        <v>74</v>
      </c>
      <c r="D937" t="s">
        <v>94</v>
      </c>
      <c r="E937" t="s">
        <v>52</v>
      </c>
      <c r="F937">
        <v>7098131</v>
      </c>
      <c r="G937" t="s">
        <v>75</v>
      </c>
      <c r="H937" t="s">
        <v>43</v>
      </c>
      <c r="I937" t="s">
        <v>44</v>
      </c>
      <c r="J937" t="s">
        <v>50</v>
      </c>
      <c r="K937" t="s">
        <v>3</v>
      </c>
      <c r="L937" t="s">
        <v>62</v>
      </c>
      <c r="M937" t="s">
        <v>1169</v>
      </c>
      <c r="N937" t="s">
        <v>1170</v>
      </c>
      <c r="O937" t="s">
        <v>1171</v>
      </c>
      <c r="P937" t="s">
        <v>383</v>
      </c>
      <c r="Q937" t="s">
        <v>1114</v>
      </c>
      <c r="R937" t="s">
        <v>1115</v>
      </c>
      <c r="S937" t="s">
        <v>46</v>
      </c>
      <c r="T937" t="s">
        <v>46</v>
      </c>
      <c r="U937" s="4">
        <v>51.45</v>
      </c>
      <c r="V937" t="str">
        <f t="shared" si="14"/>
        <v>C029</v>
      </c>
      <c r="W937" t="str">
        <f>VLOOKUP(K937,[1]Info!A$1:B$21,2,0)</f>
        <v>Carregadeira</v>
      </c>
      <c r="X937" t="str">
        <f>IF(M937="109595132","Material de Limpeza-Não Avaliar",IF(AND(K937="F20",M937&lt;&gt;109595132),IF(RIGHT(F937,2)="70","Infraestrutura de Planta","Prédios e Instalações"),IF(K937="FPC",VLOOKUP(F937,[1]Info!$E$2:$F$11,2,0),IF(K937="FGP",VLOOKUP(F937,[1]Info!$E$9:$F$10,2,0),IF(K937="F10",VLOOKUP(F937,[1]Info!$E$2:$F$3,2,0),VLOOKUP(K937,[1]Info!$A$1:$B$21,2,0))))))</f>
        <v>Carregadeira Plantas</v>
      </c>
    </row>
    <row r="938" spans="1:24" x14ac:dyDescent="0.35">
      <c r="A938" t="s">
        <v>41</v>
      </c>
      <c r="B938" t="s">
        <v>73</v>
      </c>
      <c r="C938" t="s">
        <v>74</v>
      </c>
      <c r="D938" t="s">
        <v>94</v>
      </c>
      <c r="E938" t="s">
        <v>52</v>
      </c>
      <c r="F938">
        <v>7098131</v>
      </c>
      <c r="G938" t="s">
        <v>75</v>
      </c>
      <c r="H938" t="s">
        <v>43</v>
      </c>
      <c r="I938" t="s">
        <v>44</v>
      </c>
      <c r="J938" t="s">
        <v>50</v>
      </c>
      <c r="K938" t="s">
        <v>3</v>
      </c>
      <c r="L938" t="s">
        <v>62</v>
      </c>
      <c r="M938" t="s">
        <v>1169</v>
      </c>
      <c r="N938" t="s">
        <v>1170</v>
      </c>
      <c r="O938" t="s">
        <v>1171</v>
      </c>
      <c r="P938" t="s">
        <v>383</v>
      </c>
      <c r="Q938" t="s">
        <v>1116</v>
      </c>
      <c r="R938" t="s">
        <v>1117</v>
      </c>
      <c r="S938" t="s">
        <v>46</v>
      </c>
      <c r="T938" t="s">
        <v>46</v>
      </c>
      <c r="U938" s="4">
        <v>182.16</v>
      </c>
      <c r="V938" t="str">
        <f t="shared" si="14"/>
        <v>C029</v>
      </c>
      <c r="W938" t="str">
        <f>VLOOKUP(K938,[1]Info!A$1:B$21,2,0)</f>
        <v>Carregadeira</v>
      </c>
      <c r="X938" t="str">
        <f>IF(M938="109595132","Material de Limpeza-Não Avaliar",IF(AND(K938="F20",M938&lt;&gt;109595132),IF(RIGHT(F938,2)="70","Infraestrutura de Planta","Prédios e Instalações"),IF(K938="FPC",VLOOKUP(F938,[1]Info!$E$2:$F$11,2,0),IF(K938="FGP",VLOOKUP(F938,[1]Info!$E$9:$F$10,2,0),IF(K938="F10",VLOOKUP(F938,[1]Info!$E$2:$F$3,2,0),VLOOKUP(K938,[1]Info!$A$1:$B$21,2,0))))))</f>
        <v>Carregadeira Plantas</v>
      </c>
    </row>
    <row r="939" spans="1:24" x14ac:dyDescent="0.35">
      <c r="A939" t="s">
        <v>41</v>
      </c>
      <c r="B939" t="s">
        <v>73</v>
      </c>
      <c r="C939" t="s">
        <v>74</v>
      </c>
      <c r="D939" t="s">
        <v>94</v>
      </c>
      <c r="E939" t="s">
        <v>52</v>
      </c>
      <c r="F939">
        <v>7098131</v>
      </c>
      <c r="G939" t="s">
        <v>75</v>
      </c>
      <c r="H939" t="s">
        <v>43</v>
      </c>
      <c r="I939" t="s">
        <v>44</v>
      </c>
      <c r="J939" t="s">
        <v>50</v>
      </c>
      <c r="K939" t="s">
        <v>3</v>
      </c>
      <c r="L939" t="s">
        <v>62</v>
      </c>
      <c r="M939" t="s">
        <v>1169</v>
      </c>
      <c r="N939" t="s">
        <v>1170</v>
      </c>
      <c r="O939" t="s">
        <v>1171</v>
      </c>
      <c r="P939" t="s">
        <v>383</v>
      </c>
      <c r="Q939" t="s">
        <v>228</v>
      </c>
      <c r="R939" t="s">
        <v>229</v>
      </c>
      <c r="S939" t="s">
        <v>46</v>
      </c>
      <c r="T939" t="s">
        <v>46</v>
      </c>
      <c r="U939" s="4">
        <v>98.42</v>
      </c>
      <c r="V939" t="str">
        <f t="shared" si="14"/>
        <v>C029</v>
      </c>
      <c r="W939" t="str">
        <f>VLOOKUP(K939,[1]Info!A$1:B$21,2,0)</f>
        <v>Carregadeira</v>
      </c>
      <c r="X939" t="str">
        <f>IF(M939="109595132","Material de Limpeza-Não Avaliar",IF(AND(K939="F20",M939&lt;&gt;109595132),IF(RIGHT(F939,2)="70","Infraestrutura de Planta","Prédios e Instalações"),IF(K939="FPC",VLOOKUP(F939,[1]Info!$E$2:$F$11,2,0),IF(K939="FGP",VLOOKUP(F939,[1]Info!$E$9:$F$10,2,0),IF(K939="F10",VLOOKUP(F939,[1]Info!$E$2:$F$3,2,0),VLOOKUP(K939,[1]Info!$A$1:$B$21,2,0))))))</f>
        <v>Carregadeira Plantas</v>
      </c>
    </row>
    <row r="940" spans="1:24" x14ac:dyDescent="0.35">
      <c r="A940" t="s">
        <v>41</v>
      </c>
      <c r="B940" t="s">
        <v>73</v>
      </c>
      <c r="C940" t="s">
        <v>74</v>
      </c>
      <c r="D940" t="s">
        <v>94</v>
      </c>
      <c r="E940" t="s">
        <v>52</v>
      </c>
      <c r="F940">
        <v>7098131</v>
      </c>
      <c r="G940" t="s">
        <v>75</v>
      </c>
      <c r="H940" t="s">
        <v>43</v>
      </c>
      <c r="I940" t="s">
        <v>44</v>
      </c>
      <c r="J940" t="s">
        <v>50</v>
      </c>
      <c r="K940" t="s">
        <v>3</v>
      </c>
      <c r="L940" t="s">
        <v>62</v>
      </c>
      <c r="M940" t="s">
        <v>1169</v>
      </c>
      <c r="N940" t="s">
        <v>1170</v>
      </c>
      <c r="O940" t="s">
        <v>1171</v>
      </c>
      <c r="P940" t="s">
        <v>383</v>
      </c>
      <c r="Q940" t="s">
        <v>1118</v>
      </c>
      <c r="R940" t="s">
        <v>1119</v>
      </c>
      <c r="S940" t="s">
        <v>46</v>
      </c>
      <c r="T940" t="s">
        <v>46</v>
      </c>
      <c r="U940" s="4">
        <v>323.23</v>
      </c>
      <c r="V940" t="str">
        <f t="shared" si="14"/>
        <v>C029</v>
      </c>
      <c r="W940" t="str">
        <f>VLOOKUP(K940,[1]Info!A$1:B$21,2,0)</f>
        <v>Carregadeira</v>
      </c>
      <c r="X940" t="str">
        <f>IF(M940="109595132","Material de Limpeza-Não Avaliar",IF(AND(K940="F20",M940&lt;&gt;109595132),IF(RIGHT(F940,2)="70","Infraestrutura de Planta","Prédios e Instalações"),IF(K940="FPC",VLOOKUP(F940,[1]Info!$E$2:$F$11,2,0),IF(K940="FGP",VLOOKUP(F940,[1]Info!$E$9:$F$10,2,0),IF(K940="F10",VLOOKUP(F940,[1]Info!$E$2:$F$3,2,0),VLOOKUP(K940,[1]Info!$A$1:$B$21,2,0))))))</f>
        <v>Carregadeira Plantas</v>
      </c>
    </row>
    <row r="941" spans="1:24" x14ac:dyDescent="0.35">
      <c r="A941" t="s">
        <v>41</v>
      </c>
      <c r="B941" t="s">
        <v>73</v>
      </c>
      <c r="C941" t="s">
        <v>74</v>
      </c>
      <c r="D941" t="s">
        <v>94</v>
      </c>
      <c r="E941" t="s">
        <v>52</v>
      </c>
      <c r="F941">
        <v>7098131</v>
      </c>
      <c r="G941" t="s">
        <v>75</v>
      </c>
      <c r="H941" t="s">
        <v>43</v>
      </c>
      <c r="I941" t="s">
        <v>44</v>
      </c>
      <c r="J941" t="s">
        <v>50</v>
      </c>
      <c r="K941" t="s">
        <v>3</v>
      </c>
      <c r="L941" t="s">
        <v>62</v>
      </c>
      <c r="M941" t="s">
        <v>1169</v>
      </c>
      <c r="N941" t="s">
        <v>1170</v>
      </c>
      <c r="O941" t="s">
        <v>1171</v>
      </c>
      <c r="P941" t="s">
        <v>383</v>
      </c>
      <c r="Q941" t="s">
        <v>1120</v>
      </c>
      <c r="R941" t="s">
        <v>1121</v>
      </c>
      <c r="S941" t="s">
        <v>46</v>
      </c>
      <c r="T941" t="s">
        <v>46</v>
      </c>
      <c r="U941" s="4">
        <v>176.54</v>
      </c>
      <c r="V941" t="str">
        <f t="shared" si="14"/>
        <v>C029</v>
      </c>
      <c r="W941" t="str">
        <f>VLOOKUP(K941,[1]Info!A$1:B$21,2,0)</f>
        <v>Carregadeira</v>
      </c>
      <c r="X941" t="str">
        <f>IF(M941="109595132","Material de Limpeza-Não Avaliar",IF(AND(K941="F20",M941&lt;&gt;109595132),IF(RIGHT(F941,2)="70","Infraestrutura de Planta","Prédios e Instalações"),IF(K941="FPC",VLOOKUP(F941,[1]Info!$E$2:$F$11,2,0),IF(K941="FGP",VLOOKUP(F941,[1]Info!$E$9:$F$10,2,0),IF(K941="F10",VLOOKUP(F941,[1]Info!$E$2:$F$3,2,0),VLOOKUP(K941,[1]Info!$A$1:$B$21,2,0))))))</f>
        <v>Carregadeira Plantas</v>
      </c>
    </row>
    <row r="942" spans="1:24" x14ac:dyDescent="0.35">
      <c r="A942" t="s">
        <v>41</v>
      </c>
      <c r="B942" t="s">
        <v>73</v>
      </c>
      <c r="C942" t="s">
        <v>74</v>
      </c>
      <c r="D942" t="s">
        <v>94</v>
      </c>
      <c r="E942" t="s">
        <v>52</v>
      </c>
      <c r="F942">
        <v>7098131</v>
      </c>
      <c r="G942" t="s">
        <v>75</v>
      </c>
      <c r="H942" t="s">
        <v>43</v>
      </c>
      <c r="I942" t="s">
        <v>44</v>
      </c>
      <c r="J942" t="s">
        <v>50</v>
      </c>
      <c r="K942" t="s">
        <v>3</v>
      </c>
      <c r="L942" t="s">
        <v>62</v>
      </c>
      <c r="M942" t="s">
        <v>1169</v>
      </c>
      <c r="N942" t="s">
        <v>1170</v>
      </c>
      <c r="O942" t="s">
        <v>1171</v>
      </c>
      <c r="P942" t="s">
        <v>383</v>
      </c>
      <c r="Q942" t="s">
        <v>1122</v>
      </c>
      <c r="R942" t="s">
        <v>1123</v>
      </c>
      <c r="S942" t="s">
        <v>46</v>
      </c>
      <c r="T942" t="s">
        <v>46</v>
      </c>
      <c r="U942" s="4">
        <v>119.04</v>
      </c>
      <c r="V942" t="str">
        <f t="shared" si="14"/>
        <v>C029</v>
      </c>
      <c r="W942" t="str">
        <f>VLOOKUP(K942,[1]Info!A$1:B$21,2,0)</f>
        <v>Carregadeira</v>
      </c>
      <c r="X942" t="str">
        <f>IF(M942="109595132","Material de Limpeza-Não Avaliar",IF(AND(K942="F20",M942&lt;&gt;109595132),IF(RIGHT(F942,2)="70","Infraestrutura de Planta","Prédios e Instalações"),IF(K942="FPC",VLOOKUP(F942,[1]Info!$E$2:$F$11,2,0),IF(K942="FGP",VLOOKUP(F942,[1]Info!$E$9:$F$10,2,0),IF(K942="F10",VLOOKUP(F942,[1]Info!$E$2:$F$3,2,0),VLOOKUP(K942,[1]Info!$A$1:$B$21,2,0))))))</f>
        <v>Carregadeira Plantas</v>
      </c>
    </row>
    <row r="943" spans="1:24" x14ac:dyDescent="0.35">
      <c r="A943" t="s">
        <v>41</v>
      </c>
      <c r="B943" t="s">
        <v>73</v>
      </c>
      <c r="C943" t="s">
        <v>74</v>
      </c>
      <c r="D943" t="s">
        <v>94</v>
      </c>
      <c r="E943" t="s">
        <v>52</v>
      </c>
      <c r="F943">
        <v>7098131</v>
      </c>
      <c r="G943" t="s">
        <v>75</v>
      </c>
      <c r="H943" t="s">
        <v>43</v>
      </c>
      <c r="I943" t="s">
        <v>44</v>
      </c>
      <c r="J943" t="s">
        <v>50</v>
      </c>
      <c r="K943" t="s">
        <v>3</v>
      </c>
      <c r="L943" t="s">
        <v>62</v>
      </c>
      <c r="M943" t="s">
        <v>1169</v>
      </c>
      <c r="N943" t="s">
        <v>1170</v>
      </c>
      <c r="O943" t="s">
        <v>1171</v>
      </c>
      <c r="P943" t="s">
        <v>383</v>
      </c>
      <c r="Q943" t="s">
        <v>1124</v>
      </c>
      <c r="R943" t="s">
        <v>1125</v>
      </c>
      <c r="S943" t="s">
        <v>46</v>
      </c>
      <c r="T943" t="s">
        <v>46</v>
      </c>
      <c r="U943" s="4">
        <v>629.54999999999995</v>
      </c>
      <c r="V943" t="str">
        <f t="shared" si="14"/>
        <v>C029</v>
      </c>
      <c r="W943" t="str">
        <f>VLOOKUP(K943,[1]Info!A$1:B$21,2,0)</f>
        <v>Carregadeira</v>
      </c>
      <c r="X943" t="str">
        <f>IF(M943="109595132","Material de Limpeza-Não Avaliar",IF(AND(K943="F20",M943&lt;&gt;109595132),IF(RIGHT(F943,2)="70","Infraestrutura de Planta","Prédios e Instalações"),IF(K943="FPC",VLOOKUP(F943,[1]Info!$E$2:$F$11,2,0),IF(K943="FGP",VLOOKUP(F943,[1]Info!$E$9:$F$10,2,0),IF(K943="F10",VLOOKUP(F943,[1]Info!$E$2:$F$3,2,0),VLOOKUP(K943,[1]Info!$A$1:$B$21,2,0))))))</f>
        <v>Carregadeira Plantas</v>
      </c>
    </row>
    <row r="944" spans="1:24" x14ac:dyDescent="0.35">
      <c r="A944" t="s">
        <v>41</v>
      </c>
      <c r="B944" t="s">
        <v>73</v>
      </c>
      <c r="C944" t="s">
        <v>74</v>
      </c>
      <c r="D944" t="s">
        <v>94</v>
      </c>
      <c r="E944" t="s">
        <v>52</v>
      </c>
      <c r="F944">
        <v>7098131</v>
      </c>
      <c r="G944" t="s">
        <v>75</v>
      </c>
      <c r="H944" t="s">
        <v>43</v>
      </c>
      <c r="I944" t="s">
        <v>44</v>
      </c>
      <c r="J944" t="s">
        <v>50</v>
      </c>
      <c r="K944" t="s">
        <v>3</v>
      </c>
      <c r="L944" t="s">
        <v>62</v>
      </c>
      <c r="M944" t="s">
        <v>1169</v>
      </c>
      <c r="N944" t="s">
        <v>1170</v>
      </c>
      <c r="O944" t="s">
        <v>1171</v>
      </c>
      <c r="P944" t="s">
        <v>383</v>
      </c>
      <c r="Q944" t="s">
        <v>154</v>
      </c>
      <c r="R944" t="s">
        <v>155</v>
      </c>
      <c r="S944" t="s">
        <v>46</v>
      </c>
      <c r="T944" t="s">
        <v>46</v>
      </c>
      <c r="U944" s="4">
        <v>81.22</v>
      </c>
      <c r="V944" t="str">
        <f t="shared" si="14"/>
        <v>C029</v>
      </c>
      <c r="W944" t="str">
        <f>VLOOKUP(K944,[1]Info!A$1:B$21,2,0)</f>
        <v>Carregadeira</v>
      </c>
      <c r="X944" t="str">
        <f>IF(M944="109595132","Material de Limpeza-Não Avaliar",IF(AND(K944="F20",M944&lt;&gt;109595132),IF(RIGHT(F944,2)="70","Infraestrutura de Planta","Prédios e Instalações"),IF(K944="FPC",VLOOKUP(F944,[1]Info!$E$2:$F$11,2,0),IF(K944="FGP",VLOOKUP(F944,[1]Info!$E$9:$F$10,2,0),IF(K944="F10",VLOOKUP(F944,[1]Info!$E$2:$F$3,2,0),VLOOKUP(K944,[1]Info!$A$1:$B$21,2,0))))))</f>
        <v>Carregadeira Plantas</v>
      </c>
    </row>
    <row r="945" spans="1:24" x14ac:dyDescent="0.35">
      <c r="A945" t="s">
        <v>41</v>
      </c>
      <c r="B945" t="s">
        <v>73</v>
      </c>
      <c r="C945" t="s">
        <v>74</v>
      </c>
      <c r="D945" t="s">
        <v>94</v>
      </c>
      <c r="E945" t="s">
        <v>52</v>
      </c>
      <c r="F945">
        <v>7098131</v>
      </c>
      <c r="G945" t="s">
        <v>75</v>
      </c>
      <c r="H945" t="s">
        <v>43</v>
      </c>
      <c r="I945" t="s">
        <v>44</v>
      </c>
      <c r="J945" t="s">
        <v>50</v>
      </c>
      <c r="K945" t="s">
        <v>3</v>
      </c>
      <c r="L945" t="s">
        <v>62</v>
      </c>
      <c r="M945" t="s">
        <v>1169</v>
      </c>
      <c r="N945" t="s">
        <v>1170</v>
      </c>
      <c r="O945" t="s">
        <v>1171</v>
      </c>
      <c r="P945" t="s">
        <v>383</v>
      </c>
      <c r="Q945" t="s">
        <v>156</v>
      </c>
      <c r="R945" t="s">
        <v>157</v>
      </c>
      <c r="S945" t="s">
        <v>46</v>
      </c>
      <c r="T945" t="s">
        <v>46</v>
      </c>
      <c r="U945" s="4">
        <v>83.34</v>
      </c>
      <c r="V945" t="str">
        <f t="shared" si="14"/>
        <v>C029</v>
      </c>
      <c r="W945" t="str">
        <f>VLOOKUP(K945,[1]Info!A$1:B$21,2,0)</f>
        <v>Carregadeira</v>
      </c>
      <c r="X945" t="str">
        <f>IF(M945="109595132","Material de Limpeza-Não Avaliar",IF(AND(K945="F20",M945&lt;&gt;109595132),IF(RIGHT(F945,2)="70","Infraestrutura de Planta","Prédios e Instalações"),IF(K945="FPC",VLOOKUP(F945,[1]Info!$E$2:$F$11,2,0),IF(K945="FGP",VLOOKUP(F945,[1]Info!$E$9:$F$10,2,0),IF(K945="F10",VLOOKUP(F945,[1]Info!$E$2:$F$3,2,0),VLOOKUP(K945,[1]Info!$A$1:$B$21,2,0))))))</f>
        <v>Carregadeira Plantas</v>
      </c>
    </row>
    <row r="946" spans="1:24" x14ac:dyDescent="0.35">
      <c r="A946" t="s">
        <v>41</v>
      </c>
      <c r="B946" t="s">
        <v>73</v>
      </c>
      <c r="C946" t="s">
        <v>74</v>
      </c>
      <c r="D946" t="s">
        <v>94</v>
      </c>
      <c r="E946" t="s">
        <v>52</v>
      </c>
      <c r="F946">
        <v>7098131</v>
      </c>
      <c r="G946" t="s">
        <v>75</v>
      </c>
      <c r="H946" t="s">
        <v>43</v>
      </c>
      <c r="I946" t="s">
        <v>44</v>
      </c>
      <c r="J946" t="s">
        <v>50</v>
      </c>
      <c r="K946" t="s">
        <v>3</v>
      </c>
      <c r="L946" t="s">
        <v>62</v>
      </c>
      <c r="M946" t="s">
        <v>1169</v>
      </c>
      <c r="N946" t="s">
        <v>1170</v>
      </c>
      <c r="O946" t="s">
        <v>1171</v>
      </c>
      <c r="P946" t="s">
        <v>383</v>
      </c>
      <c r="Q946" t="s">
        <v>1167</v>
      </c>
      <c r="R946" t="s">
        <v>1168</v>
      </c>
      <c r="S946" t="s">
        <v>46</v>
      </c>
      <c r="T946" t="s">
        <v>46</v>
      </c>
      <c r="U946" s="4">
        <v>150.12</v>
      </c>
      <c r="V946" t="str">
        <f t="shared" si="14"/>
        <v>C029</v>
      </c>
      <c r="W946" t="str">
        <f>VLOOKUP(K946,[1]Info!A$1:B$21,2,0)</f>
        <v>Carregadeira</v>
      </c>
      <c r="X946" t="str">
        <f>IF(M946="109595132","Material de Limpeza-Não Avaliar",IF(AND(K946="F20",M946&lt;&gt;109595132),IF(RIGHT(F946,2)="70","Infraestrutura de Planta","Prédios e Instalações"),IF(K946="FPC",VLOOKUP(F946,[1]Info!$E$2:$F$11,2,0),IF(K946="FGP",VLOOKUP(F946,[1]Info!$E$9:$F$10,2,0),IF(K946="F10",VLOOKUP(F946,[1]Info!$E$2:$F$3,2,0),VLOOKUP(K946,[1]Info!$A$1:$B$21,2,0))))))</f>
        <v>Carregadeira Plantas</v>
      </c>
    </row>
    <row r="947" spans="1:24" x14ac:dyDescent="0.35">
      <c r="A947" t="s">
        <v>41</v>
      </c>
      <c r="B947" t="s">
        <v>73</v>
      </c>
      <c r="C947" t="s">
        <v>74</v>
      </c>
      <c r="D947" t="s">
        <v>94</v>
      </c>
      <c r="E947" t="s">
        <v>52</v>
      </c>
      <c r="F947">
        <v>7098131</v>
      </c>
      <c r="G947" t="s">
        <v>75</v>
      </c>
      <c r="H947" t="s">
        <v>43</v>
      </c>
      <c r="I947" t="s">
        <v>44</v>
      </c>
      <c r="J947" t="s">
        <v>50</v>
      </c>
      <c r="K947" t="s">
        <v>3</v>
      </c>
      <c r="L947" t="s">
        <v>62</v>
      </c>
      <c r="M947" t="s">
        <v>926</v>
      </c>
      <c r="N947" t="s">
        <v>927</v>
      </c>
      <c r="O947" t="s">
        <v>89</v>
      </c>
      <c r="P947" t="s">
        <v>383</v>
      </c>
      <c r="Q947" t="s">
        <v>1116</v>
      </c>
      <c r="R947" t="s">
        <v>1117</v>
      </c>
      <c r="S947" t="s">
        <v>46</v>
      </c>
      <c r="T947" t="s">
        <v>46</v>
      </c>
      <c r="U947" s="4">
        <v>182.16</v>
      </c>
      <c r="V947" t="str">
        <f t="shared" si="14"/>
        <v>C046</v>
      </c>
      <c r="W947" t="str">
        <f>VLOOKUP(K947,[1]Info!A$1:B$21,2,0)</f>
        <v>Carregadeira</v>
      </c>
      <c r="X947" t="str">
        <f>IF(M947="109595132","Material de Limpeza-Não Avaliar",IF(AND(K947="F20",M947&lt;&gt;109595132),IF(RIGHT(F947,2)="70","Infraestrutura de Planta","Prédios e Instalações"),IF(K947="FPC",VLOOKUP(F947,[1]Info!$E$2:$F$11,2,0),IF(K947="FGP",VLOOKUP(F947,[1]Info!$E$9:$F$10,2,0),IF(K947="F10",VLOOKUP(F947,[1]Info!$E$2:$F$3,2,0),VLOOKUP(K947,[1]Info!$A$1:$B$21,2,0))))))</f>
        <v>Carregadeira Plantas</v>
      </c>
    </row>
    <row r="948" spans="1:24" x14ac:dyDescent="0.35">
      <c r="A948" t="s">
        <v>41</v>
      </c>
      <c r="B948" t="s">
        <v>73</v>
      </c>
      <c r="C948" t="s">
        <v>74</v>
      </c>
      <c r="D948" t="s">
        <v>94</v>
      </c>
      <c r="E948" t="s">
        <v>52</v>
      </c>
      <c r="F948">
        <v>7098131</v>
      </c>
      <c r="G948" t="s">
        <v>75</v>
      </c>
      <c r="H948" t="s">
        <v>43</v>
      </c>
      <c r="I948" t="s">
        <v>44</v>
      </c>
      <c r="J948" t="s">
        <v>50</v>
      </c>
      <c r="K948" t="s">
        <v>3</v>
      </c>
      <c r="L948" t="s">
        <v>62</v>
      </c>
      <c r="M948" t="s">
        <v>926</v>
      </c>
      <c r="N948" t="s">
        <v>927</v>
      </c>
      <c r="O948" t="s">
        <v>89</v>
      </c>
      <c r="P948" t="s">
        <v>383</v>
      </c>
      <c r="Q948" t="s">
        <v>228</v>
      </c>
      <c r="R948" t="s">
        <v>229</v>
      </c>
      <c r="S948" t="s">
        <v>46</v>
      </c>
      <c r="T948" t="s">
        <v>46</v>
      </c>
      <c r="U948" s="4">
        <v>98.42</v>
      </c>
      <c r="V948" t="str">
        <f t="shared" si="14"/>
        <v>C046</v>
      </c>
      <c r="W948" t="str">
        <f>VLOOKUP(K948,[1]Info!A$1:B$21,2,0)</f>
        <v>Carregadeira</v>
      </c>
      <c r="X948" t="str">
        <f>IF(M948="109595132","Material de Limpeza-Não Avaliar",IF(AND(K948="F20",M948&lt;&gt;109595132),IF(RIGHT(F948,2)="70","Infraestrutura de Planta","Prédios e Instalações"),IF(K948="FPC",VLOOKUP(F948,[1]Info!$E$2:$F$11,2,0),IF(K948="FGP",VLOOKUP(F948,[1]Info!$E$9:$F$10,2,0),IF(K948="F10",VLOOKUP(F948,[1]Info!$E$2:$F$3,2,0),VLOOKUP(K948,[1]Info!$A$1:$B$21,2,0))))))</f>
        <v>Carregadeira Plantas</v>
      </c>
    </row>
    <row r="949" spans="1:24" x14ac:dyDescent="0.35">
      <c r="A949" t="s">
        <v>41</v>
      </c>
      <c r="B949" t="s">
        <v>73</v>
      </c>
      <c r="C949" t="s">
        <v>74</v>
      </c>
      <c r="D949" t="s">
        <v>94</v>
      </c>
      <c r="E949" t="s">
        <v>52</v>
      </c>
      <c r="F949">
        <v>7098131</v>
      </c>
      <c r="G949" t="s">
        <v>75</v>
      </c>
      <c r="H949" t="s">
        <v>43</v>
      </c>
      <c r="I949" t="s">
        <v>44</v>
      </c>
      <c r="J949" t="s">
        <v>50</v>
      </c>
      <c r="K949" t="s">
        <v>3</v>
      </c>
      <c r="L949" t="s">
        <v>62</v>
      </c>
      <c r="M949" t="s">
        <v>926</v>
      </c>
      <c r="N949" t="s">
        <v>927</v>
      </c>
      <c r="O949" t="s">
        <v>89</v>
      </c>
      <c r="P949" t="s">
        <v>383</v>
      </c>
      <c r="Q949" t="s">
        <v>1118</v>
      </c>
      <c r="R949" t="s">
        <v>1119</v>
      </c>
      <c r="S949" t="s">
        <v>46</v>
      </c>
      <c r="T949" t="s">
        <v>46</v>
      </c>
      <c r="U949" s="4">
        <v>323.23</v>
      </c>
      <c r="V949" t="str">
        <f t="shared" si="14"/>
        <v>C046</v>
      </c>
      <c r="W949" t="str">
        <f>VLOOKUP(K949,[1]Info!A$1:B$21,2,0)</f>
        <v>Carregadeira</v>
      </c>
      <c r="X949" t="str">
        <f>IF(M949="109595132","Material de Limpeza-Não Avaliar",IF(AND(K949="F20",M949&lt;&gt;109595132),IF(RIGHT(F949,2)="70","Infraestrutura de Planta","Prédios e Instalações"),IF(K949="FPC",VLOOKUP(F949,[1]Info!$E$2:$F$11,2,0),IF(K949="FGP",VLOOKUP(F949,[1]Info!$E$9:$F$10,2,0),IF(K949="F10",VLOOKUP(F949,[1]Info!$E$2:$F$3,2,0),VLOOKUP(K949,[1]Info!$A$1:$B$21,2,0))))))</f>
        <v>Carregadeira Plantas</v>
      </c>
    </row>
    <row r="950" spans="1:24" x14ac:dyDescent="0.35">
      <c r="A950" t="s">
        <v>41</v>
      </c>
      <c r="B950" t="s">
        <v>73</v>
      </c>
      <c r="C950" t="s">
        <v>74</v>
      </c>
      <c r="D950" t="s">
        <v>94</v>
      </c>
      <c r="E950" t="s">
        <v>52</v>
      </c>
      <c r="F950">
        <v>7098131</v>
      </c>
      <c r="G950" t="s">
        <v>75</v>
      </c>
      <c r="H950" t="s">
        <v>43</v>
      </c>
      <c r="I950" t="s">
        <v>44</v>
      </c>
      <c r="J950" t="s">
        <v>50</v>
      </c>
      <c r="K950" t="s">
        <v>3</v>
      </c>
      <c r="L950" t="s">
        <v>62</v>
      </c>
      <c r="M950" t="s">
        <v>926</v>
      </c>
      <c r="N950" t="s">
        <v>927</v>
      </c>
      <c r="O950" t="s">
        <v>89</v>
      </c>
      <c r="P950" t="s">
        <v>383</v>
      </c>
      <c r="Q950" t="s">
        <v>1120</v>
      </c>
      <c r="R950" t="s">
        <v>1121</v>
      </c>
      <c r="S950" t="s">
        <v>46</v>
      </c>
      <c r="T950" t="s">
        <v>46</v>
      </c>
      <c r="U950" s="4">
        <v>176.54</v>
      </c>
      <c r="V950" t="str">
        <f t="shared" si="14"/>
        <v>C046</v>
      </c>
      <c r="W950" t="str">
        <f>VLOOKUP(K950,[1]Info!A$1:B$21,2,0)</f>
        <v>Carregadeira</v>
      </c>
      <c r="X950" t="str">
        <f>IF(M950="109595132","Material de Limpeza-Não Avaliar",IF(AND(K950="F20",M950&lt;&gt;109595132),IF(RIGHT(F950,2)="70","Infraestrutura de Planta","Prédios e Instalações"),IF(K950="FPC",VLOOKUP(F950,[1]Info!$E$2:$F$11,2,0),IF(K950="FGP",VLOOKUP(F950,[1]Info!$E$9:$F$10,2,0),IF(K950="F10",VLOOKUP(F950,[1]Info!$E$2:$F$3,2,0),VLOOKUP(K950,[1]Info!$A$1:$B$21,2,0))))))</f>
        <v>Carregadeira Plantas</v>
      </c>
    </row>
    <row r="951" spans="1:24" x14ac:dyDescent="0.35">
      <c r="A951" t="s">
        <v>41</v>
      </c>
      <c r="B951" t="s">
        <v>73</v>
      </c>
      <c r="C951" t="s">
        <v>74</v>
      </c>
      <c r="D951" t="s">
        <v>94</v>
      </c>
      <c r="E951" t="s">
        <v>52</v>
      </c>
      <c r="F951">
        <v>7098131</v>
      </c>
      <c r="G951" t="s">
        <v>75</v>
      </c>
      <c r="H951" t="s">
        <v>43</v>
      </c>
      <c r="I951" t="s">
        <v>44</v>
      </c>
      <c r="J951" t="s">
        <v>50</v>
      </c>
      <c r="K951" t="s">
        <v>3</v>
      </c>
      <c r="L951" t="s">
        <v>62</v>
      </c>
      <c r="M951" t="s">
        <v>926</v>
      </c>
      <c r="N951" t="s">
        <v>927</v>
      </c>
      <c r="O951" t="s">
        <v>89</v>
      </c>
      <c r="P951" t="s">
        <v>383</v>
      </c>
      <c r="Q951" t="s">
        <v>1122</v>
      </c>
      <c r="R951" t="s">
        <v>1123</v>
      </c>
      <c r="S951" t="s">
        <v>46</v>
      </c>
      <c r="T951" t="s">
        <v>46</v>
      </c>
      <c r="U951" s="4">
        <v>119.04</v>
      </c>
      <c r="V951" t="str">
        <f t="shared" si="14"/>
        <v>C046</v>
      </c>
      <c r="W951" t="str">
        <f>VLOOKUP(K951,[1]Info!A$1:B$21,2,0)</f>
        <v>Carregadeira</v>
      </c>
      <c r="X951" t="str">
        <f>IF(M951="109595132","Material de Limpeza-Não Avaliar",IF(AND(K951="F20",M951&lt;&gt;109595132),IF(RIGHT(F951,2)="70","Infraestrutura de Planta","Prédios e Instalações"),IF(K951="FPC",VLOOKUP(F951,[1]Info!$E$2:$F$11,2,0),IF(K951="FGP",VLOOKUP(F951,[1]Info!$E$9:$F$10,2,0),IF(K951="F10",VLOOKUP(F951,[1]Info!$E$2:$F$3,2,0),VLOOKUP(K951,[1]Info!$A$1:$B$21,2,0))))))</f>
        <v>Carregadeira Plantas</v>
      </c>
    </row>
    <row r="952" spans="1:24" x14ac:dyDescent="0.35">
      <c r="A952" t="s">
        <v>41</v>
      </c>
      <c r="B952" t="s">
        <v>73</v>
      </c>
      <c r="C952" t="s">
        <v>74</v>
      </c>
      <c r="D952" t="s">
        <v>94</v>
      </c>
      <c r="E952" t="s">
        <v>52</v>
      </c>
      <c r="F952">
        <v>7098131</v>
      </c>
      <c r="G952" t="s">
        <v>75</v>
      </c>
      <c r="H952" t="s">
        <v>43</v>
      </c>
      <c r="I952" t="s">
        <v>44</v>
      </c>
      <c r="J952" t="s">
        <v>50</v>
      </c>
      <c r="K952" t="s">
        <v>3</v>
      </c>
      <c r="L952" t="s">
        <v>62</v>
      </c>
      <c r="M952" t="s">
        <v>926</v>
      </c>
      <c r="N952" t="s">
        <v>927</v>
      </c>
      <c r="O952" t="s">
        <v>89</v>
      </c>
      <c r="P952" t="s">
        <v>383</v>
      </c>
      <c r="Q952" t="s">
        <v>1124</v>
      </c>
      <c r="R952" t="s">
        <v>1125</v>
      </c>
      <c r="S952" t="s">
        <v>46</v>
      </c>
      <c r="T952" t="s">
        <v>46</v>
      </c>
      <c r="U952" s="4">
        <v>629.54999999999995</v>
      </c>
      <c r="V952" t="str">
        <f t="shared" si="14"/>
        <v>C046</v>
      </c>
      <c r="W952" t="str">
        <f>VLOOKUP(K952,[1]Info!A$1:B$21,2,0)</f>
        <v>Carregadeira</v>
      </c>
      <c r="X952" t="str">
        <f>IF(M952="109595132","Material de Limpeza-Não Avaliar",IF(AND(K952="F20",M952&lt;&gt;109595132),IF(RIGHT(F952,2)="70","Infraestrutura de Planta","Prédios e Instalações"),IF(K952="FPC",VLOOKUP(F952,[1]Info!$E$2:$F$11,2,0),IF(K952="FGP",VLOOKUP(F952,[1]Info!$E$9:$F$10,2,0),IF(K952="F10",VLOOKUP(F952,[1]Info!$E$2:$F$3,2,0),VLOOKUP(K952,[1]Info!$A$1:$B$21,2,0))))))</f>
        <v>Carregadeira Plantas</v>
      </c>
    </row>
    <row r="953" spans="1:24" x14ac:dyDescent="0.35">
      <c r="A953" t="s">
        <v>41</v>
      </c>
      <c r="B953" t="s">
        <v>73</v>
      </c>
      <c r="C953" t="s">
        <v>74</v>
      </c>
      <c r="D953" t="s">
        <v>94</v>
      </c>
      <c r="E953" t="s">
        <v>52</v>
      </c>
      <c r="F953">
        <v>7098131</v>
      </c>
      <c r="G953" t="s">
        <v>75</v>
      </c>
      <c r="H953" t="s">
        <v>43</v>
      </c>
      <c r="I953" t="s">
        <v>44</v>
      </c>
      <c r="J953" t="s">
        <v>50</v>
      </c>
      <c r="K953" t="s">
        <v>3</v>
      </c>
      <c r="L953" t="s">
        <v>62</v>
      </c>
      <c r="M953" t="s">
        <v>926</v>
      </c>
      <c r="N953" t="s">
        <v>927</v>
      </c>
      <c r="O953" t="s">
        <v>89</v>
      </c>
      <c r="P953" t="s">
        <v>383</v>
      </c>
      <c r="Q953" t="s">
        <v>154</v>
      </c>
      <c r="R953" t="s">
        <v>155</v>
      </c>
      <c r="S953" t="s">
        <v>46</v>
      </c>
      <c r="T953" t="s">
        <v>46</v>
      </c>
      <c r="U953" s="4">
        <v>81.22</v>
      </c>
      <c r="V953" t="str">
        <f t="shared" si="14"/>
        <v>C046</v>
      </c>
      <c r="W953" t="str">
        <f>VLOOKUP(K953,[1]Info!A$1:B$21,2,0)</f>
        <v>Carregadeira</v>
      </c>
      <c r="X953" t="str">
        <f>IF(M953="109595132","Material de Limpeza-Não Avaliar",IF(AND(K953="F20",M953&lt;&gt;109595132),IF(RIGHT(F953,2)="70","Infraestrutura de Planta","Prédios e Instalações"),IF(K953="FPC",VLOOKUP(F953,[1]Info!$E$2:$F$11,2,0),IF(K953="FGP",VLOOKUP(F953,[1]Info!$E$9:$F$10,2,0),IF(K953="F10",VLOOKUP(F953,[1]Info!$E$2:$F$3,2,0),VLOOKUP(K953,[1]Info!$A$1:$B$21,2,0))))))</f>
        <v>Carregadeira Plantas</v>
      </c>
    </row>
    <row r="954" spans="1:24" x14ac:dyDescent="0.35">
      <c r="A954" t="s">
        <v>41</v>
      </c>
      <c r="B954" t="s">
        <v>73</v>
      </c>
      <c r="C954" t="s">
        <v>74</v>
      </c>
      <c r="D954" t="s">
        <v>94</v>
      </c>
      <c r="E954" t="s">
        <v>52</v>
      </c>
      <c r="F954">
        <v>7098131</v>
      </c>
      <c r="G954" t="s">
        <v>75</v>
      </c>
      <c r="H954" t="s">
        <v>43</v>
      </c>
      <c r="I954" t="s">
        <v>44</v>
      </c>
      <c r="J954" t="s">
        <v>50</v>
      </c>
      <c r="K954" t="s">
        <v>3</v>
      </c>
      <c r="L954" t="s">
        <v>62</v>
      </c>
      <c r="M954" t="s">
        <v>926</v>
      </c>
      <c r="N954" t="s">
        <v>927</v>
      </c>
      <c r="O954" t="s">
        <v>89</v>
      </c>
      <c r="P954" t="s">
        <v>383</v>
      </c>
      <c r="Q954" t="s">
        <v>156</v>
      </c>
      <c r="R954" t="s">
        <v>157</v>
      </c>
      <c r="S954" t="s">
        <v>46</v>
      </c>
      <c r="T954" t="s">
        <v>46</v>
      </c>
      <c r="U954" s="4">
        <v>83.34</v>
      </c>
      <c r="V954" t="str">
        <f t="shared" si="14"/>
        <v>C046</v>
      </c>
      <c r="W954" t="str">
        <f>VLOOKUP(K954,[1]Info!A$1:B$21,2,0)</f>
        <v>Carregadeira</v>
      </c>
      <c r="X954" t="str">
        <f>IF(M954="109595132","Material de Limpeza-Não Avaliar",IF(AND(K954="F20",M954&lt;&gt;109595132),IF(RIGHT(F954,2)="70","Infraestrutura de Planta","Prédios e Instalações"),IF(K954="FPC",VLOOKUP(F954,[1]Info!$E$2:$F$11,2,0),IF(K954="FGP",VLOOKUP(F954,[1]Info!$E$9:$F$10,2,0),IF(K954="F10",VLOOKUP(F954,[1]Info!$E$2:$F$3,2,0),VLOOKUP(K954,[1]Info!$A$1:$B$21,2,0))))))</f>
        <v>Carregadeira Plantas</v>
      </c>
    </row>
    <row r="955" spans="1:24" x14ac:dyDescent="0.35">
      <c r="A955" t="s">
        <v>41</v>
      </c>
      <c r="B955" t="s">
        <v>73</v>
      </c>
      <c r="C955" t="s">
        <v>74</v>
      </c>
      <c r="D955" t="s">
        <v>94</v>
      </c>
      <c r="E955" t="s">
        <v>52</v>
      </c>
      <c r="F955">
        <v>7098131</v>
      </c>
      <c r="G955" t="s">
        <v>75</v>
      </c>
      <c r="H955" t="s">
        <v>43</v>
      </c>
      <c r="I955" t="s">
        <v>44</v>
      </c>
      <c r="J955" t="s">
        <v>50</v>
      </c>
      <c r="K955" t="s">
        <v>3</v>
      </c>
      <c r="L955" t="s">
        <v>62</v>
      </c>
      <c r="M955" t="s">
        <v>926</v>
      </c>
      <c r="N955" t="s">
        <v>927</v>
      </c>
      <c r="O955" t="s">
        <v>89</v>
      </c>
      <c r="P955" t="s">
        <v>383</v>
      </c>
      <c r="Q955" t="s">
        <v>1128</v>
      </c>
      <c r="R955" t="s">
        <v>1129</v>
      </c>
      <c r="S955" t="s">
        <v>46</v>
      </c>
      <c r="T955" t="s">
        <v>46</v>
      </c>
      <c r="U955" s="4">
        <v>121.79</v>
      </c>
      <c r="V955" t="str">
        <f t="shared" si="14"/>
        <v>C046</v>
      </c>
      <c r="W955" t="str">
        <f>VLOOKUP(K955,[1]Info!A$1:B$21,2,0)</f>
        <v>Carregadeira</v>
      </c>
      <c r="X955" t="str">
        <f>IF(M955="109595132","Material de Limpeza-Não Avaliar",IF(AND(K955="F20",M955&lt;&gt;109595132),IF(RIGHT(F955,2)="70","Infraestrutura de Planta","Prédios e Instalações"),IF(K955="FPC",VLOOKUP(F955,[1]Info!$E$2:$F$11,2,0),IF(K955="FGP",VLOOKUP(F955,[1]Info!$E$9:$F$10,2,0),IF(K955="F10",VLOOKUP(F955,[1]Info!$E$2:$F$3,2,0),VLOOKUP(K955,[1]Info!$A$1:$B$21,2,0))))))</f>
        <v>Carregadeira Plantas</v>
      </c>
    </row>
    <row r="956" spans="1:24" x14ac:dyDescent="0.35">
      <c r="A956" t="s">
        <v>41</v>
      </c>
      <c r="B956" t="s">
        <v>73</v>
      </c>
      <c r="C956" t="s">
        <v>74</v>
      </c>
      <c r="D956" t="s">
        <v>94</v>
      </c>
      <c r="E956" t="s">
        <v>52</v>
      </c>
      <c r="F956">
        <v>7098131</v>
      </c>
      <c r="G956" t="s">
        <v>75</v>
      </c>
      <c r="H956" t="s">
        <v>43</v>
      </c>
      <c r="I956" t="s">
        <v>44</v>
      </c>
      <c r="J956" t="s">
        <v>50</v>
      </c>
      <c r="K956" t="s">
        <v>3</v>
      </c>
      <c r="L956" t="s">
        <v>62</v>
      </c>
      <c r="M956" t="s">
        <v>926</v>
      </c>
      <c r="N956" t="s">
        <v>927</v>
      </c>
      <c r="O956" t="s">
        <v>89</v>
      </c>
      <c r="P956" t="s">
        <v>383</v>
      </c>
      <c r="Q956" t="s">
        <v>1130</v>
      </c>
      <c r="R956" t="s">
        <v>1131</v>
      </c>
      <c r="S956" t="s">
        <v>46</v>
      </c>
      <c r="T956" t="s">
        <v>46</v>
      </c>
      <c r="U956" s="4">
        <v>81.52</v>
      </c>
      <c r="V956" t="str">
        <f t="shared" si="14"/>
        <v>C046</v>
      </c>
      <c r="W956" t="str">
        <f>VLOOKUP(K956,[1]Info!A$1:B$21,2,0)</f>
        <v>Carregadeira</v>
      </c>
      <c r="X956" t="str">
        <f>IF(M956="109595132","Material de Limpeza-Não Avaliar",IF(AND(K956="F20",M956&lt;&gt;109595132),IF(RIGHT(F956,2)="70","Infraestrutura de Planta","Prédios e Instalações"),IF(K956="FPC",VLOOKUP(F956,[1]Info!$E$2:$F$11,2,0),IF(K956="FGP",VLOOKUP(F956,[1]Info!$E$9:$F$10,2,0),IF(K956="F10",VLOOKUP(F956,[1]Info!$E$2:$F$3,2,0),VLOOKUP(K956,[1]Info!$A$1:$B$21,2,0))))))</f>
        <v>Carregadeira Plantas</v>
      </c>
    </row>
    <row r="957" spans="1:24" x14ac:dyDescent="0.35">
      <c r="A957" t="s">
        <v>41</v>
      </c>
      <c r="B957" t="s">
        <v>73</v>
      </c>
      <c r="C957" t="s">
        <v>74</v>
      </c>
      <c r="D957" t="s">
        <v>94</v>
      </c>
      <c r="E957" t="s">
        <v>52</v>
      </c>
      <c r="F957">
        <v>7098131</v>
      </c>
      <c r="G957" t="s">
        <v>75</v>
      </c>
      <c r="H957" t="s">
        <v>43</v>
      </c>
      <c r="I957" t="s">
        <v>44</v>
      </c>
      <c r="J957" t="s">
        <v>50</v>
      </c>
      <c r="K957" t="s">
        <v>3</v>
      </c>
      <c r="L957" t="s">
        <v>62</v>
      </c>
      <c r="M957" t="s">
        <v>926</v>
      </c>
      <c r="N957" t="s">
        <v>927</v>
      </c>
      <c r="O957" t="s">
        <v>89</v>
      </c>
      <c r="P957" t="s">
        <v>383</v>
      </c>
      <c r="Q957" t="s">
        <v>1134</v>
      </c>
      <c r="R957" t="s">
        <v>1135</v>
      </c>
      <c r="S957" t="s">
        <v>46</v>
      </c>
      <c r="T957" t="s">
        <v>46</v>
      </c>
      <c r="U957" s="4">
        <v>549.03</v>
      </c>
      <c r="V957" t="str">
        <f t="shared" si="14"/>
        <v>C046</v>
      </c>
      <c r="W957" t="str">
        <f>VLOOKUP(K957,[1]Info!A$1:B$21,2,0)</f>
        <v>Carregadeira</v>
      </c>
      <c r="X957" t="str">
        <f>IF(M957="109595132","Material de Limpeza-Não Avaliar",IF(AND(K957="F20",M957&lt;&gt;109595132),IF(RIGHT(F957,2)="70","Infraestrutura de Planta","Prédios e Instalações"),IF(K957="FPC",VLOOKUP(F957,[1]Info!$E$2:$F$11,2,0),IF(K957="FGP",VLOOKUP(F957,[1]Info!$E$9:$F$10,2,0),IF(K957="F10",VLOOKUP(F957,[1]Info!$E$2:$F$3,2,0),VLOOKUP(K957,[1]Info!$A$1:$B$21,2,0))))))</f>
        <v>Carregadeira Plantas</v>
      </c>
    </row>
    <row r="958" spans="1:24" x14ac:dyDescent="0.35">
      <c r="A958" t="s">
        <v>41</v>
      </c>
      <c r="B958" t="s">
        <v>73</v>
      </c>
      <c r="C958" t="s">
        <v>74</v>
      </c>
      <c r="D958" t="s">
        <v>94</v>
      </c>
      <c r="E958" t="s">
        <v>52</v>
      </c>
      <c r="F958">
        <v>7098131</v>
      </c>
      <c r="G958" t="s">
        <v>75</v>
      </c>
      <c r="H958" t="s">
        <v>43</v>
      </c>
      <c r="I958" t="s">
        <v>44</v>
      </c>
      <c r="J958" t="s">
        <v>50</v>
      </c>
      <c r="K958" t="s">
        <v>3</v>
      </c>
      <c r="L958" t="s">
        <v>62</v>
      </c>
      <c r="M958" t="s">
        <v>926</v>
      </c>
      <c r="N958" t="s">
        <v>927</v>
      </c>
      <c r="O958" t="s">
        <v>89</v>
      </c>
      <c r="P958" t="s">
        <v>383</v>
      </c>
      <c r="Q958" t="s">
        <v>1167</v>
      </c>
      <c r="R958" t="s">
        <v>1168</v>
      </c>
      <c r="S958" t="s">
        <v>46</v>
      </c>
      <c r="T958" t="s">
        <v>46</v>
      </c>
      <c r="U958" s="4">
        <v>150.12</v>
      </c>
      <c r="V958" t="str">
        <f t="shared" si="14"/>
        <v>C046</v>
      </c>
      <c r="W958" t="str">
        <f>VLOOKUP(K958,[1]Info!A$1:B$21,2,0)</f>
        <v>Carregadeira</v>
      </c>
      <c r="X958" t="str">
        <f>IF(M958="109595132","Material de Limpeza-Não Avaliar",IF(AND(K958="F20",M958&lt;&gt;109595132),IF(RIGHT(F958,2)="70","Infraestrutura de Planta","Prédios e Instalações"),IF(K958="FPC",VLOOKUP(F958,[1]Info!$E$2:$F$11,2,0),IF(K958="FGP",VLOOKUP(F958,[1]Info!$E$9:$F$10,2,0),IF(K958="F10",VLOOKUP(F958,[1]Info!$E$2:$F$3,2,0),VLOOKUP(K958,[1]Info!$A$1:$B$21,2,0))))))</f>
        <v>Carregadeira Plantas</v>
      </c>
    </row>
    <row r="959" spans="1:24" x14ac:dyDescent="0.35">
      <c r="A959" t="s">
        <v>41</v>
      </c>
      <c r="B959" t="s">
        <v>73</v>
      </c>
      <c r="C959" t="s">
        <v>74</v>
      </c>
      <c r="D959" t="s">
        <v>94</v>
      </c>
      <c r="E959" t="s">
        <v>52</v>
      </c>
      <c r="F959">
        <v>7098131</v>
      </c>
      <c r="G959" t="s">
        <v>75</v>
      </c>
      <c r="H959" t="s">
        <v>43</v>
      </c>
      <c r="I959" t="s">
        <v>44</v>
      </c>
      <c r="J959" t="s">
        <v>50</v>
      </c>
      <c r="K959" t="s">
        <v>3</v>
      </c>
      <c r="L959" t="s">
        <v>62</v>
      </c>
      <c r="M959" t="s">
        <v>926</v>
      </c>
      <c r="N959" t="s">
        <v>927</v>
      </c>
      <c r="O959" t="s">
        <v>89</v>
      </c>
      <c r="P959" t="s">
        <v>383</v>
      </c>
      <c r="Q959" t="s">
        <v>158</v>
      </c>
      <c r="R959" t="s">
        <v>159</v>
      </c>
      <c r="S959" t="s">
        <v>46</v>
      </c>
      <c r="T959" t="s">
        <v>46</v>
      </c>
      <c r="U959" s="4">
        <v>796.13</v>
      </c>
      <c r="V959" t="str">
        <f t="shared" si="14"/>
        <v>C046</v>
      </c>
      <c r="W959" t="str">
        <f>VLOOKUP(K959,[1]Info!A$1:B$21,2,0)</f>
        <v>Carregadeira</v>
      </c>
      <c r="X959" t="str">
        <f>IF(M959="109595132","Material de Limpeza-Não Avaliar",IF(AND(K959="F20",M959&lt;&gt;109595132),IF(RIGHT(F959,2)="70","Infraestrutura de Planta","Prédios e Instalações"),IF(K959="FPC",VLOOKUP(F959,[1]Info!$E$2:$F$11,2,0),IF(K959="FGP",VLOOKUP(F959,[1]Info!$E$9:$F$10,2,0),IF(K959="F10",VLOOKUP(F959,[1]Info!$E$2:$F$3,2,0),VLOOKUP(K959,[1]Info!$A$1:$B$21,2,0))))))</f>
        <v>Carregadeira Plantas</v>
      </c>
    </row>
    <row r="960" spans="1:24" x14ac:dyDescent="0.35">
      <c r="A960" t="s">
        <v>41</v>
      </c>
      <c r="B960" t="s">
        <v>73</v>
      </c>
      <c r="C960" t="s">
        <v>74</v>
      </c>
      <c r="D960" t="s">
        <v>94</v>
      </c>
      <c r="E960" t="s">
        <v>52</v>
      </c>
      <c r="F960">
        <v>7098131</v>
      </c>
      <c r="G960" t="s">
        <v>75</v>
      </c>
      <c r="H960" t="s">
        <v>43</v>
      </c>
      <c r="I960" t="s">
        <v>44</v>
      </c>
      <c r="J960" t="s">
        <v>50</v>
      </c>
      <c r="K960" t="s">
        <v>3</v>
      </c>
      <c r="L960" t="s">
        <v>62</v>
      </c>
      <c r="M960" t="s">
        <v>926</v>
      </c>
      <c r="N960" t="s">
        <v>927</v>
      </c>
      <c r="O960" t="s">
        <v>89</v>
      </c>
      <c r="P960" t="s">
        <v>383</v>
      </c>
      <c r="Q960" t="s">
        <v>160</v>
      </c>
      <c r="R960" t="s">
        <v>161</v>
      </c>
      <c r="S960" t="s">
        <v>46</v>
      </c>
      <c r="T960" t="s">
        <v>46</v>
      </c>
      <c r="U960" s="4">
        <v>385.32</v>
      </c>
      <c r="V960" t="str">
        <f t="shared" si="14"/>
        <v>C046</v>
      </c>
      <c r="W960" t="str">
        <f>VLOOKUP(K960,[1]Info!A$1:B$21,2,0)</f>
        <v>Carregadeira</v>
      </c>
      <c r="X960" t="str">
        <f>IF(M960="109595132","Material de Limpeza-Não Avaliar",IF(AND(K960="F20",M960&lt;&gt;109595132),IF(RIGHT(F960,2)="70","Infraestrutura de Planta","Prédios e Instalações"),IF(K960="FPC",VLOOKUP(F960,[1]Info!$E$2:$F$11,2,0),IF(K960="FGP",VLOOKUP(F960,[1]Info!$E$9:$F$10,2,0),IF(K960="F10",VLOOKUP(F960,[1]Info!$E$2:$F$3,2,0),VLOOKUP(K960,[1]Info!$A$1:$B$21,2,0))))))</f>
        <v>Carregadeira Plantas</v>
      </c>
    </row>
    <row r="961" spans="1:24" x14ac:dyDescent="0.35">
      <c r="A961" t="s">
        <v>41</v>
      </c>
      <c r="B961" t="s">
        <v>73</v>
      </c>
      <c r="C961" t="s">
        <v>74</v>
      </c>
      <c r="D961" t="s">
        <v>94</v>
      </c>
      <c r="E961" t="s">
        <v>52</v>
      </c>
      <c r="F961">
        <v>7098131</v>
      </c>
      <c r="G961" t="s">
        <v>75</v>
      </c>
      <c r="H961" t="s">
        <v>43</v>
      </c>
      <c r="I961" t="s">
        <v>44</v>
      </c>
      <c r="J961" t="s">
        <v>50</v>
      </c>
      <c r="K961" t="s">
        <v>3</v>
      </c>
      <c r="L961" t="s">
        <v>62</v>
      </c>
      <c r="M961" t="s">
        <v>1172</v>
      </c>
      <c r="N961" t="s">
        <v>1173</v>
      </c>
      <c r="O961" t="s">
        <v>97</v>
      </c>
      <c r="P961" t="s">
        <v>383</v>
      </c>
      <c r="Q961" t="s">
        <v>1116</v>
      </c>
      <c r="R961" t="s">
        <v>1117</v>
      </c>
      <c r="S961" t="s">
        <v>46</v>
      </c>
      <c r="T961" t="s">
        <v>46</v>
      </c>
      <c r="U961" s="4">
        <v>182.16</v>
      </c>
      <c r="V961" t="str">
        <f t="shared" si="14"/>
        <v>C047</v>
      </c>
      <c r="W961" t="str">
        <f>VLOOKUP(K961,[1]Info!A$1:B$21,2,0)</f>
        <v>Carregadeira</v>
      </c>
      <c r="X961" t="str">
        <f>IF(M961="109595132","Material de Limpeza-Não Avaliar",IF(AND(K961="F20",M961&lt;&gt;109595132),IF(RIGHT(F961,2)="70","Infraestrutura de Planta","Prédios e Instalações"),IF(K961="FPC",VLOOKUP(F961,[1]Info!$E$2:$F$11,2,0),IF(K961="FGP",VLOOKUP(F961,[1]Info!$E$9:$F$10,2,0),IF(K961="F10",VLOOKUP(F961,[1]Info!$E$2:$F$3,2,0),VLOOKUP(K961,[1]Info!$A$1:$B$21,2,0))))))</f>
        <v>Carregadeira Plantas</v>
      </c>
    </row>
    <row r="962" spans="1:24" x14ac:dyDescent="0.35">
      <c r="A962" t="s">
        <v>41</v>
      </c>
      <c r="B962" t="s">
        <v>73</v>
      </c>
      <c r="C962" t="s">
        <v>74</v>
      </c>
      <c r="D962" t="s">
        <v>94</v>
      </c>
      <c r="E962" t="s">
        <v>52</v>
      </c>
      <c r="F962">
        <v>7098131</v>
      </c>
      <c r="G962" t="s">
        <v>75</v>
      </c>
      <c r="H962" t="s">
        <v>43</v>
      </c>
      <c r="I962" t="s">
        <v>44</v>
      </c>
      <c r="J962" t="s">
        <v>50</v>
      </c>
      <c r="K962" t="s">
        <v>3</v>
      </c>
      <c r="L962" t="s">
        <v>62</v>
      </c>
      <c r="M962" t="s">
        <v>1172</v>
      </c>
      <c r="N962" t="s">
        <v>1173</v>
      </c>
      <c r="O962" t="s">
        <v>97</v>
      </c>
      <c r="P962" t="s">
        <v>383</v>
      </c>
      <c r="Q962" t="s">
        <v>228</v>
      </c>
      <c r="R962" t="s">
        <v>229</v>
      </c>
      <c r="S962" t="s">
        <v>46</v>
      </c>
      <c r="T962" t="s">
        <v>46</v>
      </c>
      <c r="U962" s="4">
        <v>98.42</v>
      </c>
      <c r="V962" t="str">
        <f t="shared" si="14"/>
        <v>C047</v>
      </c>
      <c r="W962" t="str">
        <f>VLOOKUP(K962,[1]Info!A$1:B$21,2,0)</f>
        <v>Carregadeira</v>
      </c>
      <c r="X962" t="str">
        <f>IF(M962="109595132","Material de Limpeza-Não Avaliar",IF(AND(K962="F20",M962&lt;&gt;109595132),IF(RIGHT(F962,2)="70","Infraestrutura de Planta","Prédios e Instalações"),IF(K962="FPC",VLOOKUP(F962,[1]Info!$E$2:$F$11,2,0),IF(K962="FGP",VLOOKUP(F962,[1]Info!$E$9:$F$10,2,0),IF(K962="F10",VLOOKUP(F962,[1]Info!$E$2:$F$3,2,0),VLOOKUP(K962,[1]Info!$A$1:$B$21,2,0))))))</f>
        <v>Carregadeira Plantas</v>
      </c>
    </row>
    <row r="963" spans="1:24" x14ac:dyDescent="0.35">
      <c r="A963" t="s">
        <v>41</v>
      </c>
      <c r="B963" t="s">
        <v>73</v>
      </c>
      <c r="C963" t="s">
        <v>74</v>
      </c>
      <c r="D963" t="s">
        <v>94</v>
      </c>
      <c r="E963" t="s">
        <v>52</v>
      </c>
      <c r="F963">
        <v>7098131</v>
      </c>
      <c r="G963" t="s">
        <v>75</v>
      </c>
      <c r="H963" t="s">
        <v>43</v>
      </c>
      <c r="I963" t="s">
        <v>44</v>
      </c>
      <c r="J963" t="s">
        <v>50</v>
      </c>
      <c r="K963" t="s">
        <v>3</v>
      </c>
      <c r="L963" t="s">
        <v>62</v>
      </c>
      <c r="M963" t="s">
        <v>1172</v>
      </c>
      <c r="N963" t="s">
        <v>1173</v>
      </c>
      <c r="O963" t="s">
        <v>97</v>
      </c>
      <c r="P963" t="s">
        <v>383</v>
      </c>
      <c r="Q963" t="s">
        <v>1118</v>
      </c>
      <c r="R963" t="s">
        <v>1119</v>
      </c>
      <c r="S963" t="s">
        <v>46</v>
      </c>
      <c r="T963" t="s">
        <v>46</v>
      </c>
      <c r="U963" s="4">
        <v>323.23</v>
      </c>
      <c r="V963" t="str">
        <f t="shared" si="14"/>
        <v>C047</v>
      </c>
      <c r="W963" t="str">
        <f>VLOOKUP(K963,[1]Info!A$1:B$21,2,0)</f>
        <v>Carregadeira</v>
      </c>
      <c r="X963" t="str">
        <f>IF(M963="109595132","Material de Limpeza-Não Avaliar",IF(AND(K963="F20",M963&lt;&gt;109595132),IF(RIGHT(F963,2)="70","Infraestrutura de Planta","Prédios e Instalações"),IF(K963="FPC",VLOOKUP(F963,[1]Info!$E$2:$F$11,2,0),IF(K963="FGP",VLOOKUP(F963,[1]Info!$E$9:$F$10,2,0),IF(K963="F10",VLOOKUP(F963,[1]Info!$E$2:$F$3,2,0),VLOOKUP(K963,[1]Info!$A$1:$B$21,2,0))))))</f>
        <v>Carregadeira Plantas</v>
      </c>
    </row>
    <row r="964" spans="1:24" x14ac:dyDescent="0.35">
      <c r="A964" t="s">
        <v>41</v>
      </c>
      <c r="B964" t="s">
        <v>73</v>
      </c>
      <c r="C964" t="s">
        <v>74</v>
      </c>
      <c r="D964" t="s">
        <v>94</v>
      </c>
      <c r="E964" t="s">
        <v>52</v>
      </c>
      <c r="F964">
        <v>7098131</v>
      </c>
      <c r="G964" t="s">
        <v>75</v>
      </c>
      <c r="H964" t="s">
        <v>43</v>
      </c>
      <c r="I964" t="s">
        <v>44</v>
      </c>
      <c r="J964" t="s">
        <v>50</v>
      </c>
      <c r="K964" t="s">
        <v>3</v>
      </c>
      <c r="L964" t="s">
        <v>62</v>
      </c>
      <c r="M964" t="s">
        <v>1172</v>
      </c>
      <c r="N964" t="s">
        <v>1173</v>
      </c>
      <c r="O964" t="s">
        <v>97</v>
      </c>
      <c r="P964" t="s">
        <v>383</v>
      </c>
      <c r="Q964" t="s">
        <v>1120</v>
      </c>
      <c r="R964" t="s">
        <v>1121</v>
      </c>
      <c r="S964" t="s">
        <v>46</v>
      </c>
      <c r="T964" t="s">
        <v>46</v>
      </c>
      <c r="U964" s="4">
        <v>176.54</v>
      </c>
      <c r="V964" t="str">
        <f t="shared" ref="V964:V1027" si="15">RIGHT(O964,4)</f>
        <v>C047</v>
      </c>
      <c r="W964" t="str">
        <f>VLOOKUP(K964,[1]Info!A$1:B$21,2,0)</f>
        <v>Carregadeira</v>
      </c>
      <c r="X964" t="str">
        <f>IF(M964="109595132","Material de Limpeza-Não Avaliar",IF(AND(K964="F20",M964&lt;&gt;109595132),IF(RIGHT(F964,2)="70","Infraestrutura de Planta","Prédios e Instalações"),IF(K964="FPC",VLOOKUP(F964,[1]Info!$E$2:$F$11,2,0),IF(K964="FGP",VLOOKUP(F964,[1]Info!$E$9:$F$10,2,0),IF(K964="F10",VLOOKUP(F964,[1]Info!$E$2:$F$3,2,0),VLOOKUP(K964,[1]Info!$A$1:$B$21,2,0))))))</f>
        <v>Carregadeira Plantas</v>
      </c>
    </row>
    <row r="965" spans="1:24" x14ac:dyDescent="0.35">
      <c r="A965" t="s">
        <v>41</v>
      </c>
      <c r="B965" t="s">
        <v>73</v>
      </c>
      <c r="C965" t="s">
        <v>74</v>
      </c>
      <c r="D965" t="s">
        <v>94</v>
      </c>
      <c r="E965" t="s">
        <v>52</v>
      </c>
      <c r="F965">
        <v>7098131</v>
      </c>
      <c r="G965" t="s">
        <v>75</v>
      </c>
      <c r="H965" t="s">
        <v>43</v>
      </c>
      <c r="I965" t="s">
        <v>44</v>
      </c>
      <c r="J965" t="s">
        <v>50</v>
      </c>
      <c r="K965" t="s">
        <v>3</v>
      </c>
      <c r="L965" t="s">
        <v>62</v>
      </c>
      <c r="M965" t="s">
        <v>1172</v>
      </c>
      <c r="N965" t="s">
        <v>1173</v>
      </c>
      <c r="O965" t="s">
        <v>97</v>
      </c>
      <c r="P965" t="s">
        <v>383</v>
      </c>
      <c r="Q965" t="s">
        <v>1122</v>
      </c>
      <c r="R965" t="s">
        <v>1123</v>
      </c>
      <c r="S965" t="s">
        <v>46</v>
      </c>
      <c r="T965" t="s">
        <v>46</v>
      </c>
      <c r="U965" s="4">
        <v>119.05</v>
      </c>
      <c r="V965" t="str">
        <f t="shared" si="15"/>
        <v>C047</v>
      </c>
      <c r="W965" t="str">
        <f>VLOOKUP(K965,[1]Info!A$1:B$21,2,0)</f>
        <v>Carregadeira</v>
      </c>
      <c r="X965" t="str">
        <f>IF(M965="109595132","Material de Limpeza-Não Avaliar",IF(AND(K965="F20",M965&lt;&gt;109595132),IF(RIGHT(F965,2)="70","Infraestrutura de Planta","Prédios e Instalações"),IF(K965="FPC",VLOOKUP(F965,[1]Info!$E$2:$F$11,2,0),IF(K965="FGP",VLOOKUP(F965,[1]Info!$E$9:$F$10,2,0),IF(K965="F10",VLOOKUP(F965,[1]Info!$E$2:$F$3,2,0),VLOOKUP(K965,[1]Info!$A$1:$B$21,2,0))))))</f>
        <v>Carregadeira Plantas</v>
      </c>
    </row>
    <row r="966" spans="1:24" x14ac:dyDescent="0.35">
      <c r="A966" t="s">
        <v>41</v>
      </c>
      <c r="B966" t="s">
        <v>73</v>
      </c>
      <c r="C966" t="s">
        <v>74</v>
      </c>
      <c r="D966" t="s">
        <v>94</v>
      </c>
      <c r="E966" t="s">
        <v>52</v>
      </c>
      <c r="F966">
        <v>7098131</v>
      </c>
      <c r="G966" t="s">
        <v>75</v>
      </c>
      <c r="H966" t="s">
        <v>43</v>
      </c>
      <c r="I966" t="s">
        <v>44</v>
      </c>
      <c r="J966" t="s">
        <v>50</v>
      </c>
      <c r="K966" t="s">
        <v>3</v>
      </c>
      <c r="L966" t="s">
        <v>62</v>
      </c>
      <c r="M966" t="s">
        <v>1172</v>
      </c>
      <c r="N966" t="s">
        <v>1173</v>
      </c>
      <c r="O966" t="s">
        <v>97</v>
      </c>
      <c r="P966" t="s">
        <v>383</v>
      </c>
      <c r="Q966" t="s">
        <v>1124</v>
      </c>
      <c r="R966" t="s">
        <v>1125</v>
      </c>
      <c r="S966" t="s">
        <v>46</v>
      </c>
      <c r="T966" t="s">
        <v>46</v>
      </c>
      <c r="U966" s="4">
        <v>629.54999999999995</v>
      </c>
      <c r="V966" t="str">
        <f t="shared" si="15"/>
        <v>C047</v>
      </c>
      <c r="W966" t="str">
        <f>VLOOKUP(K966,[1]Info!A$1:B$21,2,0)</f>
        <v>Carregadeira</v>
      </c>
      <c r="X966" t="str">
        <f>IF(M966="109595132","Material de Limpeza-Não Avaliar",IF(AND(K966="F20",M966&lt;&gt;109595132),IF(RIGHT(F966,2)="70","Infraestrutura de Planta","Prédios e Instalações"),IF(K966="FPC",VLOOKUP(F966,[1]Info!$E$2:$F$11,2,0),IF(K966="FGP",VLOOKUP(F966,[1]Info!$E$9:$F$10,2,0),IF(K966="F10",VLOOKUP(F966,[1]Info!$E$2:$F$3,2,0),VLOOKUP(K966,[1]Info!$A$1:$B$21,2,0))))))</f>
        <v>Carregadeira Plantas</v>
      </c>
    </row>
    <row r="967" spans="1:24" x14ac:dyDescent="0.35">
      <c r="A967" t="s">
        <v>41</v>
      </c>
      <c r="B967" t="s">
        <v>73</v>
      </c>
      <c r="C967" t="s">
        <v>74</v>
      </c>
      <c r="D967" t="s">
        <v>94</v>
      </c>
      <c r="E967" t="s">
        <v>52</v>
      </c>
      <c r="F967">
        <v>7098131</v>
      </c>
      <c r="G967" t="s">
        <v>75</v>
      </c>
      <c r="H967" t="s">
        <v>43</v>
      </c>
      <c r="I967" t="s">
        <v>44</v>
      </c>
      <c r="J967" t="s">
        <v>50</v>
      </c>
      <c r="K967" t="s">
        <v>3</v>
      </c>
      <c r="L967" t="s">
        <v>62</v>
      </c>
      <c r="M967" t="s">
        <v>1172</v>
      </c>
      <c r="N967" t="s">
        <v>1173</v>
      </c>
      <c r="O967" t="s">
        <v>97</v>
      </c>
      <c r="P967" t="s">
        <v>383</v>
      </c>
      <c r="Q967" t="s">
        <v>154</v>
      </c>
      <c r="R967" t="s">
        <v>155</v>
      </c>
      <c r="S967" t="s">
        <v>46</v>
      </c>
      <c r="T967" t="s">
        <v>46</v>
      </c>
      <c r="U967" s="4">
        <v>81.22</v>
      </c>
      <c r="V967" t="str">
        <f t="shared" si="15"/>
        <v>C047</v>
      </c>
      <c r="W967" t="str">
        <f>VLOOKUP(K967,[1]Info!A$1:B$21,2,0)</f>
        <v>Carregadeira</v>
      </c>
      <c r="X967" t="str">
        <f>IF(M967="109595132","Material de Limpeza-Não Avaliar",IF(AND(K967="F20",M967&lt;&gt;109595132),IF(RIGHT(F967,2)="70","Infraestrutura de Planta","Prédios e Instalações"),IF(K967="FPC",VLOOKUP(F967,[1]Info!$E$2:$F$11,2,0),IF(K967="FGP",VLOOKUP(F967,[1]Info!$E$9:$F$10,2,0),IF(K967="F10",VLOOKUP(F967,[1]Info!$E$2:$F$3,2,0),VLOOKUP(K967,[1]Info!$A$1:$B$21,2,0))))))</f>
        <v>Carregadeira Plantas</v>
      </c>
    </row>
    <row r="968" spans="1:24" x14ac:dyDescent="0.35">
      <c r="A968" t="s">
        <v>41</v>
      </c>
      <c r="B968" t="s">
        <v>73</v>
      </c>
      <c r="C968" t="s">
        <v>74</v>
      </c>
      <c r="D968" t="s">
        <v>94</v>
      </c>
      <c r="E968" t="s">
        <v>52</v>
      </c>
      <c r="F968">
        <v>7098131</v>
      </c>
      <c r="G968" t="s">
        <v>75</v>
      </c>
      <c r="H968" t="s">
        <v>43</v>
      </c>
      <c r="I968" t="s">
        <v>44</v>
      </c>
      <c r="J968" t="s">
        <v>50</v>
      </c>
      <c r="K968" t="s">
        <v>3</v>
      </c>
      <c r="L968" t="s">
        <v>62</v>
      </c>
      <c r="M968" t="s">
        <v>1172</v>
      </c>
      <c r="N968" t="s">
        <v>1173</v>
      </c>
      <c r="O968" t="s">
        <v>97</v>
      </c>
      <c r="P968" t="s">
        <v>383</v>
      </c>
      <c r="Q968" t="s">
        <v>156</v>
      </c>
      <c r="R968" t="s">
        <v>157</v>
      </c>
      <c r="S968" t="s">
        <v>46</v>
      </c>
      <c r="T968" t="s">
        <v>46</v>
      </c>
      <c r="U968" s="4">
        <v>83.35</v>
      </c>
      <c r="V968" t="str">
        <f t="shared" si="15"/>
        <v>C047</v>
      </c>
      <c r="W968" t="str">
        <f>VLOOKUP(K968,[1]Info!A$1:B$21,2,0)</f>
        <v>Carregadeira</v>
      </c>
      <c r="X968" t="str">
        <f>IF(M968="109595132","Material de Limpeza-Não Avaliar",IF(AND(K968="F20",M968&lt;&gt;109595132),IF(RIGHT(F968,2)="70","Infraestrutura de Planta","Prédios e Instalações"),IF(K968="FPC",VLOOKUP(F968,[1]Info!$E$2:$F$11,2,0),IF(K968="FGP",VLOOKUP(F968,[1]Info!$E$9:$F$10,2,0),IF(K968="F10",VLOOKUP(F968,[1]Info!$E$2:$F$3,2,0),VLOOKUP(K968,[1]Info!$A$1:$B$21,2,0))))))</f>
        <v>Carregadeira Plantas</v>
      </c>
    </row>
    <row r="969" spans="1:24" x14ac:dyDescent="0.35">
      <c r="A969" t="s">
        <v>41</v>
      </c>
      <c r="B969" t="s">
        <v>73</v>
      </c>
      <c r="C969" t="s">
        <v>74</v>
      </c>
      <c r="D969" t="s">
        <v>94</v>
      </c>
      <c r="E969" t="s">
        <v>52</v>
      </c>
      <c r="F969">
        <v>7098131</v>
      </c>
      <c r="G969" t="s">
        <v>75</v>
      </c>
      <c r="H969" t="s">
        <v>43</v>
      </c>
      <c r="I969" t="s">
        <v>44</v>
      </c>
      <c r="J969" t="s">
        <v>50</v>
      </c>
      <c r="K969" t="s">
        <v>3</v>
      </c>
      <c r="L969" t="s">
        <v>62</v>
      </c>
      <c r="M969" t="s">
        <v>1172</v>
      </c>
      <c r="N969" t="s">
        <v>1173</v>
      </c>
      <c r="O969" t="s">
        <v>97</v>
      </c>
      <c r="P969" t="s">
        <v>383</v>
      </c>
      <c r="Q969" t="s">
        <v>1167</v>
      </c>
      <c r="R969" t="s">
        <v>1168</v>
      </c>
      <c r="S969" t="s">
        <v>46</v>
      </c>
      <c r="T969" t="s">
        <v>46</v>
      </c>
      <c r="U969" s="4">
        <v>150.13</v>
      </c>
      <c r="V969" t="str">
        <f t="shared" si="15"/>
        <v>C047</v>
      </c>
      <c r="W969" t="str">
        <f>VLOOKUP(K969,[1]Info!A$1:B$21,2,0)</f>
        <v>Carregadeira</v>
      </c>
      <c r="X969" t="str">
        <f>IF(M969="109595132","Material de Limpeza-Não Avaliar",IF(AND(K969="F20",M969&lt;&gt;109595132),IF(RIGHT(F969,2)="70","Infraestrutura de Planta","Prédios e Instalações"),IF(K969="FPC",VLOOKUP(F969,[1]Info!$E$2:$F$11,2,0),IF(K969="FGP",VLOOKUP(F969,[1]Info!$E$9:$F$10,2,0),IF(K969="F10",VLOOKUP(F969,[1]Info!$E$2:$F$3,2,0),VLOOKUP(K969,[1]Info!$A$1:$B$21,2,0))))))</f>
        <v>Carregadeira Plantas</v>
      </c>
    </row>
    <row r="970" spans="1:24" x14ac:dyDescent="0.35">
      <c r="A970" t="s">
        <v>41</v>
      </c>
      <c r="B970" t="s">
        <v>73</v>
      </c>
      <c r="C970" t="s">
        <v>74</v>
      </c>
      <c r="D970" t="s">
        <v>94</v>
      </c>
      <c r="E970" t="s">
        <v>52</v>
      </c>
      <c r="F970">
        <v>7098131</v>
      </c>
      <c r="G970" t="s">
        <v>75</v>
      </c>
      <c r="H970" t="s">
        <v>43</v>
      </c>
      <c r="I970" t="s">
        <v>44</v>
      </c>
      <c r="J970" t="s">
        <v>50</v>
      </c>
      <c r="K970" t="s">
        <v>3</v>
      </c>
      <c r="L970" t="s">
        <v>62</v>
      </c>
      <c r="M970" t="s">
        <v>1172</v>
      </c>
      <c r="N970" t="s">
        <v>1173</v>
      </c>
      <c r="O970" t="s">
        <v>97</v>
      </c>
      <c r="P970" t="s">
        <v>383</v>
      </c>
      <c r="Q970" t="s">
        <v>158</v>
      </c>
      <c r="R970" t="s">
        <v>159</v>
      </c>
      <c r="S970" t="s">
        <v>46</v>
      </c>
      <c r="T970" t="s">
        <v>46</v>
      </c>
      <c r="U970" s="4">
        <v>796.13</v>
      </c>
      <c r="V970" t="str">
        <f t="shared" si="15"/>
        <v>C047</v>
      </c>
      <c r="W970" t="str">
        <f>VLOOKUP(K970,[1]Info!A$1:B$21,2,0)</f>
        <v>Carregadeira</v>
      </c>
      <c r="X970" t="str">
        <f>IF(M970="109595132","Material de Limpeza-Não Avaliar",IF(AND(K970="F20",M970&lt;&gt;109595132),IF(RIGHT(F970,2)="70","Infraestrutura de Planta","Prédios e Instalações"),IF(K970="FPC",VLOOKUP(F970,[1]Info!$E$2:$F$11,2,0),IF(K970="FGP",VLOOKUP(F970,[1]Info!$E$9:$F$10,2,0),IF(K970="F10",VLOOKUP(F970,[1]Info!$E$2:$F$3,2,0),VLOOKUP(K970,[1]Info!$A$1:$B$21,2,0))))))</f>
        <v>Carregadeira Plantas</v>
      </c>
    </row>
    <row r="971" spans="1:24" x14ac:dyDescent="0.35">
      <c r="A971" t="s">
        <v>41</v>
      </c>
      <c r="B971" t="s">
        <v>73</v>
      </c>
      <c r="C971" t="s">
        <v>74</v>
      </c>
      <c r="D971" t="s">
        <v>94</v>
      </c>
      <c r="E971" t="s">
        <v>52</v>
      </c>
      <c r="F971">
        <v>7098131</v>
      </c>
      <c r="G971" t="s">
        <v>75</v>
      </c>
      <c r="H971" t="s">
        <v>43</v>
      </c>
      <c r="I971" t="s">
        <v>44</v>
      </c>
      <c r="J971" t="s">
        <v>50</v>
      </c>
      <c r="K971" t="s">
        <v>3</v>
      </c>
      <c r="L971" t="s">
        <v>62</v>
      </c>
      <c r="M971" t="s">
        <v>1172</v>
      </c>
      <c r="N971" t="s">
        <v>1173</v>
      </c>
      <c r="O971" t="s">
        <v>97</v>
      </c>
      <c r="P971" t="s">
        <v>383</v>
      </c>
      <c r="Q971" t="s">
        <v>160</v>
      </c>
      <c r="R971" t="s">
        <v>161</v>
      </c>
      <c r="S971" t="s">
        <v>46</v>
      </c>
      <c r="T971" t="s">
        <v>46</v>
      </c>
      <c r="U971" s="4">
        <v>385.32</v>
      </c>
      <c r="V971" t="str">
        <f t="shared" si="15"/>
        <v>C047</v>
      </c>
      <c r="W971" t="str">
        <f>VLOOKUP(K971,[1]Info!A$1:B$21,2,0)</f>
        <v>Carregadeira</v>
      </c>
      <c r="X971" t="str">
        <f>IF(M971="109595132","Material de Limpeza-Não Avaliar",IF(AND(K971="F20",M971&lt;&gt;109595132),IF(RIGHT(F971,2)="70","Infraestrutura de Planta","Prédios e Instalações"),IF(K971="FPC",VLOOKUP(F971,[1]Info!$E$2:$F$11,2,0),IF(K971="FGP",VLOOKUP(F971,[1]Info!$E$9:$F$10,2,0),IF(K971="F10",VLOOKUP(F971,[1]Info!$E$2:$F$3,2,0),VLOOKUP(K971,[1]Info!$A$1:$B$21,2,0))))))</f>
        <v>Carregadeira Plantas</v>
      </c>
    </row>
    <row r="972" spans="1:24" x14ac:dyDescent="0.35">
      <c r="A972" t="s">
        <v>41</v>
      </c>
      <c r="B972" t="s">
        <v>73</v>
      </c>
      <c r="C972" t="s">
        <v>74</v>
      </c>
      <c r="D972" t="s">
        <v>94</v>
      </c>
      <c r="E972" t="s">
        <v>52</v>
      </c>
      <c r="F972">
        <v>7098131</v>
      </c>
      <c r="G972" t="s">
        <v>75</v>
      </c>
      <c r="H972" t="s">
        <v>43</v>
      </c>
      <c r="I972" t="s">
        <v>44</v>
      </c>
      <c r="J972" t="s">
        <v>50</v>
      </c>
      <c r="K972" t="s">
        <v>3</v>
      </c>
      <c r="L972" t="s">
        <v>62</v>
      </c>
      <c r="M972" t="s">
        <v>376</v>
      </c>
      <c r="N972" t="s">
        <v>377</v>
      </c>
      <c r="O972" t="s">
        <v>101</v>
      </c>
      <c r="P972" t="s">
        <v>383</v>
      </c>
      <c r="Q972" t="s">
        <v>1112</v>
      </c>
      <c r="R972" t="s">
        <v>1113</v>
      </c>
      <c r="S972" t="s">
        <v>46</v>
      </c>
      <c r="T972" t="s">
        <v>46</v>
      </c>
      <c r="U972" s="4">
        <v>129.34</v>
      </c>
      <c r="V972" t="str">
        <f t="shared" si="15"/>
        <v>C031</v>
      </c>
      <c r="W972" t="str">
        <f>VLOOKUP(K972,[1]Info!A$1:B$21,2,0)</f>
        <v>Carregadeira</v>
      </c>
      <c r="X972" t="str">
        <f>IF(M972="109595132","Material de Limpeza-Não Avaliar",IF(AND(K972="F20",M972&lt;&gt;109595132),IF(RIGHT(F972,2)="70","Infraestrutura de Planta","Prédios e Instalações"),IF(K972="FPC",VLOOKUP(F972,[1]Info!$E$2:$F$11,2,0),IF(K972="FGP",VLOOKUP(F972,[1]Info!$E$9:$F$10,2,0),IF(K972="F10",VLOOKUP(F972,[1]Info!$E$2:$F$3,2,0),VLOOKUP(K972,[1]Info!$A$1:$B$21,2,0))))))</f>
        <v>Carregadeira Plantas</v>
      </c>
    </row>
    <row r="973" spans="1:24" x14ac:dyDescent="0.35">
      <c r="A973" t="s">
        <v>41</v>
      </c>
      <c r="B973" t="s">
        <v>73</v>
      </c>
      <c r="C973" t="s">
        <v>74</v>
      </c>
      <c r="D973" t="s">
        <v>94</v>
      </c>
      <c r="E973" t="s">
        <v>52</v>
      </c>
      <c r="F973">
        <v>7098131</v>
      </c>
      <c r="G973" t="s">
        <v>75</v>
      </c>
      <c r="H973" t="s">
        <v>43</v>
      </c>
      <c r="I973" t="s">
        <v>44</v>
      </c>
      <c r="J973" t="s">
        <v>50</v>
      </c>
      <c r="K973" t="s">
        <v>3</v>
      </c>
      <c r="L973" t="s">
        <v>62</v>
      </c>
      <c r="M973" t="s">
        <v>376</v>
      </c>
      <c r="N973" t="s">
        <v>377</v>
      </c>
      <c r="O973" t="s">
        <v>101</v>
      </c>
      <c r="P973" t="s">
        <v>383</v>
      </c>
      <c r="Q973" t="s">
        <v>1114</v>
      </c>
      <c r="R973" t="s">
        <v>1115</v>
      </c>
      <c r="S973" t="s">
        <v>46</v>
      </c>
      <c r="T973" t="s">
        <v>46</v>
      </c>
      <c r="U973" s="4">
        <v>52.26</v>
      </c>
      <c r="V973" t="str">
        <f t="shared" si="15"/>
        <v>C031</v>
      </c>
      <c r="W973" t="str">
        <f>VLOOKUP(K973,[1]Info!A$1:B$21,2,0)</f>
        <v>Carregadeira</v>
      </c>
      <c r="X973" t="str">
        <f>IF(M973="109595132","Material de Limpeza-Não Avaliar",IF(AND(K973="F20",M973&lt;&gt;109595132),IF(RIGHT(F973,2)="70","Infraestrutura de Planta","Prédios e Instalações"),IF(K973="FPC",VLOOKUP(F973,[1]Info!$E$2:$F$11,2,0),IF(K973="FGP",VLOOKUP(F973,[1]Info!$E$9:$F$10,2,0),IF(K973="F10",VLOOKUP(F973,[1]Info!$E$2:$F$3,2,0),VLOOKUP(K973,[1]Info!$A$1:$B$21,2,0))))))</f>
        <v>Carregadeira Plantas</v>
      </c>
    </row>
    <row r="974" spans="1:24" x14ac:dyDescent="0.35">
      <c r="A974" t="s">
        <v>41</v>
      </c>
      <c r="B974" t="s">
        <v>73</v>
      </c>
      <c r="C974" t="s">
        <v>74</v>
      </c>
      <c r="D974" t="s">
        <v>94</v>
      </c>
      <c r="E974" t="s">
        <v>52</v>
      </c>
      <c r="F974">
        <v>7098131</v>
      </c>
      <c r="G974" t="s">
        <v>75</v>
      </c>
      <c r="H974" t="s">
        <v>43</v>
      </c>
      <c r="I974" t="s">
        <v>44</v>
      </c>
      <c r="J974" t="s">
        <v>50</v>
      </c>
      <c r="K974" t="s">
        <v>3</v>
      </c>
      <c r="L974" t="s">
        <v>62</v>
      </c>
      <c r="M974" t="s">
        <v>376</v>
      </c>
      <c r="N974" t="s">
        <v>377</v>
      </c>
      <c r="O974" t="s">
        <v>101</v>
      </c>
      <c r="P974" t="s">
        <v>383</v>
      </c>
      <c r="Q974" t="s">
        <v>1116</v>
      </c>
      <c r="R974" t="s">
        <v>1117</v>
      </c>
      <c r="S974" t="s">
        <v>46</v>
      </c>
      <c r="T974" t="s">
        <v>46</v>
      </c>
      <c r="U974" s="4">
        <v>182.16</v>
      </c>
      <c r="V974" t="str">
        <f t="shared" si="15"/>
        <v>C031</v>
      </c>
      <c r="W974" t="str">
        <f>VLOOKUP(K974,[1]Info!A$1:B$21,2,0)</f>
        <v>Carregadeira</v>
      </c>
      <c r="X974" t="str">
        <f>IF(M974="109595132","Material de Limpeza-Não Avaliar",IF(AND(K974="F20",M974&lt;&gt;109595132),IF(RIGHT(F974,2)="70","Infraestrutura de Planta","Prédios e Instalações"),IF(K974="FPC",VLOOKUP(F974,[1]Info!$E$2:$F$11,2,0),IF(K974="FGP",VLOOKUP(F974,[1]Info!$E$9:$F$10,2,0),IF(K974="F10",VLOOKUP(F974,[1]Info!$E$2:$F$3,2,0),VLOOKUP(K974,[1]Info!$A$1:$B$21,2,0))))))</f>
        <v>Carregadeira Plantas</v>
      </c>
    </row>
    <row r="975" spans="1:24" x14ac:dyDescent="0.35">
      <c r="A975" t="s">
        <v>41</v>
      </c>
      <c r="B975" t="s">
        <v>73</v>
      </c>
      <c r="C975" t="s">
        <v>74</v>
      </c>
      <c r="D975" t="s">
        <v>94</v>
      </c>
      <c r="E975" t="s">
        <v>52</v>
      </c>
      <c r="F975">
        <v>7098131</v>
      </c>
      <c r="G975" t="s">
        <v>75</v>
      </c>
      <c r="H975" t="s">
        <v>43</v>
      </c>
      <c r="I975" t="s">
        <v>44</v>
      </c>
      <c r="J975" t="s">
        <v>50</v>
      </c>
      <c r="K975" t="s">
        <v>3</v>
      </c>
      <c r="L975" t="s">
        <v>62</v>
      </c>
      <c r="M975" t="s">
        <v>376</v>
      </c>
      <c r="N975" t="s">
        <v>377</v>
      </c>
      <c r="O975" t="s">
        <v>101</v>
      </c>
      <c r="P975" t="s">
        <v>383</v>
      </c>
      <c r="Q975" t="s">
        <v>228</v>
      </c>
      <c r="R975" t="s">
        <v>229</v>
      </c>
      <c r="S975" t="s">
        <v>46</v>
      </c>
      <c r="T975" t="s">
        <v>46</v>
      </c>
      <c r="U975" s="4">
        <v>98.23</v>
      </c>
      <c r="V975" t="str">
        <f t="shared" si="15"/>
        <v>C031</v>
      </c>
      <c r="W975" t="str">
        <f>VLOOKUP(K975,[1]Info!A$1:B$21,2,0)</f>
        <v>Carregadeira</v>
      </c>
      <c r="X975" t="str">
        <f>IF(M975="109595132","Material de Limpeza-Não Avaliar",IF(AND(K975="F20",M975&lt;&gt;109595132),IF(RIGHT(F975,2)="70","Infraestrutura de Planta","Prédios e Instalações"),IF(K975="FPC",VLOOKUP(F975,[1]Info!$E$2:$F$11,2,0),IF(K975="FGP",VLOOKUP(F975,[1]Info!$E$9:$F$10,2,0),IF(K975="F10",VLOOKUP(F975,[1]Info!$E$2:$F$3,2,0),VLOOKUP(K975,[1]Info!$A$1:$B$21,2,0))))))</f>
        <v>Carregadeira Plantas</v>
      </c>
    </row>
    <row r="976" spans="1:24" x14ac:dyDescent="0.35">
      <c r="A976" t="s">
        <v>41</v>
      </c>
      <c r="B976" t="s">
        <v>73</v>
      </c>
      <c r="C976" t="s">
        <v>74</v>
      </c>
      <c r="D976" t="s">
        <v>94</v>
      </c>
      <c r="E976" t="s">
        <v>52</v>
      </c>
      <c r="F976">
        <v>7098131</v>
      </c>
      <c r="G976" t="s">
        <v>75</v>
      </c>
      <c r="H976" t="s">
        <v>43</v>
      </c>
      <c r="I976" t="s">
        <v>44</v>
      </c>
      <c r="J976" t="s">
        <v>50</v>
      </c>
      <c r="K976" t="s">
        <v>3</v>
      </c>
      <c r="L976" t="s">
        <v>62</v>
      </c>
      <c r="M976" t="s">
        <v>376</v>
      </c>
      <c r="N976" t="s">
        <v>377</v>
      </c>
      <c r="O976" t="s">
        <v>101</v>
      </c>
      <c r="P976" t="s">
        <v>383</v>
      </c>
      <c r="Q976" t="s">
        <v>1118</v>
      </c>
      <c r="R976" t="s">
        <v>1119</v>
      </c>
      <c r="S976" t="s">
        <v>46</v>
      </c>
      <c r="T976" t="s">
        <v>46</v>
      </c>
      <c r="U976" s="4">
        <v>323.23</v>
      </c>
      <c r="V976" t="str">
        <f t="shared" si="15"/>
        <v>C031</v>
      </c>
      <c r="W976" t="str">
        <f>VLOOKUP(K976,[1]Info!A$1:B$21,2,0)</f>
        <v>Carregadeira</v>
      </c>
      <c r="X976" t="str">
        <f>IF(M976="109595132","Material de Limpeza-Não Avaliar",IF(AND(K976="F20",M976&lt;&gt;109595132),IF(RIGHT(F976,2)="70","Infraestrutura de Planta","Prédios e Instalações"),IF(K976="FPC",VLOOKUP(F976,[1]Info!$E$2:$F$11,2,0),IF(K976="FGP",VLOOKUP(F976,[1]Info!$E$9:$F$10,2,0),IF(K976="F10",VLOOKUP(F976,[1]Info!$E$2:$F$3,2,0),VLOOKUP(K976,[1]Info!$A$1:$B$21,2,0))))))</f>
        <v>Carregadeira Plantas</v>
      </c>
    </row>
    <row r="977" spans="1:24" x14ac:dyDescent="0.35">
      <c r="A977" t="s">
        <v>41</v>
      </c>
      <c r="B977" t="s">
        <v>73</v>
      </c>
      <c r="C977" t="s">
        <v>74</v>
      </c>
      <c r="D977" t="s">
        <v>94</v>
      </c>
      <c r="E977" t="s">
        <v>52</v>
      </c>
      <c r="F977">
        <v>7098131</v>
      </c>
      <c r="G977" t="s">
        <v>75</v>
      </c>
      <c r="H977" t="s">
        <v>43</v>
      </c>
      <c r="I977" t="s">
        <v>44</v>
      </c>
      <c r="J977" t="s">
        <v>50</v>
      </c>
      <c r="K977" t="s">
        <v>3</v>
      </c>
      <c r="L977" t="s">
        <v>62</v>
      </c>
      <c r="M977" t="s">
        <v>376</v>
      </c>
      <c r="N977" t="s">
        <v>377</v>
      </c>
      <c r="O977" t="s">
        <v>101</v>
      </c>
      <c r="P977" t="s">
        <v>383</v>
      </c>
      <c r="Q977" t="s">
        <v>1120</v>
      </c>
      <c r="R977" t="s">
        <v>1121</v>
      </c>
      <c r="S977" t="s">
        <v>46</v>
      </c>
      <c r="T977" t="s">
        <v>46</v>
      </c>
      <c r="U977" s="4">
        <v>171.04</v>
      </c>
      <c r="V977" t="str">
        <f t="shared" si="15"/>
        <v>C031</v>
      </c>
      <c r="W977" t="str">
        <f>VLOOKUP(K977,[1]Info!A$1:B$21,2,0)</f>
        <v>Carregadeira</v>
      </c>
      <c r="X977" t="str">
        <f>IF(M977="109595132","Material de Limpeza-Não Avaliar",IF(AND(K977="F20",M977&lt;&gt;109595132),IF(RIGHT(F977,2)="70","Infraestrutura de Planta","Prédios e Instalações"),IF(K977="FPC",VLOOKUP(F977,[1]Info!$E$2:$F$11,2,0),IF(K977="FGP",VLOOKUP(F977,[1]Info!$E$9:$F$10,2,0),IF(K977="F10",VLOOKUP(F977,[1]Info!$E$2:$F$3,2,0),VLOOKUP(K977,[1]Info!$A$1:$B$21,2,0))))))</f>
        <v>Carregadeira Plantas</v>
      </c>
    </row>
    <row r="978" spans="1:24" x14ac:dyDescent="0.35">
      <c r="A978" t="s">
        <v>41</v>
      </c>
      <c r="B978" t="s">
        <v>73</v>
      </c>
      <c r="C978" t="s">
        <v>74</v>
      </c>
      <c r="D978" t="s">
        <v>94</v>
      </c>
      <c r="E978" t="s">
        <v>52</v>
      </c>
      <c r="F978">
        <v>7098131</v>
      </c>
      <c r="G978" t="s">
        <v>75</v>
      </c>
      <c r="H978" t="s">
        <v>43</v>
      </c>
      <c r="I978" t="s">
        <v>44</v>
      </c>
      <c r="J978" t="s">
        <v>50</v>
      </c>
      <c r="K978" t="s">
        <v>3</v>
      </c>
      <c r="L978" t="s">
        <v>62</v>
      </c>
      <c r="M978" t="s">
        <v>376</v>
      </c>
      <c r="N978" t="s">
        <v>377</v>
      </c>
      <c r="O978" t="s">
        <v>101</v>
      </c>
      <c r="P978" t="s">
        <v>383</v>
      </c>
      <c r="Q978" t="s">
        <v>1122</v>
      </c>
      <c r="R978" t="s">
        <v>1123</v>
      </c>
      <c r="S978" t="s">
        <v>46</v>
      </c>
      <c r="T978" t="s">
        <v>46</v>
      </c>
      <c r="U978" s="4">
        <v>125.63</v>
      </c>
      <c r="V978" t="str">
        <f t="shared" si="15"/>
        <v>C031</v>
      </c>
      <c r="W978" t="str">
        <f>VLOOKUP(K978,[1]Info!A$1:B$21,2,0)</f>
        <v>Carregadeira</v>
      </c>
      <c r="X978" t="str">
        <f>IF(M978="109595132","Material de Limpeza-Não Avaliar",IF(AND(K978="F20",M978&lt;&gt;109595132),IF(RIGHT(F978,2)="70","Infraestrutura de Planta","Prédios e Instalações"),IF(K978="FPC",VLOOKUP(F978,[1]Info!$E$2:$F$11,2,0),IF(K978="FGP",VLOOKUP(F978,[1]Info!$E$9:$F$10,2,0),IF(K978="F10",VLOOKUP(F978,[1]Info!$E$2:$F$3,2,0),VLOOKUP(K978,[1]Info!$A$1:$B$21,2,0))))))</f>
        <v>Carregadeira Plantas</v>
      </c>
    </row>
    <row r="979" spans="1:24" x14ac:dyDescent="0.35">
      <c r="A979" t="s">
        <v>41</v>
      </c>
      <c r="B979" t="s">
        <v>73</v>
      </c>
      <c r="C979" t="s">
        <v>74</v>
      </c>
      <c r="D979" t="s">
        <v>94</v>
      </c>
      <c r="E979" t="s">
        <v>52</v>
      </c>
      <c r="F979">
        <v>7098131</v>
      </c>
      <c r="G979" t="s">
        <v>75</v>
      </c>
      <c r="H979" t="s">
        <v>43</v>
      </c>
      <c r="I979" t="s">
        <v>44</v>
      </c>
      <c r="J979" t="s">
        <v>50</v>
      </c>
      <c r="K979" t="s">
        <v>3</v>
      </c>
      <c r="L979" t="s">
        <v>62</v>
      </c>
      <c r="M979" t="s">
        <v>376</v>
      </c>
      <c r="N979" t="s">
        <v>377</v>
      </c>
      <c r="O979" t="s">
        <v>101</v>
      </c>
      <c r="P979" t="s">
        <v>383</v>
      </c>
      <c r="Q979" t="s">
        <v>1124</v>
      </c>
      <c r="R979" t="s">
        <v>1125</v>
      </c>
      <c r="S979" t="s">
        <v>46</v>
      </c>
      <c r="T979" t="s">
        <v>46</v>
      </c>
      <c r="U979" s="4">
        <v>629.54999999999995</v>
      </c>
      <c r="V979" t="str">
        <f t="shared" si="15"/>
        <v>C031</v>
      </c>
      <c r="W979" t="str">
        <f>VLOOKUP(K979,[1]Info!A$1:B$21,2,0)</f>
        <v>Carregadeira</v>
      </c>
      <c r="X979" t="str">
        <f>IF(M979="109595132","Material de Limpeza-Não Avaliar",IF(AND(K979="F20",M979&lt;&gt;109595132),IF(RIGHT(F979,2)="70","Infraestrutura de Planta","Prédios e Instalações"),IF(K979="FPC",VLOOKUP(F979,[1]Info!$E$2:$F$11,2,0),IF(K979="FGP",VLOOKUP(F979,[1]Info!$E$9:$F$10,2,0),IF(K979="F10",VLOOKUP(F979,[1]Info!$E$2:$F$3,2,0),VLOOKUP(K979,[1]Info!$A$1:$B$21,2,0))))))</f>
        <v>Carregadeira Plantas</v>
      </c>
    </row>
    <row r="980" spans="1:24" x14ac:dyDescent="0.35">
      <c r="A980" t="s">
        <v>41</v>
      </c>
      <c r="B980" t="s">
        <v>73</v>
      </c>
      <c r="C980" t="s">
        <v>74</v>
      </c>
      <c r="D980" t="s">
        <v>94</v>
      </c>
      <c r="E980" t="s">
        <v>52</v>
      </c>
      <c r="F980">
        <v>7098131</v>
      </c>
      <c r="G980" t="s">
        <v>75</v>
      </c>
      <c r="H980" t="s">
        <v>43</v>
      </c>
      <c r="I980" t="s">
        <v>44</v>
      </c>
      <c r="J980" t="s">
        <v>50</v>
      </c>
      <c r="K980" t="s">
        <v>3</v>
      </c>
      <c r="L980" t="s">
        <v>62</v>
      </c>
      <c r="M980" t="s">
        <v>376</v>
      </c>
      <c r="N980" t="s">
        <v>377</v>
      </c>
      <c r="O980" t="s">
        <v>101</v>
      </c>
      <c r="P980" t="s">
        <v>383</v>
      </c>
      <c r="Q980" t="s">
        <v>1167</v>
      </c>
      <c r="R980" t="s">
        <v>1168</v>
      </c>
      <c r="S980" t="s">
        <v>46</v>
      </c>
      <c r="T980" t="s">
        <v>46</v>
      </c>
      <c r="U980" s="4">
        <v>150.13</v>
      </c>
      <c r="V980" t="str">
        <f t="shared" si="15"/>
        <v>C031</v>
      </c>
      <c r="W980" t="str">
        <f>VLOOKUP(K980,[1]Info!A$1:B$21,2,0)</f>
        <v>Carregadeira</v>
      </c>
      <c r="X980" t="str">
        <f>IF(M980="109595132","Material de Limpeza-Não Avaliar",IF(AND(K980="F20",M980&lt;&gt;109595132),IF(RIGHT(F980,2)="70","Infraestrutura de Planta","Prédios e Instalações"),IF(K980="FPC",VLOOKUP(F980,[1]Info!$E$2:$F$11,2,0),IF(K980="FGP",VLOOKUP(F980,[1]Info!$E$9:$F$10,2,0),IF(K980="F10",VLOOKUP(F980,[1]Info!$E$2:$F$3,2,0),VLOOKUP(K980,[1]Info!$A$1:$B$21,2,0))))))</f>
        <v>Carregadeira Plantas</v>
      </c>
    </row>
    <row r="981" spans="1:24" x14ac:dyDescent="0.35">
      <c r="A981" t="s">
        <v>41</v>
      </c>
      <c r="B981" t="s">
        <v>73</v>
      </c>
      <c r="C981" t="s">
        <v>74</v>
      </c>
      <c r="D981" t="s">
        <v>94</v>
      </c>
      <c r="E981" t="s">
        <v>52</v>
      </c>
      <c r="F981">
        <v>7098131</v>
      </c>
      <c r="G981" t="s">
        <v>75</v>
      </c>
      <c r="H981" t="s">
        <v>43</v>
      </c>
      <c r="I981" t="s">
        <v>44</v>
      </c>
      <c r="J981" t="s">
        <v>50</v>
      </c>
      <c r="K981" t="s">
        <v>3</v>
      </c>
      <c r="L981" t="s">
        <v>62</v>
      </c>
      <c r="M981" t="s">
        <v>378</v>
      </c>
      <c r="N981" t="s">
        <v>379</v>
      </c>
      <c r="O981" t="s">
        <v>288</v>
      </c>
      <c r="P981" t="s">
        <v>383</v>
      </c>
      <c r="Q981" t="s">
        <v>1116</v>
      </c>
      <c r="R981" t="s">
        <v>1117</v>
      </c>
      <c r="S981" t="s">
        <v>46</v>
      </c>
      <c r="T981" t="s">
        <v>46</v>
      </c>
      <c r="U981" s="4">
        <v>182.16</v>
      </c>
      <c r="V981" t="str">
        <f t="shared" si="15"/>
        <v>C045</v>
      </c>
      <c r="W981" t="str">
        <f>VLOOKUP(K981,[1]Info!A$1:B$21,2,0)</f>
        <v>Carregadeira</v>
      </c>
      <c r="X981" t="str">
        <f>IF(M981="109595132","Material de Limpeza-Não Avaliar",IF(AND(K981="F20",M981&lt;&gt;109595132),IF(RIGHT(F981,2)="70","Infraestrutura de Planta","Prédios e Instalações"),IF(K981="FPC",VLOOKUP(F981,[1]Info!$E$2:$F$11,2,0),IF(K981="FGP",VLOOKUP(F981,[1]Info!$E$9:$F$10,2,0),IF(K981="F10",VLOOKUP(F981,[1]Info!$E$2:$F$3,2,0),VLOOKUP(K981,[1]Info!$A$1:$B$21,2,0))))))</f>
        <v>Carregadeira Plantas</v>
      </c>
    </row>
    <row r="982" spans="1:24" x14ac:dyDescent="0.35">
      <c r="A982" t="s">
        <v>41</v>
      </c>
      <c r="B982" t="s">
        <v>73</v>
      </c>
      <c r="C982" t="s">
        <v>74</v>
      </c>
      <c r="D982" t="s">
        <v>94</v>
      </c>
      <c r="E982" t="s">
        <v>52</v>
      </c>
      <c r="F982">
        <v>7098131</v>
      </c>
      <c r="G982" t="s">
        <v>75</v>
      </c>
      <c r="H982" t="s">
        <v>43</v>
      </c>
      <c r="I982" t="s">
        <v>44</v>
      </c>
      <c r="J982" t="s">
        <v>50</v>
      </c>
      <c r="K982" t="s">
        <v>3</v>
      </c>
      <c r="L982" t="s">
        <v>62</v>
      </c>
      <c r="M982" t="s">
        <v>378</v>
      </c>
      <c r="N982" t="s">
        <v>379</v>
      </c>
      <c r="O982" t="s">
        <v>288</v>
      </c>
      <c r="P982" t="s">
        <v>383</v>
      </c>
      <c r="Q982" t="s">
        <v>228</v>
      </c>
      <c r="R982" t="s">
        <v>229</v>
      </c>
      <c r="S982" t="s">
        <v>46</v>
      </c>
      <c r="T982" t="s">
        <v>46</v>
      </c>
      <c r="U982" s="4">
        <v>98.24</v>
      </c>
      <c r="V982" t="str">
        <f t="shared" si="15"/>
        <v>C045</v>
      </c>
      <c r="W982" t="str">
        <f>VLOOKUP(K982,[1]Info!A$1:B$21,2,0)</f>
        <v>Carregadeira</v>
      </c>
      <c r="X982" t="str">
        <f>IF(M982="109595132","Material de Limpeza-Não Avaliar",IF(AND(K982="F20",M982&lt;&gt;109595132),IF(RIGHT(F982,2)="70","Infraestrutura de Planta","Prédios e Instalações"),IF(K982="FPC",VLOOKUP(F982,[1]Info!$E$2:$F$11,2,0),IF(K982="FGP",VLOOKUP(F982,[1]Info!$E$9:$F$10,2,0),IF(K982="F10",VLOOKUP(F982,[1]Info!$E$2:$F$3,2,0),VLOOKUP(K982,[1]Info!$A$1:$B$21,2,0))))))</f>
        <v>Carregadeira Plantas</v>
      </c>
    </row>
    <row r="983" spans="1:24" x14ac:dyDescent="0.35">
      <c r="A983" t="s">
        <v>41</v>
      </c>
      <c r="B983" t="s">
        <v>73</v>
      </c>
      <c r="C983" t="s">
        <v>74</v>
      </c>
      <c r="D983" t="s">
        <v>94</v>
      </c>
      <c r="E983" t="s">
        <v>52</v>
      </c>
      <c r="F983">
        <v>7098131</v>
      </c>
      <c r="G983" t="s">
        <v>75</v>
      </c>
      <c r="H983" t="s">
        <v>43</v>
      </c>
      <c r="I983" t="s">
        <v>44</v>
      </c>
      <c r="J983" t="s">
        <v>50</v>
      </c>
      <c r="K983" t="s">
        <v>3</v>
      </c>
      <c r="L983" t="s">
        <v>62</v>
      </c>
      <c r="M983" t="s">
        <v>378</v>
      </c>
      <c r="N983" t="s">
        <v>379</v>
      </c>
      <c r="O983" t="s">
        <v>288</v>
      </c>
      <c r="P983" t="s">
        <v>383</v>
      </c>
      <c r="Q983" t="s">
        <v>1118</v>
      </c>
      <c r="R983" t="s">
        <v>1119</v>
      </c>
      <c r="S983" t="s">
        <v>46</v>
      </c>
      <c r="T983" t="s">
        <v>46</v>
      </c>
      <c r="U983" s="4">
        <v>323.23</v>
      </c>
      <c r="V983" t="str">
        <f t="shared" si="15"/>
        <v>C045</v>
      </c>
      <c r="W983" t="str">
        <f>VLOOKUP(K983,[1]Info!A$1:B$21,2,0)</f>
        <v>Carregadeira</v>
      </c>
      <c r="X983" t="str">
        <f>IF(M983="109595132","Material de Limpeza-Não Avaliar",IF(AND(K983="F20",M983&lt;&gt;109595132),IF(RIGHT(F983,2)="70","Infraestrutura de Planta","Prédios e Instalações"),IF(K983="FPC",VLOOKUP(F983,[1]Info!$E$2:$F$11,2,0),IF(K983="FGP",VLOOKUP(F983,[1]Info!$E$9:$F$10,2,0),IF(K983="F10",VLOOKUP(F983,[1]Info!$E$2:$F$3,2,0),VLOOKUP(K983,[1]Info!$A$1:$B$21,2,0))))))</f>
        <v>Carregadeira Plantas</v>
      </c>
    </row>
    <row r="984" spans="1:24" x14ac:dyDescent="0.35">
      <c r="A984" t="s">
        <v>41</v>
      </c>
      <c r="B984" t="s">
        <v>73</v>
      </c>
      <c r="C984" t="s">
        <v>74</v>
      </c>
      <c r="D984" t="s">
        <v>94</v>
      </c>
      <c r="E984" t="s">
        <v>52</v>
      </c>
      <c r="F984">
        <v>7098131</v>
      </c>
      <c r="G984" t="s">
        <v>75</v>
      </c>
      <c r="H984" t="s">
        <v>43</v>
      </c>
      <c r="I984" t="s">
        <v>44</v>
      </c>
      <c r="J984" t="s">
        <v>50</v>
      </c>
      <c r="K984" t="s">
        <v>3</v>
      </c>
      <c r="L984" t="s">
        <v>62</v>
      </c>
      <c r="M984" t="s">
        <v>378</v>
      </c>
      <c r="N984" t="s">
        <v>379</v>
      </c>
      <c r="O984" t="s">
        <v>288</v>
      </c>
      <c r="P984" t="s">
        <v>383</v>
      </c>
      <c r="Q984" t="s">
        <v>1120</v>
      </c>
      <c r="R984" t="s">
        <v>1121</v>
      </c>
      <c r="S984" t="s">
        <v>46</v>
      </c>
      <c r="T984" t="s">
        <v>46</v>
      </c>
      <c r="U984" s="4">
        <v>171.04</v>
      </c>
      <c r="V984" t="str">
        <f t="shared" si="15"/>
        <v>C045</v>
      </c>
      <c r="W984" t="str">
        <f>VLOOKUP(K984,[1]Info!A$1:B$21,2,0)</f>
        <v>Carregadeira</v>
      </c>
      <c r="X984" t="str">
        <f>IF(M984="109595132","Material de Limpeza-Não Avaliar",IF(AND(K984="F20",M984&lt;&gt;109595132),IF(RIGHT(F984,2)="70","Infraestrutura de Planta","Prédios e Instalações"),IF(K984="FPC",VLOOKUP(F984,[1]Info!$E$2:$F$11,2,0),IF(K984="FGP",VLOOKUP(F984,[1]Info!$E$9:$F$10,2,0),IF(K984="F10",VLOOKUP(F984,[1]Info!$E$2:$F$3,2,0),VLOOKUP(K984,[1]Info!$A$1:$B$21,2,0))))))</f>
        <v>Carregadeira Plantas</v>
      </c>
    </row>
    <row r="985" spans="1:24" x14ac:dyDescent="0.35">
      <c r="A985" t="s">
        <v>41</v>
      </c>
      <c r="B985" t="s">
        <v>73</v>
      </c>
      <c r="C985" t="s">
        <v>74</v>
      </c>
      <c r="D985" t="s">
        <v>94</v>
      </c>
      <c r="E985" t="s">
        <v>52</v>
      </c>
      <c r="F985">
        <v>7098131</v>
      </c>
      <c r="G985" t="s">
        <v>75</v>
      </c>
      <c r="H985" t="s">
        <v>43</v>
      </c>
      <c r="I985" t="s">
        <v>44</v>
      </c>
      <c r="J985" t="s">
        <v>50</v>
      </c>
      <c r="K985" t="s">
        <v>3</v>
      </c>
      <c r="L985" t="s">
        <v>62</v>
      </c>
      <c r="M985" t="s">
        <v>378</v>
      </c>
      <c r="N985" t="s">
        <v>379</v>
      </c>
      <c r="O985" t="s">
        <v>288</v>
      </c>
      <c r="P985" t="s">
        <v>383</v>
      </c>
      <c r="Q985" t="s">
        <v>1122</v>
      </c>
      <c r="R985" t="s">
        <v>1123</v>
      </c>
      <c r="S985" t="s">
        <v>46</v>
      </c>
      <c r="T985" t="s">
        <v>46</v>
      </c>
      <c r="U985" s="4">
        <v>125.62</v>
      </c>
      <c r="V985" t="str">
        <f t="shared" si="15"/>
        <v>C045</v>
      </c>
      <c r="W985" t="str">
        <f>VLOOKUP(K985,[1]Info!A$1:B$21,2,0)</f>
        <v>Carregadeira</v>
      </c>
      <c r="X985" t="str">
        <f>IF(M985="109595132","Material de Limpeza-Não Avaliar",IF(AND(K985="F20",M985&lt;&gt;109595132),IF(RIGHT(F985,2)="70","Infraestrutura de Planta","Prédios e Instalações"),IF(K985="FPC",VLOOKUP(F985,[1]Info!$E$2:$F$11,2,0),IF(K985="FGP",VLOOKUP(F985,[1]Info!$E$9:$F$10,2,0),IF(K985="F10",VLOOKUP(F985,[1]Info!$E$2:$F$3,2,0),VLOOKUP(K985,[1]Info!$A$1:$B$21,2,0))))))</f>
        <v>Carregadeira Plantas</v>
      </c>
    </row>
    <row r="986" spans="1:24" x14ac:dyDescent="0.35">
      <c r="A986" t="s">
        <v>41</v>
      </c>
      <c r="B986" t="s">
        <v>73</v>
      </c>
      <c r="C986" t="s">
        <v>74</v>
      </c>
      <c r="D986" t="s">
        <v>94</v>
      </c>
      <c r="E986" t="s">
        <v>52</v>
      </c>
      <c r="F986">
        <v>7098131</v>
      </c>
      <c r="G986" t="s">
        <v>75</v>
      </c>
      <c r="H986" t="s">
        <v>43</v>
      </c>
      <c r="I986" t="s">
        <v>44</v>
      </c>
      <c r="J986" t="s">
        <v>50</v>
      </c>
      <c r="K986" t="s">
        <v>3</v>
      </c>
      <c r="L986" t="s">
        <v>62</v>
      </c>
      <c r="M986" t="s">
        <v>378</v>
      </c>
      <c r="N986" t="s">
        <v>379</v>
      </c>
      <c r="O986" t="s">
        <v>288</v>
      </c>
      <c r="P986" t="s">
        <v>383</v>
      </c>
      <c r="Q986" t="s">
        <v>1124</v>
      </c>
      <c r="R986" t="s">
        <v>1125</v>
      </c>
      <c r="S986" t="s">
        <v>46</v>
      </c>
      <c r="T986" t="s">
        <v>46</v>
      </c>
      <c r="U986" s="4">
        <v>629.54999999999995</v>
      </c>
      <c r="V986" t="str">
        <f t="shared" si="15"/>
        <v>C045</v>
      </c>
      <c r="W986" t="str">
        <f>VLOOKUP(K986,[1]Info!A$1:B$21,2,0)</f>
        <v>Carregadeira</v>
      </c>
      <c r="X986" t="str">
        <f>IF(M986="109595132","Material de Limpeza-Não Avaliar",IF(AND(K986="F20",M986&lt;&gt;109595132),IF(RIGHT(F986,2)="70","Infraestrutura de Planta","Prédios e Instalações"),IF(K986="FPC",VLOOKUP(F986,[1]Info!$E$2:$F$11,2,0),IF(K986="FGP",VLOOKUP(F986,[1]Info!$E$9:$F$10,2,0),IF(K986="F10",VLOOKUP(F986,[1]Info!$E$2:$F$3,2,0),VLOOKUP(K986,[1]Info!$A$1:$B$21,2,0))))))</f>
        <v>Carregadeira Plantas</v>
      </c>
    </row>
    <row r="987" spans="1:24" x14ac:dyDescent="0.35">
      <c r="A987" t="s">
        <v>41</v>
      </c>
      <c r="B987" t="s">
        <v>73</v>
      </c>
      <c r="C987" t="s">
        <v>74</v>
      </c>
      <c r="D987" t="s">
        <v>94</v>
      </c>
      <c r="E987" t="s">
        <v>52</v>
      </c>
      <c r="F987">
        <v>7098131</v>
      </c>
      <c r="G987" t="s">
        <v>75</v>
      </c>
      <c r="H987" t="s">
        <v>43</v>
      </c>
      <c r="I987" t="s">
        <v>44</v>
      </c>
      <c r="J987" t="s">
        <v>50</v>
      </c>
      <c r="K987" t="s">
        <v>3</v>
      </c>
      <c r="L987" t="s">
        <v>62</v>
      </c>
      <c r="M987" t="s">
        <v>378</v>
      </c>
      <c r="N987" t="s">
        <v>379</v>
      </c>
      <c r="O987" t="s">
        <v>288</v>
      </c>
      <c r="P987" t="s">
        <v>383</v>
      </c>
      <c r="Q987" t="s">
        <v>1167</v>
      </c>
      <c r="R987" t="s">
        <v>1168</v>
      </c>
      <c r="S987" t="s">
        <v>46</v>
      </c>
      <c r="T987" t="s">
        <v>46</v>
      </c>
      <c r="U987" s="4">
        <v>150.12</v>
      </c>
      <c r="V987" t="str">
        <f t="shared" si="15"/>
        <v>C045</v>
      </c>
      <c r="W987" t="str">
        <f>VLOOKUP(K987,[1]Info!A$1:B$21,2,0)</f>
        <v>Carregadeira</v>
      </c>
      <c r="X987" t="str">
        <f>IF(M987="109595132","Material de Limpeza-Não Avaliar",IF(AND(K987="F20",M987&lt;&gt;109595132),IF(RIGHT(F987,2)="70","Infraestrutura de Planta","Prédios e Instalações"),IF(K987="FPC",VLOOKUP(F987,[1]Info!$E$2:$F$11,2,0),IF(K987="FGP",VLOOKUP(F987,[1]Info!$E$9:$F$10,2,0),IF(K987="F10",VLOOKUP(F987,[1]Info!$E$2:$F$3,2,0),VLOOKUP(K987,[1]Info!$A$1:$B$21,2,0))))))</f>
        <v>Carregadeira Plantas</v>
      </c>
    </row>
    <row r="988" spans="1:24" x14ac:dyDescent="0.35">
      <c r="A988" t="s">
        <v>41</v>
      </c>
      <c r="B988" t="s">
        <v>73</v>
      </c>
      <c r="C988" t="s">
        <v>74</v>
      </c>
      <c r="D988" t="s">
        <v>94</v>
      </c>
      <c r="E988" t="s">
        <v>52</v>
      </c>
      <c r="F988">
        <v>7098131</v>
      </c>
      <c r="G988" t="s">
        <v>75</v>
      </c>
      <c r="H988" t="s">
        <v>43</v>
      </c>
      <c r="I988" t="s">
        <v>44</v>
      </c>
      <c r="J988" t="s">
        <v>50</v>
      </c>
      <c r="K988" t="s">
        <v>3</v>
      </c>
      <c r="L988" t="s">
        <v>62</v>
      </c>
      <c r="M988" t="s">
        <v>378</v>
      </c>
      <c r="N988" t="s">
        <v>379</v>
      </c>
      <c r="O988" t="s">
        <v>288</v>
      </c>
      <c r="P988" t="s">
        <v>383</v>
      </c>
      <c r="Q988" t="s">
        <v>158</v>
      </c>
      <c r="R988" t="s">
        <v>159</v>
      </c>
      <c r="S988" t="s">
        <v>46</v>
      </c>
      <c r="T988" t="s">
        <v>46</v>
      </c>
      <c r="U988" s="4">
        <v>796.13</v>
      </c>
      <c r="V988" t="str">
        <f t="shared" si="15"/>
        <v>C045</v>
      </c>
      <c r="W988" t="str">
        <f>VLOOKUP(K988,[1]Info!A$1:B$21,2,0)</f>
        <v>Carregadeira</v>
      </c>
      <c r="X988" t="str">
        <f>IF(M988="109595132","Material de Limpeza-Não Avaliar",IF(AND(K988="F20",M988&lt;&gt;109595132),IF(RIGHT(F988,2)="70","Infraestrutura de Planta","Prédios e Instalações"),IF(K988="FPC",VLOOKUP(F988,[1]Info!$E$2:$F$11,2,0),IF(K988="FGP",VLOOKUP(F988,[1]Info!$E$9:$F$10,2,0),IF(K988="F10",VLOOKUP(F988,[1]Info!$E$2:$F$3,2,0),VLOOKUP(K988,[1]Info!$A$1:$B$21,2,0))))))</f>
        <v>Carregadeira Plantas</v>
      </c>
    </row>
    <row r="989" spans="1:24" x14ac:dyDescent="0.35">
      <c r="A989" t="s">
        <v>41</v>
      </c>
      <c r="B989" t="s">
        <v>73</v>
      </c>
      <c r="C989" t="s">
        <v>74</v>
      </c>
      <c r="D989" t="s">
        <v>94</v>
      </c>
      <c r="E989" t="s">
        <v>52</v>
      </c>
      <c r="F989">
        <v>7098131</v>
      </c>
      <c r="G989" t="s">
        <v>75</v>
      </c>
      <c r="H989" t="s">
        <v>43</v>
      </c>
      <c r="I989" t="s">
        <v>44</v>
      </c>
      <c r="J989" t="s">
        <v>50</v>
      </c>
      <c r="K989" t="s">
        <v>3</v>
      </c>
      <c r="L989" t="s">
        <v>62</v>
      </c>
      <c r="M989" t="s">
        <v>378</v>
      </c>
      <c r="N989" t="s">
        <v>379</v>
      </c>
      <c r="O989" t="s">
        <v>288</v>
      </c>
      <c r="P989" t="s">
        <v>383</v>
      </c>
      <c r="Q989" t="s">
        <v>160</v>
      </c>
      <c r="R989" t="s">
        <v>161</v>
      </c>
      <c r="S989" t="s">
        <v>46</v>
      </c>
      <c r="T989" t="s">
        <v>46</v>
      </c>
      <c r="U989" s="4">
        <v>385.32</v>
      </c>
      <c r="V989" t="str">
        <f t="shared" si="15"/>
        <v>C045</v>
      </c>
      <c r="W989" t="str">
        <f>VLOOKUP(K989,[1]Info!A$1:B$21,2,0)</f>
        <v>Carregadeira</v>
      </c>
      <c r="X989" t="str">
        <f>IF(M989="109595132","Material de Limpeza-Não Avaliar",IF(AND(K989="F20",M989&lt;&gt;109595132),IF(RIGHT(F989,2)="70","Infraestrutura de Planta","Prédios e Instalações"),IF(K989="FPC",VLOOKUP(F989,[1]Info!$E$2:$F$11,2,0),IF(K989="FGP",VLOOKUP(F989,[1]Info!$E$9:$F$10,2,0),IF(K989="F10",VLOOKUP(F989,[1]Info!$E$2:$F$3,2,0),VLOOKUP(K989,[1]Info!$A$1:$B$21,2,0))))))</f>
        <v>Carregadeira Plantas</v>
      </c>
    </row>
    <row r="990" spans="1:24" x14ac:dyDescent="0.35">
      <c r="A990" t="s">
        <v>41</v>
      </c>
      <c r="B990" t="s">
        <v>73</v>
      </c>
      <c r="C990" t="s">
        <v>74</v>
      </c>
      <c r="D990" t="s">
        <v>94</v>
      </c>
      <c r="E990" t="s">
        <v>52</v>
      </c>
      <c r="F990">
        <v>7098131</v>
      </c>
      <c r="G990" t="s">
        <v>75</v>
      </c>
      <c r="H990" t="s">
        <v>43</v>
      </c>
      <c r="I990" t="s">
        <v>44</v>
      </c>
      <c r="J990" t="s">
        <v>50</v>
      </c>
      <c r="K990" t="s">
        <v>3</v>
      </c>
      <c r="L990" t="s">
        <v>62</v>
      </c>
      <c r="M990" t="s">
        <v>393</v>
      </c>
      <c r="N990" t="s">
        <v>394</v>
      </c>
      <c r="O990" t="s">
        <v>236</v>
      </c>
      <c r="P990" t="s">
        <v>383</v>
      </c>
      <c r="Q990" t="s">
        <v>1116</v>
      </c>
      <c r="R990" t="s">
        <v>1117</v>
      </c>
      <c r="S990" t="s">
        <v>46</v>
      </c>
      <c r="T990" t="s">
        <v>46</v>
      </c>
      <c r="U990" s="4">
        <v>182.16</v>
      </c>
      <c r="V990" t="str">
        <f t="shared" si="15"/>
        <v>C051</v>
      </c>
      <c r="W990" t="str">
        <f>VLOOKUP(K990,[1]Info!A$1:B$21,2,0)</f>
        <v>Carregadeira</v>
      </c>
      <c r="X990" t="str">
        <f>IF(M990="109595132","Material de Limpeza-Não Avaliar",IF(AND(K990="F20",M990&lt;&gt;109595132),IF(RIGHT(F990,2)="70","Infraestrutura de Planta","Prédios e Instalações"),IF(K990="FPC",VLOOKUP(F990,[1]Info!$E$2:$F$11,2,0),IF(K990="FGP",VLOOKUP(F990,[1]Info!$E$9:$F$10,2,0),IF(K990="F10",VLOOKUP(F990,[1]Info!$E$2:$F$3,2,0),VLOOKUP(K990,[1]Info!$A$1:$B$21,2,0))))))</f>
        <v>Carregadeira Plantas</v>
      </c>
    </row>
    <row r="991" spans="1:24" x14ac:dyDescent="0.35">
      <c r="A991" t="s">
        <v>41</v>
      </c>
      <c r="B991" t="s">
        <v>73</v>
      </c>
      <c r="C991" t="s">
        <v>74</v>
      </c>
      <c r="D991" t="s">
        <v>94</v>
      </c>
      <c r="E991" t="s">
        <v>52</v>
      </c>
      <c r="F991">
        <v>7098131</v>
      </c>
      <c r="G991" t="s">
        <v>75</v>
      </c>
      <c r="H991" t="s">
        <v>43</v>
      </c>
      <c r="I991" t="s">
        <v>44</v>
      </c>
      <c r="J991" t="s">
        <v>50</v>
      </c>
      <c r="K991" t="s">
        <v>3</v>
      </c>
      <c r="L991" t="s">
        <v>62</v>
      </c>
      <c r="M991" t="s">
        <v>393</v>
      </c>
      <c r="N991" t="s">
        <v>394</v>
      </c>
      <c r="O991" t="s">
        <v>236</v>
      </c>
      <c r="P991" t="s">
        <v>383</v>
      </c>
      <c r="Q991" t="s">
        <v>1118</v>
      </c>
      <c r="R991" t="s">
        <v>1119</v>
      </c>
      <c r="S991" t="s">
        <v>46</v>
      </c>
      <c r="T991" t="s">
        <v>46</v>
      </c>
      <c r="U991" s="4">
        <v>323.24</v>
      </c>
      <c r="V991" t="str">
        <f t="shared" si="15"/>
        <v>C051</v>
      </c>
      <c r="W991" t="str">
        <f>VLOOKUP(K991,[1]Info!A$1:B$21,2,0)</f>
        <v>Carregadeira</v>
      </c>
      <c r="X991" t="str">
        <f>IF(M991="109595132","Material de Limpeza-Não Avaliar",IF(AND(K991="F20",M991&lt;&gt;109595132),IF(RIGHT(F991,2)="70","Infraestrutura de Planta","Prédios e Instalações"),IF(K991="FPC",VLOOKUP(F991,[1]Info!$E$2:$F$11,2,0),IF(K991="FGP",VLOOKUP(F991,[1]Info!$E$9:$F$10,2,0),IF(K991="F10",VLOOKUP(F991,[1]Info!$E$2:$F$3,2,0),VLOOKUP(K991,[1]Info!$A$1:$B$21,2,0))))))</f>
        <v>Carregadeira Plantas</v>
      </c>
    </row>
    <row r="992" spans="1:24" x14ac:dyDescent="0.35">
      <c r="A992" t="s">
        <v>41</v>
      </c>
      <c r="B992" t="s">
        <v>73</v>
      </c>
      <c r="C992" t="s">
        <v>74</v>
      </c>
      <c r="D992" t="s">
        <v>94</v>
      </c>
      <c r="E992" t="s">
        <v>52</v>
      </c>
      <c r="F992">
        <v>7098131</v>
      </c>
      <c r="G992" t="s">
        <v>75</v>
      </c>
      <c r="H992" t="s">
        <v>43</v>
      </c>
      <c r="I992" t="s">
        <v>44</v>
      </c>
      <c r="J992" t="s">
        <v>50</v>
      </c>
      <c r="K992" t="s">
        <v>3</v>
      </c>
      <c r="L992" t="s">
        <v>62</v>
      </c>
      <c r="M992" t="s">
        <v>393</v>
      </c>
      <c r="N992" t="s">
        <v>394</v>
      </c>
      <c r="O992" t="s">
        <v>236</v>
      </c>
      <c r="P992" t="s">
        <v>383</v>
      </c>
      <c r="Q992" t="s">
        <v>1120</v>
      </c>
      <c r="R992" t="s">
        <v>1121</v>
      </c>
      <c r="S992" t="s">
        <v>46</v>
      </c>
      <c r="T992" t="s">
        <v>46</v>
      </c>
      <c r="U992" s="4">
        <v>171.04</v>
      </c>
      <c r="V992" t="str">
        <f t="shared" si="15"/>
        <v>C051</v>
      </c>
      <c r="W992" t="str">
        <f>VLOOKUP(K992,[1]Info!A$1:B$21,2,0)</f>
        <v>Carregadeira</v>
      </c>
      <c r="X992" t="str">
        <f>IF(M992="109595132","Material de Limpeza-Não Avaliar",IF(AND(K992="F20",M992&lt;&gt;109595132),IF(RIGHT(F992,2)="70","Infraestrutura de Planta","Prédios e Instalações"),IF(K992="FPC",VLOOKUP(F992,[1]Info!$E$2:$F$11,2,0),IF(K992="FGP",VLOOKUP(F992,[1]Info!$E$9:$F$10,2,0),IF(K992="F10",VLOOKUP(F992,[1]Info!$E$2:$F$3,2,0),VLOOKUP(K992,[1]Info!$A$1:$B$21,2,0))))))</f>
        <v>Carregadeira Plantas</v>
      </c>
    </row>
    <row r="993" spans="1:24" x14ac:dyDescent="0.35">
      <c r="A993" t="s">
        <v>41</v>
      </c>
      <c r="B993" t="s">
        <v>73</v>
      </c>
      <c r="C993" t="s">
        <v>74</v>
      </c>
      <c r="D993" t="s">
        <v>94</v>
      </c>
      <c r="E993" t="s">
        <v>52</v>
      </c>
      <c r="F993">
        <v>7098131</v>
      </c>
      <c r="G993" t="s">
        <v>75</v>
      </c>
      <c r="H993" t="s">
        <v>43</v>
      </c>
      <c r="I993" t="s">
        <v>44</v>
      </c>
      <c r="J993" t="s">
        <v>50</v>
      </c>
      <c r="K993" t="s">
        <v>3</v>
      </c>
      <c r="L993" t="s">
        <v>62</v>
      </c>
      <c r="M993" t="s">
        <v>393</v>
      </c>
      <c r="N993" t="s">
        <v>394</v>
      </c>
      <c r="O993" t="s">
        <v>236</v>
      </c>
      <c r="P993" t="s">
        <v>383</v>
      </c>
      <c r="Q993" t="s">
        <v>1122</v>
      </c>
      <c r="R993" t="s">
        <v>1123</v>
      </c>
      <c r="S993" t="s">
        <v>46</v>
      </c>
      <c r="T993" t="s">
        <v>46</v>
      </c>
      <c r="U993" s="4">
        <v>125.62</v>
      </c>
      <c r="V993" t="str">
        <f t="shared" si="15"/>
        <v>C051</v>
      </c>
      <c r="W993" t="str">
        <f>VLOOKUP(K993,[1]Info!A$1:B$21,2,0)</f>
        <v>Carregadeira</v>
      </c>
      <c r="X993" t="str">
        <f>IF(M993="109595132","Material de Limpeza-Não Avaliar",IF(AND(K993="F20",M993&lt;&gt;109595132),IF(RIGHT(F993,2)="70","Infraestrutura de Planta","Prédios e Instalações"),IF(K993="FPC",VLOOKUP(F993,[1]Info!$E$2:$F$11,2,0),IF(K993="FGP",VLOOKUP(F993,[1]Info!$E$9:$F$10,2,0),IF(K993="F10",VLOOKUP(F993,[1]Info!$E$2:$F$3,2,0),VLOOKUP(K993,[1]Info!$A$1:$B$21,2,0))))))</f>
        <v>Carregadeira Plantas</v>
      </c>
    </row>
    <row r="994" spans="1:24" x14ac:dyDescent="0.35">
      <c r="A994" t="s">
        <v>41</v>
      </c>
      <c r="B994" t="s">
        <v>73</v>
      </c>
      <c r="C994" t="s">
        <v>74</v>
      </c>
      <c r="D994" t="s">
        <v>94</v>
      </c>
      <c r="E994" t="s">
        <v>52</v>
      </c>
      <c r="F994">
        <v>7098131</v>
      </c>
      <c r="G994" t="s">
        <v>75</v>
      </c>
      <c r="H994" t="s">
        <v>43</v>
      </c>
      <c r="I994" t="s">
        <v>44</v>
      </c>
      <c r="J994" t="s">
        <v>50</v>
      </c>
      <c r="K994" t="s">
        <v>3</v>
      </c>
      <c r="L994" t="s">
        <v>62</v>
      </c>
      <c r="M994" t="s">
        <v>393</v>
      </c>
      <c r="N994" t="s">
        <v>394</v>
      </c>
      <c r="O994" t="s">
        <v>236</v>
      </c>
      <c r="P994" t="s">
        <v>383</v>
      </c>
      <c r="Q994" t="s">
        <v>1124</v>
      </c>
      <c r="R994" t="s">
        <v>1125</v>
      </c>
      <c r="S994" t="s">
        <v>46</v>
      </c>
      <c r="T994" t="s">
        <v>46</v>
      </c>
      <c r="U994" s="4">
        <v>629.54999999999995</v>
      </c>
      <c r="V994" t="str">
        <f t="shared" si="15"/>
        <v>C051</v>
      </c>
      <c r="W994" t="str">
        <f>VLOOKUP(K994,[1]Info!A$1:B$21,2,0)</f>
        <v>Carregadeira</v>
      </c>
      <c r="X994" t="str">
        <f>IF(M994="109595132","Material de Limpeza-Não Avaliar",IF(AND(K994="F20",M994&lt;&gt;109595132),IF(RIGHT(F994,2)="70","Infraestrutura de Planta","Prédios e Instalações"),IF(K994="FPC",VLOOKUP(F994,[1]Info!$E$2:$F$11,2,0),IF(K994="FGP",VLOOKUP(F994,[1]Info!$E$9:$F$10,2,0),IF(K994="F10",VLOOKUP(F994,[1]Info!$E$2:$F$3,2,0),VLOOKUP(K994,[1]Info!$A$1:$B$21,2,0))))))</f>
        <v>Carregadeira Plantas</v>
      </c>
    </row>
    <row r="995" spans="1:24" x14ac:dyDescent="0.35">
      <c r="A995" t="s">
        <v>41</v>
      </c>
      <c r="B995" t="s">
        <v>73</v>
      </c>
      <c r="C995" t="s">
        <v>74</v>
      </c>
      <c r="D995" t="s">
        <v>94</v>
      </c>
      <c r="E995" t="s">
        <v>52</v>
      </c>
      <c r="F995">
        <v>7098131</v>
      </c>
      <c r="G995" t="s">
        <v>75</v>
      </c>
      <c r="H995" t="s">
        <v>43</v>
      </c>
      <c r="I995" t="s">
        <v>44</v>
      </c>
      <c r="J995" t="s">
        <v>50</v>
      </c>
      <c r="K995" t="s">
        <v>3</v>
      </c>
      <c r="L995" t="s">
        <v>62</v>
      </c>
      <c r="M995" t="s">
        <v>393</v>
      </c>
      <c r="N995" t="s">
        <v>394</v>
      </c>
      <c r="O995" t="s">
        <v>236</v>
      </c>
      <c r="P995" t="s">
        <v>383</v>
      </c>
      <c r="Q995" t="s">
        <v>1167</v>
      </c>
      <c r="R995" t="s">
        <v>1168</v>
      </c>
      <c r="S995" t="s">
        <v>46</v>
      </c>
      <c r="T995" t="s">
        <v>46</v>
      </c>
      <c r="U995" s="4">
        <v>150.12</v>
      </c>
      <c r="V995" t="str">
        <f t="shared" si="15"/>
        <v>C051</v>
      </c>
      <c r="W995" t="str">
        <f>VLOOKUP(K995,[1]Info!A$1:B$21,2,0)</f>
        <v>Carregadeira</v>
      </c>
      <c r="X995" t="str">
        <f>IF(M995="109595132","Material de Limpeza-Não Avaliar",IF(AND(K995="F20",M995&lt;&gt;109595132),IF(RIGHT(F995,2)="70","Infraestrutura de Planta","Prédios e Instalações"),IF(K995="FPC",VLOOKUP(F995,[1]Info!$E$2:$F$11,2,0),IF(K995="FGP",VLOOKUP(F995,[1]Info!$E$9:$F$10,2,0),IF(K995="F10",VLOOKUP(F995,[1]Info!$E$2:$F$3,2,0),VLOOKUP(K995,[1]Info!$A$1:$B$21,2,0))))))</f>
        <v>Carregadeira Plantas</v>
      </c>
    </row>
    <row r="996" spans="1:24" x14ac:dyDescent="0.35">
      <c r="A996" t="s">
        <v>41</v>
      </c>
      <c r="B996" t="s">
        <v>73</v>
      </c>
      <c r="C996" t="s">
        <v>74</v>
      </c>
      <c r="D996" t="s">
        <v>94</v>
      </c>
      <c r="E996" t="s">
        <v>52</v>
      </c>
      <c r="F996">
        <v>7098131</v>
      </c>
      <c r="G996" t="s">
        <v>75</v>
      </c>
      <c r="H996" t="s">
        <v>43</v>
      </c>
      <c r="I996" t="s">
        <v>44</v>
      </c>
      <c r="J996" t="s">
        <v>50</v>
      </c>
      <c r="K996" t="s">
        <v>3</v>
      </c>
      <c r="L996" t="s">
        <v>62</v>
      </c>
      <c r="M996" t="s">
        <v>1174</v>
      </c>
      <c r="N996" t="s">
        <v>1175</v>
      </c>
      <c r="O996" t="s">
        <v>1176</v>
      </c>
      <c r="P996" t="s">
        <v>383</v>
      </c>
      <c r="Q996" t="s">
        <v>158</v>
      </c>
      <c r="R996" t="s">
        <v>159</v>
      </c>
      <c r="S996" t="s">
        <v>46</v>
      </c>
      <c r="T996" t="s">
        <v>46</v>
      </c>
      <c r="U996" s="4">
        <v>796.13</v>
      </c>
      <c r="V996" t="str">
        <f t="shared" si="15"/>
        <v>C049</v>
      </c>
      <c r="W996" t="str">
        <f>VLOOKUP(K996,[1]Info!A$1:B$21,2,0)</f>
        <v>Carregadeira</v>
      </c>
      <c r="X996" t="str">
        <f>IF(M996="109595132","Material de Limpeza-Não Avaliar",IF(AND(K996="F20",M996&lt;&gt;109595132),IF(RIGHT(F996,2)="70","Infraestrutura de Planta","Prédios e Instalações"),IF(K996="FPC",VLOOKUP(F996,[1]Info!$E$2:$F$11,2,0),IF(K996="FGP",VLOOKUP(F996,[1]Info!$E$9:$F$10,2,0),IF(K996="F10",VLOOKUP(F996,[1]Info!$E$2:$F$3,2,0),VLOOKUP(K996,[1]Info!$A$1:$B$21,2,0))))))</f>
        <v>Carregadeira Plantas</v>
      </c>
    </row>
    <row r="997" spans="1:24" x14ac:dyDescent="0.35">
      <c r="A997" t="s">
        <v>41</v>
      </c>
      <c r="B997" t="s">
        <v>73</v>
      </c>
      <c r="C997" t="s">
        <v>74</v>
      </c>
      <c r="D997" t="s">
        <v>94</v>
      </c>
      <c r="E997" t="s">
        <v>52</v>
      </c>
      <c r="F997">
        <v>7098131</v>
      </c>
      <c r="G997" t="s">
        <v>75</v>
      </c>
      <c r="H997" t="s">
        <v>43</v>
      </c>
      <c r="I997" t="s">
        <v>44</v>
      </c>
      <c r="J997" t="s">
        <v>50</v>
      </c>
      <c r="K997" t="s">
        <v>3</v>
      </c>
      <c r="L997" t="s">
        <v>62</v>
      </c>
      <c r="M997" t="s">
        <v>1174</v>
      </c>
      <c r="N997" t="s">
        <v>1175</v>
      </c>
      <c r="O997" t="s">
        <v>1176</v>
      </c>
      <c r="P997" t="s">
        <v>383</v>
      </c>
      <c r="Q997" t="s">
        <v>160</v>
      </c>
      <c r="R997" t="s">
        <v>161</v>
      </c>
      <c r="S997" t="s">
        <v>46</v>
      </c>
      <c r="T997" t="s">
        <v>46</v>
      </c>
      <c r="U997" s="4">
        <v>385.32</v>
      </c>
      <c r="V997" t="str">
        <f t="shared" si="15"/>
        <v>C049</v>
      </c>
      <c r="W997" t="str">
        <f>VLOOKUP(K997,[1]Info!A$1:B$21,2,0)</f>
        <v>Carregadeira</v>
      </c>
      <c r="X997" t="str">
        <f>IF(M997="109595132","Material de Limpeza-Não Avaliar",IF(AND(K997="F20",M997&lt;&gt;109595132),IF(RIGHT(F997,2)="70","Infraestrutura de Planta","Prédios e Instalações"),IF(K997="FPC",VLOOKUP(F997,[1]Info!$E$2:$F$11,2,0),IF(K997="FGP",VLOOKUP(F997,[1]Info!$E$9:$F$10,2,0),IF(K997="F10",VLOOKUP(F997,[1]Info!$E$2:$F$3,2,0),VLOOKUP(K997,[1]Info!$A$1:$B$21,2,0))))))</f>
        <v>Carregadeira Plantas</v>
      </c>
    </row>
    <row r="998" spans="1:24" x14ac:dyDescent="0.35">
      <c r="A998" t="s">
        <v>41</v>
      </c>
      <c r="B998" t="s">
        <v>73</v>
      </c>
      <c r="C998" t="s">
        <v>74</v>
      </c>
      <c r="D998" t="s">
        <v>94</v>
      </c>
      <c r="E998" t="s">
        <v>52</v>
      </c>
      <c r="F998">
        <v>7098131</v>
      </c>
      <c r="G998" t="s">
        <v>75</v>
      </c>
      <c r="H998" t="s">
        <v>43</v>
      </c>
      <c r="I998" t="s">
        <v>44</v>
      </c>
      <c r="J998" t="s">
        <v>50</v>
      </c>
      <c r="K998" t="s">
        <v>3</v>
      </c>
      <c r="L998" t="s">
        <v>62</v>
      </c>
      <c r="M998" t="s">
        <v>395</v>
      </c>
      <c r="N998" t="s">
        <v>396</v>
      </c>
      <c r="O998" t="s">
        <v>257</v>
      </c>
      <c r="P998" t="s">
        <v>383</v>
      </c>
      <c r="Q998" t="s">
        <v>1116</v>
      </c>
      <c r="R998" t="s">
        <v>1117</v>
      </c>
      <c r="S998" t="s">
        <v>46</v>
      </c>
      <c r="T998" t="s">
        <v>46</v>
      </c>
      <c r="U998" s="4">
        <v>182.16</v>
      </c>
      <c r="V998" t="str">
        <f t="shared" si="15"/>
        <v>C050</v>
      </c>
      <c r="W998" t="str">
        <f>VLOOKUP(K998,[1]Info!A$1:B$21,2,0)</f>
        <v>Carregadeira</v>
      </c>
      <c r="X998" t="str">
        <f>IF(M998="109595132","Material de Limpeza-Não Avaliar",IF(AND(K998="F20",M998&lt;&gt;109595132),IF(RIGHT(F998,2)="70","Infraestrutura de Planta","Prédios e Instalações"),IF(K998="FPC",VLOOKUP(F998,[1]Info!$E$2:$F$11,2,0),IF(K998="FGP",VLOOKUP(F998,[1]Info!$E$9:$F$10,2,0),IF(K998="F10",VLOOKUP(F998,[1]Info!$E$2:$F$3,2,0),VLOOKUP(K998,[1]Info!$A$1:$B$21,2,0))))))</f>
        <v>Carregadeira Plantas</v>
      </c>
    </row>
    <row r="999" spans="1:24" x14ac:dyDescent="0.35">
      <c r="A999" t="s">
        <v>41</v>
      </c>
      <c r="B999" t="s">
        <v>73</v>
      </c>
      <c r="C999" t="s">
        <v>74</v>
      </c>
      <c r="D999" t="s">
        <v>94</v>
      </c>
      <c r="E999" t="s">
        <v>52</v>
      </c>
      <c r="F999">
        <v>7098131</v>
      </c>
      <c r="G999" t="s">
        <v>75</v>
      </c>
      <c r="H999" t="s">
        <v>43</v>
      </c>
      <c r="I999" t="s">
        <v>44</v>
      </c>
      <c r="J999" t="s">
        <v>50</v>
      </c>
      <c r="K999" t="s">
        <v>3</v>
      </c>
      <c r="L999" t="s">
        <v>62</v>
      </c>
      <c r="M999" t="s">
        <v>395</v>
      </c>
      <c r="N999" t="s">
        <v>396</v>
      </c>
      <c r="O999" t="s">
        <v>257</v>
      </c>
      <c r="P999" t="s">
        <v>383</v>
      </c>
      <c r="Q999" t="s">
        <v>228</v>
      </c>
      <c r="R999" t="s">
        <v>229</v>
      </c>
      <c r="S999" t="s">
        <v>46</v>
      </c>
      <c r="T999" t="s">
        <v>46</v>
      </c>
      <c r="U999" s="4">
        <v>98.23</v>
      </c>
      <c r="V999" t="str">
        <f t="shared" si="15"/>
        <v>C050</v>
      </c>
      <c r="W999" t="str">
        <f>VLOOKUP(K999,[1]Info!A$1:B$21,2,0)</f>
        <v>Carregadeira</v>
      </c>
      <c r="X999" t="str">
        <f>IF(M999="109595132","Material de Limpeza-Não Avaliar",IF(AND(K999="F20",M999&lt;&gt;109595132),IF(RIGHT(F999,2)="70","Infraestrutura de Planta","Prédios e Instalações"),IF(K999="FPC",VLOOKUP(F999,[1]Info!$E$2:$F$11,2,0),IF(K999="FGP",VLOOKUP(F999,[1]Info!$E$9:$F$10,2,0),IF(K999="F10",VLOOKUP(F999,[1]Info!$E$2:$F$3,2,0),VLOOKUP(K999,[1]Info!$A$1:$B$21,2,0))))))</f>
        <v>Carregadeira Plantas</v>
      </c>
    </row>
    <row r="1000" spans="1:24" x14ac:dyDescent="0.35">
      <c r="A1000" t="s">
        <v>41</v>
      </c>
      <c r="B1000" t="s">
        <v>73</v>
      </c>
      <c r="C1000" t="s">
        <v>74</v>
      </c>
      <c r="D1000" t="s">
        <v>94</v>
      </c>
      <c r="E1000" t="s">
        <v>52</v>
      </c>
      <c r="F1000">
        <v>7098131</v>
      </c>
      <c r="G1000" t="s">
        <v>75</v>
      </c>
      <c r="H1000" t="s">
        <v>43</v>
      </c>
      <c r="I1000" t="s">
        <v>44</v>
      </c>
      <c r="J1000" t="s">
        <v>50</v>
      </c>
      <c r="K1000" t="s">
        <v>3</v>
      </c>
      <c r="L1000" t="s">
        <v>62</v>
      </c>
      <c r="M1000" t="s">
        <v>395</v>
      </c>
      <c r="N1000" t="s">
        <v>396</v>
      </c>
      <c r="O1000" t="s">
        <v>257</v>
      </c>
      <c r="P1000" t="s">
        <v>383</v>
      </c>
      <c r="Q1000" t="s">
        <v>1118</v>
      </c>
      <c r="R1000" t="s">
        <v>1119</v>
      </c>
      <c r="S1000" t="s">
        <v>46</v>
      </c>
      <c r="T1000" t="s">
        <v>46</v>
      </c>
      <c r="U1000" s="4">
        <v>323.23</v>
      </c>
      <c r="V1000" t="str">
        <f t="shared" si="15"/>
        <v>C050</v>
      </c>
      <c r="W1000" t="str">
        <f>VLOOKUP(K1000,[1]Info!A$1:B$21,2,0)</f>
        <v>Carregadeira</v>
      </c>
      <c r="X1000" t="str">
        <f>IF(M1000="109595132","Material de Limpeza-Não Avaliar",IF(AND(K1000="F20",M1000&lt;&gt;109595132),IF(RIGHT(F1000,2)="70","Infraestrutura de Planta","Prédios e Instalações"),IF(K1000="FPC",VLOOKUP(F1000,[1]Info!$E$2:$F$11,2,0),IF(K1000="FGP",VLOOKUP(F1000,[1]Info!$E$9:$F$10,2,0),IF(K1000="F10",VLOOKUP(F1000,[1]Info!$E$2:$F$3,2,0),VLOOKUP(K1000,[1]Info!$A$1:$B$21,2,0))))))</f>
        <v>Carregadeira Plantas</v>
      </c>
    </row>
    <row r="1001" spans="1:24" x14ac:dyDescent="0.35">
      <c r="A1001" t="s">
        <v>41</v>
      </c>
      <c r="B1001" t="s">
        <v>73</v>
      </c>
      <c r="C1001" t="s">
        <v>74</v>
      </c>
      <c r="D1001" t="s">
        <v>94</v>
      </c>
      <c r="E1001" t="s">
        <v>52</v>
      </c>
      <c r="F1001">
        <v>7098131</v>
      </c>
      <c r="G1001" t="s">
        <v>75</v>
      </c>
      <c r="H1001" t="s">
        <v>43</v>
      </c>
      <c r="I1001" t="s">
        <v>44</v>
      </c>
      <c r="J1001" t="s">
        <v>50</v>
      </c>
      <c r="K1001" t="s">
        <v>3</v>
      </c>
      <c r="L1001" t="s">
        <v>62</v>
      </c>
      <c r="M1001" t="s">
        <v>395</v>
      </c>
      <c r="N1001" t="s">
        <v>396</v>
      </c>
      <c r="O1001" t="s">
        <v>257</v>
      </c>
      <c r="P1001" t="s">
        <v>383</v>
      </c>
      <c r="Q1001" t="s">
        <v>1120</v>
      </c>
      <c r="R1001" t="s">
        <v>1121</v>
      </c>
      <c r="S1001" t="s">
        <v>46</v>
      </c>
      <c r="T1001" t="s">
        <v>46</v>
      </c>
      <c r="U1001" s="4">
        <v>171.03</v>
      </c>
      <c r="V1001" t="str">
        <f t="shared" si="15"/>
        <v>C050</v>
      </c>
      <c r="W1001" t="str">
        <f>VLOOKUP(K1001,[1]Info!A$1:B$21,2,0)</f>
        <v>Carregadeira</v>
      </c>
      <c r="X1001" t="str">
        <f>IF(M1001="109595132","Material de Limpeza-Não Avaliar",IF(AND(K1001="F20",M1001&lt;&gt;109595132),IF(RIGHT(F1001,2)="70","Infraestrutura de Planta","Prédios e Instalações"),IF(K1001="FPC",VLOOKUP(F1001,[1]Info!$E$2:$F$11,2,0),IF(K1001="FGP",VLOOKUP(F1001,[1]Info!$E$9:$F$10,2,0),IF(K1001="F10",VLOOKUP(F1001,[1]Info!$E$2:$F$3,2,0),VLOOKUP(K1001,[1]Info!$A$1:$B$21,2,0))))))</f>
        <v>Carregadeira Plantas</v>
      </c>
    </row>
    <row r="1002" spans="1:24" x14ac:dyDescent="0.35">
      <c r="A1002" t="s">
        <v>41</v>
      </c>
      <c r="B1002" t="s">
        <v>73</v>
      </c>
      <c r="C1002" t="s">
        <v>74</v>
      </c>
      <c r="D1002" t="s">
        <v>94</v>
      </c>
      <c r="E1002" t="s">
        <v>52</v>
      </c>
      <c r="F1002">
        <v>7098131</v>
      </c>
      <c r="G1002" t="s">
        <v>75</v>
      </c>
      <c r="H1002" t="s">
        <v>43</v>
      </c>
      <c r="I1002" t="s">
        <v>44</v>
      </c>
      <c r="J1002" t="s">
        <v>50</v>
      </c>
      <c r="K1002" t="s">
        <v>3</v>
      </c>
      <c r="L1002" t="s">
        <v>62</v>
      </c>
      <c r="M1002" t="s">
        <v>395</v>
      </c>
      <c r="N1002" t="s">
        <v>396</v>
      </c>
      <c r="O1002" t="s">
        <v>257</v>
      </c>
      <c r="P1002" t="s">
        <v>383</v>
      </c>
      <c r="Q1002" t="s">
        <v>1122</v>
      </c>
      <c r="R1002" t="s">
        <v>1123</v>
      </c>
      <c r="S1002" t="s">
        <v>46</v>
      </c>
      <c r="T1002" t="s">
        <v>46</v>
      </c>
      <c r="U1002" s="4">
        <v>125.63</v>
      </c>
      <c r="V1002" t="str">
        <f t="shared" si="15"/>
        <v>C050</v>
      </c>
      <c r="W1002" t="str">
        <f>VLOOKUP(K1002,[1]Info!A$1:B$21,2,0)</f>
        <v>Carregadeira</v>
      </c>
      <c r="X1002" t="str">
        <f>IF(M1002="109595132","Material de Limpeza-Não Avaliar",IF(AND(K1002="F20",M1002&lt;&gt;109595132),IF(RIGHT(F1002,2)="70","Infraestrutura de Planta","Prédios e Instalações"),IF(K1002="FPC",VLOOKUP(F1002,[1]Info!$E$2:$F$11,2,0),IF(K1002="FGP",VLOOKUP(F1002,[1]Info!$E$9:$F$10,2,0),IF(K1002="F10",VLOOKUP(F1002,[1]Info!$E$2:$F$3,2,0),VLOOKUP(K1002,[1]Info!$A$1:$B$21,2,0))))))</f>
        <v>Carregadeira Plantas</v>
      </c>
    </row>
    <row r="1003" spans="1:24" x14ac:dyDescent="0.35">
      <c r="A1003" t="s">
        <v>41</v>
      </c>
      <c r="B1003" t="s">
        <v>73</v>
      </c>
      <c r="C1003" t="s">
        <v>74</v>
      </c>
      <c r="D1003" t="s">
        <v>94</v>
      </c>
      <c r="E1003" t="s">
        <v>52</v>
      </c>
      <c r="F1003">
        <v>7098131</v>
      </c>
      <c r="G1003" t="s">
        <v>75</v>
      </c>
      <c r="H1003" t="s">
        <v>43</v>
      </c>
      <c r="I1003" t="s">
        <v>44</v>
      </c>
      <c r="J1003" t="s">
        <v>50</v>
      </c>
      <c r="K1003" t="s">
        <v>3</v>
      </c>
      <c r="L1003" t="s">
        <v>62</v>
      </c>
      <c r="M1003" t="s">
        <v>395</v>
      </c>
      <c r="N1003" t="s">
        <v>396</v>
      </c>
      <c r="O1003" t="s">
        <v>257</v>
      </c>
      <c r="P1003" t="s">
        <v>383</v>
      </c>
      <c r="Q1003" t="s">
        <v>1124</v>
      </c>
      <c r="R1003" t="s">
        <v>1125</v>
      </c>
      <c r="S1003" t="s">
        <v>46</v>
      </c>
      <c r="T1003" t="s">
        <v>46</v>
      </c>
      <c r="U1003" s="4">
        <v>629.54999999999995</v>
      </c>
      <c r="V1003" t="str">
        <f t="shared" si="15"/>
        <v>C050</v>
      </c>
      <c r="W1003" t="str">
        <f>VLOOKUP(K1003,[1]Info!A$1:B$21,2,0)</f>
        <v>Carregadeira</v>
      </c>
      <c r="X1003" t="str">
        <f>IF(M1003="109595132","Material de Limpeza-Não Avaliar",IF(AND(K1003="F20",M1003&lt;&gt;109595132),IF(RIGHT(F1003,2)="70","Infraestrutura de Planta","Prédios e Instalações"),IF(K1003="FPC",VLOOKUP(F1003,[1]Info!$E$2:$F$11,2,0),IF(K1003="FGP",VLOOKUP(F1003,[1]Info!$E$9:$F$10,2,0),IF(K1003="F10",VLOOKUP(F1003,[1]Info!$E$2:$F$3,2,0),VLOOKUP(K1003,[1]Info!$A$1:$B$21,2,0))))))</f>
        <v>Carregadeira Plantas</v>
      </c>
    </row>
    <row r="1004" spans="1:24" x14ac:dyDescent="0.35">
      <c r="A1004" t="s">
        <v>41</v>
      </c>
      <c r="B1004" t="s">
        <v>73</v>
      </c>
      <c r="C1004" t="s">
        <v>74</v>
      </c>
      <c r="D1004" t="s">
        <v>94</v>
      </c>
      <c r="E1004" t="s">
        <v>52</v>
      </c>
      <c r="F1004">
        <v>7098131</v>
      </c>
      <c r="G1004" t="s">
        <v>75</v>
      </c>
      <c r="H1004" t="s">
        <v>43</v>
      </c>
      <c r="I1004" t="s">
        <v>44</v>
      </c>
      <c r="J1004" t="s">
        <v>50</v>
      </c>
      <c r="K1004" t="s">
        <v>3</v>
      </c>
      <c r="L1004" t="s">
        <v>62</v>
      </c>
      <c r="M1004" t="s">
        <v>395</v>
      </c>
      <c r="N1004" t="s">
        <v>396</v>
      </c>
      <c r="O1004" t="s">
        <v>257</v>
      </c>
      <c r="P1004" t="s">
        <v>383</v>
      </c>
      <c r="Q1004" t="s">
        <v>1167</v>
      </c>
      <c r="R1004" t="s">
        <v>1168</v>
      </c>
      <c r="S1004" t="s">
        <v>46</v>
      </c>
      <c r="T1004" t="s">
        <v>46</v>
      </c>
      <c r="U1004" s="4">
        <v>150.13</v>
      </c>
      <c r="V1004" t="str">
        <f t="shared" si="15"/>
        <v>C050</v>
      </c>
      <c r="W1004" t="str">
        <f>VLOOKUP(K1004,[1]Info!A$1:B$21,2,0)</f>
        <v>Carregadeira</v>
      </c>
      <c r="X1004" t="str">
        <f>IF(M1004="109595132","Material de Limpeza-Não Avaliar",IF(AND(K1004="F20",M1004&lt;&gt;109595132),IF(RIGHT(F1004,2)="70","Infraestrutura de Planta","Prédios e Instalações"),IF(K1004="FPC",VLOOKUP(F1004,[1]Info!$E$2:$F$11,2,0),IF(K1004="FGP",VLOOKUP(F1004,[1]Info!$E$9:$F$10,2,0),IF(K1004="F10",VLOOKUP(F1004,[1]Info!$E$2:$F$3,2,0),VLOOKUP(K1004,[1]Info!$A$1:$B$21,2,0))))))</f>
        <v>Carregadeira Plantas</v>
      </c>
    </row>
    <row r="1005" spans="1:24" x14ac:dyDescent="0.35">
      <c r="A1005" t="s">
        <v>41</v>
      </c>
      <c r="B1005" t="s">
        <v>73</v>
      </c>
      <c r="C1005" t="s">
        <v>74</v>
      </c>
      <c r="D1005" t="s">
        <v>94</v>
      </c>
      <c r="E1005" t="s">
        <v>52</v>
      </c>
      <c r="F1005">
        <v>7098131</v>
      </c>
      <c r="G1005" t="s">
        <v>75</v>
      </c>
      <c r="H1005" t="s">
        <v>43</v>
      </c>
      <c r="I1005" t="s">
        <v>44</v>
      </c>
      <c r="J1005" t="s">
        <v>50</v>
      </c>
      <c r="K1005" t="s">
        <v>3</v>
      </c>
      <c r="L1005" t="s">
        <v>62</v>
      </c>
      <c r="M1005" t="s">
        <v>1177</v>
      </c>
      <c r="N1005" t="s">
        <v>1178</v>
      </c>
      <c r="O1005" t="s">
        <v>143</v>
      </c>
      <c r="P1005" t="s">
        <v>383</v>
      </c>
      <c r="Q1005" t="s">
        <v>158</v>
      </c>
      <c r="R1005" t="s">
        <v>159</v>
      </c>
      <c r="S1005" t="s">
        <v>46</v>
      </c>
      <c r="T1005" t="s">
        <v>46</v>
      </c>
      <c r="U1005" s="4">
        <v>796.13</v>
      </c>
      <c r="V1005" t="str">
        <f t="shared" si="15"/>
        <v>C048</v>
      </c>
      <c r="W1005" t="str">
        <f>VLOOKUP(K1005,[1]Info!A$1:B$21,2,0)</f>
        <v>Carregadeira</v>
      </c>
      <c r="X1005" t="str">
        <f>IF(M1005="109595132","Material de Limpeza-Não Avaliar",IF(AND(K1005="F20",M1005&lt;&gt;109595132),IF(RIGHT(F1005,2)="70","Infraestrutura de Planta","Prédios e Instalações"),IF(K1005="FPC",VLOOKUP(F1005,[1]Info!$E$2:$F$11,2,0),IF(K1005="FGP",VLOOKUP(F1005,[1]Info!$E$9:$F$10,2,0),IF(K1005="F10",VLOOKUP(F1005,[1]Info!$E$2:$F$3,2,0),VLOOKUP(K1005,[1]Info!$A$1:$B$21,2,0))))))</f>
        <v>Carregadeira Plantas</v>
      </c>
    </row>
    <row r="1006" spans="1:24" x14ac:dyDescent="0.35">
      <c r="A1006" t="s">
        <v>41</v>
      </c>
      <c r="B1006" t="s">
        <v>73</v>
      </c>
      <c r="C1006" t="s">
        <v>74</v>
      </c>
      <c r="D1006" t="s">
        <v>94</v>
      </c>
      <c r="E1006" t="s">
        <v>52</v>
      </c>
      <c r="F1006">
        <v>7098131</v>
      </c>
      <c r="G1006" t="s">
        <v>75</v>
      </c>
      <c r="H1006" t="s">
        <v>43</v>
      </c>
      <c r="I1006" t="s">
        <v>44</v>
      </c>
      <c r="J1006" t="s">
        <v>50</v>
      </c>
      <c r="K1006" t="s">
        <v>3</v>
      </c>
      <c r="L1006" t="s">
        <v>62</v>
      </c>
      <c r="M1006" t="s">
        <v>1177</v>
      </c>
      <c r="N1006" t="s">
        <v>1178</v>
      </c>
      <c r="O1006" t="s">
        <v>143</v>
      </c>
      <c r="P1006" t="s">
        <v>383</v>
      </c>
      <c r="Q1006" t="s">
        <v>160</v>
      </c>
      <c r="R1006" t="s">
        <v>161</v>
      </c>
      <c r="S1006" t="s">
        <v>46</v>
      </c>
      <c r="T1006" t="s">
        <v>46</v>
      </c>
      <c r="U1006" s="4">
        <v>385.32</v>
      </c>
      <c r="V1006" t="str">
        <f t="shared" si="15"/>
        <v>C048</v>
      </c>
      <c r="W1006" t="str">
        <f>VLOOKUP(K1006,[1]Info!A$1:B$21,2,0)</f>
        <v>Carregadeira</v>
      </c>
      <c r="X1006" t="str">
        <f>IF(M1006="109595132","Material de Limpeza-Não Avaliar",IF(AND(K1006="F20",M1006&lt;&gt;109595132),IF(RIGHT(F1006,2)="70","Infraestrutura de Planta","Prédios e Instalações"),IF(K1006="FPC",VLOOKUP(F1006,[1]Info!$E$2:$F$11,2,0),IF(K1006="FGP",VLOOKUP(F1006,[1]Info!$E$9:$F$10,2,0),IF(K1006="F10",VLOOKUP(F1006,[1]Info!$E$2:$F$3,2,0),VLOOKUP(K1006,[1]Info!$A$1:$B$21,2,0))))))</f>
        <v>Carregadeira Plantas</v>
      </c>
    </row>
    <row r="1007" spans="1:24" x14ac:dyDescent="0.35">
      <c r="A1007" t="s">
        <v>41</v>
      </c>
      <c r="B1007" t="s">
        <v>73</v>
      </c>
      <c r="C1007" t="s">
        <v>74</v>
      </c>
      <c r="D1007" t="s">
        <v>94</v>
      </c>
      <c r="E1007" t="s">
        <v>52</v>
      </c>
      <c r="F1007">
        <v>7098131</v>
      </c>
      <c r="G1007" t="s">
        <v>75</v>
      </c>
      <c r="H1007" t="s">
        <v>43</v>
      </c>
      <c r="I1007" t="s">
        <v>44</v>
      </c>
      <c r="J1007" t="s">
        <v>50</v>
      </c>
      <c r="K1007" t="s">
        <v>3</v>
      </c>
      <c r="L1007" t="s">
        <v>62</v>
      </c>
      <c r="M1007" t="s">
        <v>359</v>
      </c>
      <c r="N1007" t="s">
        <v>360</v>
      </c>
      <c r="O1007" t="s">
        <v>142</v>
      </c>
      <c r="P1007" t="s">
        <v>383</v>
      </c>
      <c r="Q1007" t="s">
        <v>1112</v>
      </c>
      <c r="R1007" t="s">
        <v>1113</v>
      </c>
      <c r="S1007" t="s">
        <v>46</v>
      </c>
      <c r="T1007" t="s">
        <v>46</v>
      </c>
      <c r="U1007" s="4">
        <v>129.34</v>
      </c>
      <c r="V1007" t="str">
        <f t="shared" si="15"/>
        <v>C027</v>
      </c>
      <c r="W1007" t="str">
        <f>VLOOKUP(K1007,[1]Info!A$1:B$21,2,0)</f>
        <v>Carregadeira</v>
      </c>
      <c r="X1007" t="str">
        <f>IF(M1007="109595132","Material de Limpeza-Não Avaliar",IF(AND(K1007="F20",M1007&lt;&gt;109595132),IF(RIGHT(F1007,2)="70","Infraestrutura de Planta","Prédios e Instalações"),IF(K1007="FPC",VLOOKUP(F1007,[1]Info!$E$2:$F$11,2,0),IF(K1007="FGP",VLOOKUP(F1007,[1]Info!$E$9:$F$10,2,0),IF(K1007="F10",VLOOKUP(F1007,[1]Info!$E$2:$F$3,2,0),VLOOKUP(K1007,[1]Info!$A$1:$B$21,2,0))))))</f>
        <v>Carregadeira Plantas</v>
      </c>
    </row>
    <row r="1008" spans="1:24" x14ac:dyDescent="0.35">
      <c r="A1008" t="s">
        <v>41</v>
      </c>
      <c r="B1008" t="s">
        <v>73</v>
      </c>
      <c r="C1008" t="s">
        <v>74</v>
      </c>
      <c r="D1008" t="s">
        <v>94</v>
      </c>
      <c r="E1008" t="s">
        <v>52</v>
      </c>
      <c r="F1008">
        <v>7098131</v>
      </c>
      <c r="G1008" t="s">
        <v>75</v>
      </c>
      <c r="H1008" t="s">
        <v>43</v>
      </c>
      <c r="I1008" t="s">
        <v>44</v>
      </c>
      <c r="J1008" t="s">
        <v>50</v>
      </c>
      <c r="K1008" t="s">
        <v>3</v>
      </c>
      <c r="L1008" t="s">
        <v>62</v>
      </c>
      <c r="M1008" t="s">
        <v>359</v>
      </c>
      <c r="N1008" t="s">
        <v>360</v>
      </c>
      <c r="O1008" t="s">
        <v>142</v>
      </c>
      <c r="P1008" t="s">
        <v>383</v>
      </c>
      <c r="Q1008" t="s">
        <v>1114</v>
      </c>
      <c r="R1008" t="s">
        <v>1115</v>
      </c>
      <c r="S1008" t="s">
        <v>46</v>
      </c>
      <c r="T1008" t="s">
        <v>46</v>
      </c>
      <c r="U1008" s="4">
        <v>52.26</v>
      </c>
      <c r="V1008" t="str">
        <f t="shared" si="15"/>
        <v>C027</v>
      </c>
      <c r="W1008" t="str">
        <f>VLOOKUP(K1008,[1]Info!A$1:B$21,2,0)</f>
        <v>Carregadeira</v>
      </c>
      <c r="X1008" t="str">
        <f>IF(M1008="109595132","Material de Limpeza-Não Avaliar",IF(AND(K1008="F20",M1008&lt;&gt;109595132),IF(RIGHT(F1008,2)="70","Infraestrutura de Planta","Prédios e Instalações"),IF(K1008="FPC",VLOOKUP(F1008,[1]Info!$E$2:$F$11,2,0),IF(K1008="FGP",VLOOKUP(F1008,[1]Info!$E$9:$F$10,2,0),IF(K1008="F10",VLOOKUP(F1008,[1]Info!$E$2:$F$3,2,0),VLOOKUP(K1008,[1]Info!$A$1:$B$21,2,0))))))</f>
        <v>Carregadeira Plantas</v>
      </c>
    </row>
    <row r="1009" spans="1:24" x14ac:dyDescent="0.35">
      <c r="A1009" t="s">
        <v>41</v>
      </c>
      <c r="B1009" t="s">
        <v>73</v>
      </c>
      <c r="C1009" t="s">
        <v>74</v>
      </c>
      <c r="D1009" t="s">
        <v>94</v>
      </c>
      <c r="E1009" t="s">
        <v>52</v>
      </c>
      <c r="F1009">
        <v>7098131</v>
      </c>
      <c r="G1009" t="s">
        <v>75</v>
      </c>
      <c r="H1009" t="s">
        <v>43</v>
      </c>
      <c r="I1009" t="s">
        <v>44</v>
      </c>
      <c r="J1009" t="s">
        <v>50</v>
      </c>
      <c r="K1009" t="s">
        <v>3</v>
      </c>
      <c r="L1009" t="s">
        <v>62</v>
      </c>
      <c r="M1009" t="s">
        <v>359</v>
      </c>
      <c r="N1009" t="s">
        <v>360</v>
      </c>
      <c r="O1009" t="s">
        <v>142</v>
      </c>
      <c r="P1009" t="s">
        <v>383</v>
      </c>
      <c r="Q1009" t="s">
        <v>1116</v>
      </c>
      <c r="R1009" t="s">
        <v>1117</v>
      </c>
      <c r="S1009" t="s">
        <v>46</v>
      </c>
      <c r="T1009" t="s">
        <v>46</v>
      </c>
      <c r="U1009" s="4">
        <v>182.16</v>
      </c>
      <c r="V1009" t="str">
        <f t="shared" si="15"/>
        <v>C027</v>
      </c>
      <c r="W1009" t="str">
        <f>VLOOKUP(K1009,[1]Info!A$1:B$21,2,0)</f>
        <v>Carregadeira</v>
      </c>
      <c r="X1009" t="str">
        <f>IF(M1009="109595132","Material de Limpeza-Não Avaliar",IF(AND(K1009="F20",M1009&lt;&gt;109595132),IF(RIGHT(F1009,2)="70","Infraestrutura de Planta","Prédios e Instalações"),IF(K1009="FPC",VLOOKUP(F1009,[1]Info!$E$2:$F$11,2,0),IF(K1009="FGP",VLOOKUP(F1009,[1]Info!$E$9:$F$10,2,0),IF(K1009="F10",VLOOKUP(F1009,[1]Info!$E$2:$F$3,2,0),VLOOKUP(K1009,[1]Info!$A$1:$B$21,2,0))))))</f>
        <v>Carregadeira Plantas</v>
      </c>
    </row>
    <row r="1010" spans="1:24" x14ac:dyDescent="0.35">
      <c r="A1010" t="s">
        <v>41</v>
      </c>
      <c r="B1010" t="s">
        <v>73</v>
      </c>
      <c r="C1010" t="s">
        <v>74</v>
      </c>
      <c r="D1010" t="s">
        <v>94</v>
      </c>
      <c r="E1010" t="s">
        <v>52</v>
      </c>
      <c r="F1010">
        <v>7098131</v>
      </c>
      <c r="G1010" t="s">
        <v>75</v>
      </c>
      <c r="H1010" t="s">
        <v>43</v>
      </c>
      <c r="I1010" t="s">
        <v>44</v>
      </c>
      <c r="J1010" t="s">
        <v>50</v>
      </c>
      <c r="K1010" t="s">
        <v>3</v>
      </c>
      <c r="L1010" t="s">
        <v>62</v>
      </c>
      <c r="M1010" t="s">
        <v>359</v>
      </c>
      <c r="N1010" t="s">
        <v>360</v>
      </c>
      <c r="O1010" t="s">
        <v>142</v>
      </c>
      <c r="P1010" t="s">
        <v>383</v>
      </c>
      <c r="Q1010" t="s">
        <v>228</v>
      </c>
      <c r="R1010" t="s">
        <v>229</v>
      </c>
      <c r="S1010" t="s">
        <v>46</v>
      </c>
      <c r="T1010" t="s">
        <v>46</v>
      </c>
      <c r="U1010" s="4">
        <v>98.95</v>
      </c>
      <c r="V1010" t="str">
        <f t="shared" si="15"/>
        <v>C027</v>
      </c>
      <c r="W1010" t="str">
        <f>VLOOKUP(K1010,[1]Info!A$1:B$21,2,0)</f>
        <v>Carregadeira</v>
      </c>
      <c r="X1010" t="str">
        <f>IF(M1010="109595132","Material de Limpeza-Não Avaliar",IF(AND(K1010="F20",M1010&lt;&gt;109595132),IF(RIGHT(F1010,2)="70","Infraestrutura de Planta","Prédios e Instalações"),IF(K1010="FPC",VLOOKUP(F1010,[1]Info!$E$2:$F$11,2,0),IF(K1010="FGP",VLOOKUP(F1010,[1]Info!$E$9:$F$10,2,0),IF(K1010="F10",VLOOKUP(F1010,[1]Info!$E$2:$F$3,2,0),VLOOKUP(K1010,[1]Info!$A$1:$B$21,2,0))))))</f>
        <v>Carregadeira Plantas</v>
      </c>
    </row>
    <row r="1011" spans="1:24" x14ac:dyDescent="0.35">
      <c r="A1011" t="s">
        <v>41</v>
      </c>
      <c r="B1011" t="s">
        <v>73</v>
      </c>
      <c r="C1011" t="s">
        <v>74</v>
      </c>
      <c r="D1011" t="s">
        <v>94</v>
      </c>
      <c r="E1011" t="s">
        <v>52</v>
      </c>
      <c r="F1011">
        <v>7098131</v>
      </c>
      <c r="G1011" t="s">
        <v>75</v>
      </c>
      <c r="H1011" t="s">
        <v>43</v>
      </c>
      <c r="I1011" t="s">
        <v>44</v>
      </c>
      <c r="J1011" t="s">
        <v>50</v>
      </c>
      <c r="K1011" t="s">
        <v>3</v>
      </c>
      <c r="L1011" t="s">
        <v>62</v>
      </c>
      <c r="M1011" t="s">
        <v>359</v>
      </c>
      <c r="N1011" t="s">
        <v>360</v>
      </c>
      <c r="O1011" t="s">
        <v>142</v>
      </c>
      <c r="P1011" t="s">
        <v>383</v>
      </c>
      <c r="Q1011" t="s">
        <v>1118</v>
      </c>
      <c r="R1011" t="s">
        <v>1119</v>
      </c>
      <c r="S1011" t="s">
        <v>46</v>
      </c>
      <c r="T1011" t="s">
        <v>46</v>
      </c>
      <c r="U1011" s="4">
        <v>323.23</v>
      </c>
      <c r="V1011" t="str">
        <f t="shared" si="15"/>
        <v>C027</v>
      </c>
      <c r="W1011" t="str">
        <f>VLOOKUP(K1011,[1]Info!A$1:B$21,2,0)</f>
        <v>Carregadeira</v>
      </c>
      <c r="X1011" t="str">
        <f>IF(M1011="109595132","Material de Limpeza-Não Avaliar",IF(AND(K1011="F20",M1011&lt;&gt;109595132),IF(RIGHT(F1011,2)="70","Infraestrutura de Planta","Prédios e Instalações"),IF(K1011="FPC",VLOOKUP(F1011,[1]Info!$E$2:$F$11,2,0),IF(K1011="FGP",VLOOKUP(F1011,[1]Info!$E$9:$F$10,2,0),IF(K1011="F10",VLOOKUP(F1011,[1]Info!$E$2:$F$3,2,0),VLOOKUP(K1011,[1]Info!$A$1:$B$21,2,0))))))</f>
        <v>Carregadeira Plantas</v>
      </c>
    </row>
    <row r="1012" spans="1:24" x14ac:dyDescent="0.35">
      <c r="A1012" t="s">
        <v>41</v>
      </c>
      <c r="B1012" t="s">
        <v>73</v>
      </c>
      <c r="C1012" t="s">
        <v>74</v>
      </c>
      <c r="D1012" t="s">
        <v>94</v>
      </c>
      <c r="E1012" t="s">
        <v>52</v>
      </c>
      <c r="F1012">
        <v>7098131</v>
      </c>
      <c r="G1012" t="s">
        <v>75</v>
      </c>
      <c r="H1012" t="s">
        <v>43</v>
      </c>
      <c r="I1012" t="s">
        <v>44</v>
      </c>
      <c r="J1012" t="s">
        <v>50</v>
      </c>
      <c r="K1012" t="s">
        <v>3</v>
      </c>
      <c r="L1012" t="s">
        <v>62</v>
      </c>
      <c r="M1012" t="s">
        <v>359</v>
      </c>
      <c r="N1012" t="s">
        <v>360</v>
      </c>
      <c r="O1012" t="s">
        <v>142</v>
      </c>
      <c r="P1012" t="s">
        <v>383</v>
      </c>
      <c r="Q1012" t="s">
        <v>1120</v>
      </c>
      <c r="R1012" t="s">
        <v>1121</v>
      </c>
      <c r="S1012" t="s">
        <v>46</v>
      </c>
      <c r="T1012" t="s">
        <v>46</v>
      </c>
      <c r="U1012" s="4">
        <v>171.04</v>
      </c>
      <c r="V1012" t="str">
        <f t="shared" si="15"/>
        <v>C027</v>
      </c>
      <c r="W1012" t="str">
        <f>VLOOKUP(K1012,[1]Info!A$1:B$21,2,0)</f>
        <v>Carregadeira</v>
      </c>
      <c r="X1012" t="str">
        <f>IF(M1012="109595132","Material de Limpeza-Não Avaliar",IF(AND(K1012="F20",M1012&lt;&gt;109595132),IF(RIGHT(F1012,2)="70","Infraestrutura de Planta","Prédios e Instalações"),IF(K1012="FPC",VLOOKUP(F1012,[1]Info!$E$2:$F$11,2,0),IF(K1012="FGP",VLOOKUP(F1012,[1]Info!$E$9:$F$10,2,0),IF(K1012="F10",VLOOKUP(F1012,[1]Info!$E$2:$F$3,2,0),VLOOKUP(K1012,[1]Info!$A$1:$B$21,2,0))))))</f>
        <v>Carregadeira Plantas</v>
      </c>
    </row>
    <row r="1013" spans="1:24" x14ac:dyDescent="0.35">
      <c r="A1013" t="s">
        <v>41</v>
      </c>
      <c r="B1013" t="s">
        <v>73</v>
      </c>
      <c r="C1013" t="s">
        <v>74</v>
      </c>
      <c r="D1013" t="s">
        <v>94</v>
      </c>
      <c r="E1013" t="s">
        <v>52</v>
      </c>
      <c r="F1013">
        <v>7098131</v>
      </c>
      <c r="G1013" t="s">
        <v>75</v>
      </c>
      <c r="H1013" t="s">
        <v>43</v>
      </c>
      <c r="I1013" t="s">
        <v>44</v>
      </c>
      <c r="J1013" t="s">
        <v>50</v>
      </c>
      <c r="K1013" t="s">
        <v>3</v>
      </c>
      <c r="L1013" t="s">
        <v>62</v>
      </c>
      <c r="M1013" t="s">
        <v>359</v>
      </c>
      <c r="N1013" t="s">
        <v>360</v>
      </c>
      <c r="O1013" t="s">
        <v>142</v>
      </c>
      <c r="P1013" t="s">
        <v>383</v>
      </c>
      <c r="Q1013" t="s">
        <v>1122</v>
      </c>
      <c r="R1013" t="s">
        <v>1123</v>
      </c>
      <c r="S1013" t="s">
        <v>46</v>
      </c>
      <c r="T1013" t="s">
        <v>46</v>
      </c>
      <c r="U1013" s="4">
        <v>125.62</v>
      </c>
      <c r="V1013" t="str">
        <f t="shared" si="15"/>
        <v>C027</v>
      </c>
      <c r="W1013" t="str">
        <f>VLOOKUP(K1013,[1]Info!A$1:B$21,2,0)</f>
        <v>Carregadeira</v>
      </c>
      <c r="X1013" t="str">
        <f>IF(M1013="109595132","Material de Limpeza-Não Avaliar",IF(AND(K1013="F20",M1013&lt;&gt;109595132),IF(RIGHT(F1013,2)="70","Infraestrutura de Planta","Prédios e Instalações"),IF(K1013="FPC",VLOOKUP(F1013,[1]Info!$E$2:$F$11,2,0),IF(K1013="FGP",VLOOKUP(F1013,[1]Info!$E$9:$F$10,2,0),IF(K1013="F10",VLOOKUP(F1013,[1]Info!$E$2:$F$3,2,0),VLOOKUP(K1013,[1]Info!$A$1:$B$21,2,0))))))</f>
        <v>Carregadeira Plantas</v>
      </c>
    </row>
    <row r="1014" spans="1:24" x14ac:dyDescent="0.35">
      <c r="A1014" t="s">
        <v>41</v>
      </c>
      <c r="B1014" t="s">
        <v>73</v>
      </c>
      <c r="C1014" t="s">
        <v>74</v>
      </c>
      <c r="D1014" t="s">
        <v>94</v>
      </c>
      <c r="E1014" t="s">
        <v>52</v>
      </c>
      <c r="F1014">
        <v>7098131</v>
      </c>
      <c r="G1014" t="s">
        <v>75</v>
      </c>
      <c r="H1014" t="s">
        <v>43</v>
      </c>
      <c r="I1014" t="s">
        <v>44</v>
      </c>
      <c r="J1014" t="s">
        <v>50</v>
      </c>
      <c r="K1014" t="s">
        <v>3</v>
      </c>
      <c r="L1014" t="s">
        <v>62</v>
      </c>
      <c r="M1014" t="s">
        <v>359</v>
      </c>
      <c r="N1014" t="s">
        <v>360</v>
      </c>
      <c r="O1014" t="s">
        <v>142</v>
      </c>
      <c r="P1014" t="s">
        <v>383</v>
      </c>
      <c r="Q1014" t="s">
        <v>1124</v>
      </c>
      <c r="R1014" t="s">
        <v>1125</v>
      </c>
      <c r="S1014" t="s">
        <v>46</v>
      </c>
      <c r="T1014" t="s">
        <v>46</v>
      </c>
      <c r="U1014" s="4">
        <v>629.54999999999995</v>
      </c>
      <c r="V1014" t="str">
        <f t="shared" si="15"/>
        <v>C027</v>
      </c>
      <c r="W1014" t="str">
        <f>VLOOKUP(K1014,[1]Info!A$1:B$21,2,0)</f>
        <v>Carregadeira</v>
      </c>
      <c r="X1014" t="str">
        <f>IF(M1014="109595132","Material de Limpeza-Não Avaliar",IF(AND(K1014="F20",M1014&lt;&gt;109595132),IF(RIGHT(F1014,2)="70","Infraestrutura de Planta","Prédios e Instalações"),IF(K1014="FPC",VLOOKUP(F1014,[1]Info!$E$2:$F$11,2,0),IF(K1014="FGP",VLOOKUP(F1014,[1]Info!$E$9:$F$10,2,0),IF(K1014="F10",VLOOKUP(F1014,[1]Info!$E$2:$F$3,2,0),VLOOKUP(K1014,[1]Info!$A$1:$B$21,2,0))))))</f>
        <v>Carregadeira Plantas</v>
      </c>
    </row>
    <row r="1015" spans="1:24" x14ac:dyDescent="0.35">
      <c r="A1015" t="s">
        <v>41</v>
      </c>
      <c r="B1015" t="s">
        <v>73</v>
      </c>
      <c r="C1015" t="s">
        <v>74</v>
      </c>
      <c r="D1015" t="s">
        <v>94</v>
      </c>
      <c r="E1015" t="s">
        <v>52</v>
      </c>
      <c r="F1015">
        <v>7098131</v>
      </c>
      <c r="G1015" t="s">
        <v>75</v>
      </c>
      <c r="H1015" t="s">
        <v>43</v>
      </c>
      <c r="I1015" t="s">
        <v>44</v>
      </c>
      <c r="J1015" t="s">
        <v>50</v>
      </c>
      <c r="K1015" t="s">
        <v>3</v>
      </c>
      <c r="L1015" t="s">
        <v>62</v>
      </c>
      <c r="M1015" t="s">
        <v>359</v>
      </c>
      <c r="N1015" t="s">
        <v>360</v>
      </c>
      <c r="O1015" t="s">
        <v>142</v>
      </c>
      <c r="P1015" t="s">
        <v>383</v>
      </c>
      <c r="Q1015" t="s">
        <v>156</v>
      </c>
      <c r="R1015" t="s">
        <v>157</v>
      </c>
      <c r="S1015" t="s">
        <v>46</v>
      </c>
      <c r="T1015" t="s">
        <v>46</v>
      </c>
      <c r="U1015" s="4">
        <v>83.34</v>
      </c>
      <c r="V1015" t="str">
        <f t="shared" si="15"/>
        <v>C027</v>
      </c>
      <c r="W1015" t="str">
        <f>VLOOKUP(K1015,[1]Info!A$1:B$21,2,0)</f>
        <v>Carregadeira</v>
      </c>
      <c r="X1015" t="str">
        <f>IF(M1015="109595132","Material de Limpeza-Não Avaliar",IF(AND(K1015="F20",M1015&lt;&gt;109595132),IF(RIGHT(F1015,2)="70","Infraestrutura de Planta","Prédios e Instalações"),IF(K1015="FPC",VLOOKUP(F1015,[1]Info!$E$2:$F$11,2,0),IF(K1015="FGP",VLOOKUP(F1015,[1]Info!$E$9:$F$10,2,0),IF(K1015="F10",VLOOKUP(F1015,[1]Info!$E$2:$F$3,2,0),VLOOKUP(K1015,[1]Info!$A$1:$B$21,2,0))))))</f>
        <v>Carregadeira Plantas</v>
      </c>
    </row>
    <row r="1016" spans="1:24" x14ac:dyDescent="0.35">
      <c r="A1016" t="s">
        <v>41</v>
      </c>
      <c r="B1016" t="s">
        <v>73</v>
      </c>
      <c r="C1016" t="s">
        <v>74</v>
      </c>
      <c r="D1016" t="s">
        <v>94</v>
      </c>
      <c r="E1016" t="s">
        <v>52</v>
      </c>
      <c r="F1016">
        <v>7098131</v>
      </c>
      <c r="G1016" t="s">
        <v>75</v>
      </c>
      <c r="H1016" t="s">
        <v>43</v>
      </c>
      <c r="I1016" t="s">
        <v>44</v>
      </c>
      <c r="J1016" t="s">
        <v>50</v>
      </c>
      <c r="K1016" t="s">
        <v>3</v>
      </c>
      <c r="L1016" t="s">
        <v>62</v>
      </c>
      <c r="M1016" t="s">
        <v>359</v>
      </c>
      <c r="N1016" t="s">
        <v>360</v>
      </c>
      <c r="O1016" t="s">
        <v>142</v>
      </c>
      <c r="P1016" t="s">
        <v>383</v>
      </c>
      <c r="Q1016" t="s">
        <v>1167</v>
      </c>
      <c r="R1016" t="s">
        <v>1168</v>
      </c>
      <c r="S1016" t="s">
        <v>46</v>
      </c>
      <c r="T1016" t="s">
        <v>46</v>
      </c>
      <c r="U1016" s="4">
        <v>150.12</v>
      </c>
      <c r="V1016" t="str">
        <f t="shared" si="15"/>
        <v>C027</v>
      </c>
      <c r="W1016" t="str">
        <f>VLOOKUP(K1016,[1]Info!A$1:B$21,2,0)</f>
        <v>Carregadeira</v>
      </c>
      <c r="X1016" t="str">
        <f>IF(M1016="109595132","Material de Limpeza-Não Avaliar",IF(AND(K1016="F20",M1016&lt;&gt;109595132),IF(RIGHT(F1016,2)="70","Infraestrutura de Planta","Prédios e Instalações"),IF(K1016="FPC",VLOOKUP(F1016,[1]Info!$E$2:$F$11,2,0),IF(K1016="FGP",VLOOKUP(F1016,[1]Info!$E$9:$F$10,2,0),IF(K1016="F10",VLOOKUP(F1016,[1]Info!$E$2:$F$3,2,0),VLOOKUP(K1016,[1]Info!$A$1:$B$21,2,0))))))</f>
        <v>Carregadeira Plantas</v>
      </c>
    </row>
    <row r="1017" spans="1:24" x14ac:dyDescent="0.35">
      <c r="A1017" t="s">
        <v>41</v>
      </c>
      <c r="B1017" t="s">
        <v>73</v>
      </c>
      <c r="C1017" t="s">
        <v>74</v>
      </c>
      <c r="D1017" t="s">
        <v>94</v>
      </c>
      <c r="E1017" t="s">
        <v>52</v>
      </c>
      <c r="F1017">
        <v>7098131</v>
      </c>
      <c r="G1017" t="s">
        <v>75</v>
      </c>
      <c r="H1017" t="s">
        <v>43</v>
      </c>
      <c r="I1017" t="s">
        <v>44</v>
      </c>
      <c r="J1017" t="s">
        <v>50</v>
      </c>
      <c r="K1017" t="s">
        <v>3</v>
      </c>
      <c r="L1017" t="s">
        <v>62</v>
      </c>
      <c r="M1017" t="s">
        <v>1179</v>
      </c>
      <c r="N1017" t="s">
        <v>1180</v>
      </c>
      <c r="O1017" t="s">
        <v>98</v>
      </c>
      <c r="P1017" t="s">
        <v>383</v>
      </c>
      <c r="Q1017" t="s">
        <v>1112</v>
      </c>
      <c r="R1017" t="s">
        <v>1113</v>
      </c>
      <c r="S1017" t="s">
        <v>46</v>
      </c>
      <c r="T1017" t="s">
        <v>46</v>
      </c>
      <c r="U1017" s="4">
        <v>130.97999999999999</v>
      </c>
      <c r="V1017" t="str">
        <f t="shared" si="15"/>
        <v>C030</v>
      </c>
      <c r="W1017" t="str">
        <f>VLOOKUP(K1017,[1]Info!A$1:B$21,2,0)</f>
        <v>Carregadeira</v>
      </c>
      <c r="X1017" t="str">
        <f>IF(M1017="109595132","Material de Limpeza-Não Avaliar",IF(AND(K1017="F20",M1017&lt;&gt;109595132),IF(RIGHT(F1017,2)="70","Infraestrutura de Planta","Prédios e Instalações"),IF(K1017="FPC",VLOOKUP(F1017,[1]Info!$E$2:$F$11,2,0),IF(K1017="FGP",VLOOKUP(F1017,[1]Info!$E$9:$F$10,2,0),IF(K1017="F10",VLOOKUP(F1017,[1]Info!$E$2:$F$3,2,0),VLOOKUP(K1017,[1]Info!$A$1:$B$21,2,0))))))</f>
        <v>Carregadeira Plantas</v>
      </c>
    </row>
    <row r="1018" spans="1:24" x14ac:dyDescent="0.35">
      <c r="A1018" t="s">
        <v>41</v>
      </c>
      <c r="B1018" t="s">
        <v>73</v>
      </c>
      <c r="C1018" t="s">
        <v>74</v>
      </c>
      <c r="D1018" t="s">
        <v>94</v>
      </c>
      <c r="E1018" t="s">
        <v>52</v>
      </c>
      <c r="F1018">
        <v>7098131</v>
      </c>
      <c r="G1018" t="s">
        <v>75</v>
      </c>
      <c r="H1018" t="s">
        <v>43</v>
      </c>
      <c r="I1018" t="s">
        <v>44</v>
      </c>
      <c r="J1018" t="s">
        <v>50</v>
      </c>
      <c r="K1018" t="s">
        <v>3</v>
      </c>
      <c r="L1018" t="s">
        <v>62</v>
      </c>
      <c r="M1018" t="s">
        <v>1179</v>
      </c>
      <c r="N1018" t="s">
        <v>1180</v>
      </c>
      <c r="O1018" t="s">
        <v>98</v>
      </c>
      <c r="P1018" t="s">
        <v>383</v>
      </c>
      <c r="Q1018" t="s">
        <v>1114</v>
      </c>
      <c r="R1018" t="s">
        <v>1115</v>
      </c>
      <c r="S1018" t="s">
        <v>46</v>
      </c>
      <c r="T1018" t="s">
        <v>46</v>
      </c>
      <c r="U1018" s="4">
        <v>51.45</v>
      </c>
      <c r="V1018" t="str">
        <f t="shared" si="15"/>
        <v>C030</v>
      </c>
      <c r="W1018" t="str">
        <f>VLOOKUP(K1018,[1]Info!A$1:B$21,2,0)</f>
        <v>Carregadeira</v>
      </c>
      <c r="X1018" t="str">
        <f>IF(M1018="109595132","Material de Limpeza-Não Avaliar",IF(AND(K1018="F20",M1018&lt;&gt;109595132),IF(RIGHT(F1018,2)="70","Infraestrutura de Planta","Prédios e Instalações"),IF(K1018="FPC",VLOOKUP(F1018,[1]Info!$E$2:$F$11,2,0),IF(K1018="FGP",VLOOKUP(F1018,[1]Info!$E$9:$F$10,2,0),IF(K1018="F10",VLOOKUP(F1018,[1]Info!$E$2:$F$3,2,0),VLOOKUP(K1018,[1]Info!$A$1:$B$21,2,0))))))</f>
        <v>Carregadeira Plantas</v>
      </c>
    </row>
    <row r="1019" spans="1:24" x14ac:dyDescent="0.35">
      <c r="A1019" t="s">
        <v>41</v>
      </c>
      <c r="B1019" t="s">
        <v>73</v>
      </c>
      <c r="C1019" t="s">
        <v>74</v>
      </c>
      <c r="D1019" t="s">
        <v>94</v>
      </c>
      <c r="E1019" t="s">
        <v>52</v>
      </c>
      <c r="F1019">
        <v>7098131</v>
      </c>
      <c r="G1019" t="s">
        <v>75</v>
      </c>
      <c r="H1019" t="s">
        <v>43</v>
      </c>
      <c r="I1019" t="s">
        <v>44</v>
      </c>
      <c r="J1019" t="s">
        <v>50</v>
      </c>
      <c r="K1019" t="s">
        <v>3</v>
      </c>
      <c r="L1019" t="s">
        <v>62</v>
      </c>
      <c r="M1019" t="s">
        <v>1179</v>
      </c>
      <c r="N1019" t="s">
        <v>1180</v>
      </c>
      <c r="O1019" t="s">
        <v>98</v>
      </c>
      <c r="P1019" t="s">
        <v>383</v>
      </c>
      <c r="Q1019" t="s">
        <v>1116</v>
      </c>
      <c r="R1019" t="s">
        <v>1117</v>
      </c>
      <c r="S1019" t="s">
        <v>46</v>
      </c>
      <c r="T1019" t="s">
        <v>46</v>
      </c>
      <c r="U1019" s="4">
        <v>182.16</v>
      </c>
      <c r="V1019" t="str">
        <f t="shared" si="15"/>
        <v>C030</v>
      </c>
      <c r="W1019" t="str">
        <f>VLOOKUP(K1019,[1]Info!A$1:B$21,2,0)</f>
        <v>Carregadeira</v>
      </c>
      <c r="X1019" t="str">
        <f>IF(M1019="109595132","Material de Limpeza-Não Avaliar",IF(AND(K1019="F20",M1019&lt;&gt;109595132),IF(RIGHT(F1019,2)="70","Infraestrutura de Planta","Prédios e Instalações"),IF(K1019="FPC",VLOOKUP(F1019,[1]Info!$E$2:$F$11,2,0),IF(K1019="FGP",VLOOKUP(F1019,[1]Info!$E$9:$F$10,2,0),IF(K1019="F10",VLOOKUP(F1019,[1]Info!$E$2:$F$3,2,0),VLOOKUP(K1019,[1]Info!$A$1:$B$21,2,0))))))</f>
        <v>Carregadeira Plantas</v>
      </c>
    </row>
    <row r="1020" spans="1:24" x14ac:dyDescent="0.35">
      <c r="A1020" t="s">
        <v>41</v>
      </c>
      <c r="B1020" t="s">
        <v>73</v>
      </c>
      <c r="C1020" t="s">
        <v>74</v>
      </c>
      <c r="D1020" t="s">
        <v>94</v>
      </c>
      <c r="E1020" t="s">
        <v>52</v>
      </c>
      <c r="F1020">
        <v>7098131</v>
      </c>
      <c r="G1020" t="s">
        <v>75</v>
      </c>
      <c r="H1020" t="s">
        <v>43</v>
      </c>
      <c r="I1020" t="s">
        <v>44</v>
      </c>
      <c r="J1020" t="s">
        <v>50</v>
      </c>
      <c r="K1020" t="s">
        <v>3</v>
      </c>
      <c r="L1020" t="s">
        <v>62</v>
      </c>
      <c r="M1020" t="s">
        <v>1179</v>
      </c>
      <c r="N1020" t="s">
        <v>1180</v>
      </c>
      <c r="O1020" t="s">
        <v>98</v>
      </c>
      <c r="P1020" t="s">
        <v>383</v>
      </c>
      <c r="Q1020" t="s">
        <v>228</v>
      </c>
      <c r="R1020" t="s">
        <v>229</v>
      </c>
      <c r="S1020" t="s">
        <v>46</v>
      </c>
      <c r="T1020" t="s">
        <v>46</v>
      </c>
      <c r="U1020" s="4">
        <v>98.42</v>
      </c>
      <c r="V1020" t="str">
        <f t="shared" si="15"/>
        <v>C030</v>
      </c>
      <c r="W1020" t="str">
        <f>VLOOKUP(K1020,[1]Info!A$1:B$21,2,0)</f>
        <v>Carregadeira</v>
      </c>
      <c r="X1020" t="str">
        <f>IF(M1020="109595132","Material de Limpeza-Não Avaliar",IF(AND(K1020="F20",M1020&lt;&gt;109595132),IF(RIGHT(F1020,2)="70","Infraestrutura de Planta","Prédios e Instalações"),IF(K1020="FPC",VLOOKUP(F1020,[1]Info!$E$2:$F$11,2,0),IF(K1020="FGP",VLOOKUP(F1020,[1]Info!$E$9:$F$10,2,0),IF(K1020="F10",VLOOKUP(F1020,[1]Info!$E$2:$F$3,2,0),VLOOKUP(K1020,[1]Info!$A$1:$B$21,2,0))))))</f>
        <v>Carregadeira Plantas</v>
      </c>
    </row>
    <row r="1021" spans="1:24" x14ac:dyDescent="0.35">
      <c r="A1021" t="s">
        <v>41</v>
      </c>
      <c r="B1021" t="s">
        <v>73</v>
      </c>
      <c r="C1021" t="s">
        <v>74</v>
      </c>
      <c r="D1021" t="s">
        <v>94</v>
      </c>
      <c r="E1021" t="s">
        <v>52</v>
      </c>
      <c r="F1021">
        <v>7098131</v>
      </c>
      <c r="G1021" t="s">
        <v>75</v>
      </c>
      <c r="H1021" t="s">
        <v>43</v>
      </c>
      <c r="I1021" t="s">
        <v>44</v>
      </c>
      <c r="J1021" t="s">
        <v>50</v>
      </c>
      <c r="K1021" t="s">
        <v>3</v>
      </c>
      <c r="L1021" t="s">
        <v>62</v>
      </c>
      <c r="M1021" t="s">
        <v>1179</v>
      </c>
      <c r="N1021" t="s">
        <v>1180</v>
      </c>
      <c r="O1021" t="s">
        <v>98</v>
      </c>
      <c r="P1021" t="s">
        <v>383</v>
      </c>
      <c r="Q1021" t="s">
        <v>1118</v>
      </c>
      <c r="R1021" t="s">
        <v>1119</v>
      </c>
      <c r="S1021" t="s">
        <v>46</v>
      </c>
      <c r="T1021" t="s">
        <v>46</v>
      </c>
      <c r="U1021" s="4">
        <v>323.23</v>
      </c>
      <c r="V1021" t="str">
        <f t="shared" si="15"/>
        <v>C030</v>
      </c>
      <c r="W1021" t="str">
        <f>VLOOKUP(K1021,[1]Info!A$1:B$21,2,0)</f>
        <v>Carregadeira</v>
      </c>
      <c r="X1021" t="str">
        <f>IF(M1021="109595132","Material de Limpeza-Não Avaliar",IF(AND(K1021="F20",M1021&lt;&gt;109595132),IF(RIGHT(F1021,2)="70","Infraestrutura de Planta","Prédios e Instalações"),IF(K1021="FPC",VLOOKUP(F1021,[1]Info!$E$2:$F$11,2,0),IF(K1021="FGP",VLOOKUP(F1021,[1]Info!$E$9:$F$10,2,0),IF(K1021="F10",VLOOKUP(F1021,[1]Info!$E$2:$F$3,2,0),VLOOKUP(K1021,[1]Info!$A$1:$B$21,2,0))))))</f>
        <v>Carregadeira Plantas</v>
      </c>
    </row>
    <row r="1022" spans="1:24" x14ac:dyDescent="0.35">
      <c r="A1022" t="s">
        <v>41</v>
      </c>
      <c r="B1022" t="s">
        <v>73</v>
      </c>
      <c r="C1022" t="s">
        <v>74</v>
      </c>
      <c r="D1022" t="s">
        <v>94</v>
      </c>
      <c r="E1022" t="s">
        <v>52</v>
      </c>
      <c r="F1022">
        <v>7098131</v>
      </c>
      <c r="G1022" t="s">
        <v>75</v>
      </c>
      <c r="H1022" t="s">
        <v>43</v>
      </c>
      <c r="I1022" t="s">
        <v>44</v>
      </c>
      <c r="J1022" t="s">
        <v>50</v>
      </c>
      <c r="K1022" t="s">
        <v>3</v>
      </c>
      <c r="L1022" t="s">
        <v>62</v>
      </c>
      <c r="M1022" t="s">
        <v>1179</v>
      </c>
      <c r="N1022" t="s">
        <v>1180</v>
      </c>
      <c r="O1022" t="s">
        <v>98</v>
      </c>
      <c r="P1022" t="s">
        <v>383</v>
      </c>
      <c r="Q1022" t="s">
        <v>1120</v>
      </c>
      <c r="R1022" t="s">
        <v>1121</v>
      </c>
      <c r="S1022" t="s">
        <v>46</v>
      </c>
      <c r="T1022" t="s">
        <v>46</v>
      </c>
      <c r="U1022" s="4">
        <v>176.54</v>
      </c>
      <c r="V1022" t="str">
        <f t="shared" si="15"/>
        <v>C030</v>
      </c>
      <c r="W1022" t="str">
        <f>VLOOKUP(K1022,[1]Info!A$1:B$21,2,0)</f>
        <v>Carregadeira</v>
      </c>
      <c r="X1022" t="str">
        <f>IF(M1022="109595132","Material de Limpeza-Não Avaliar",IF(AND(K1022="F20",M1022&lt;&gt;109595132),IF(RIGHT(F1022,2)="70","Infraestrutura de Planta","Prédios e Instalações"),IF(K1022="FPC",VLOOKUP(F1022,[1]Info!$E$2:$F$11,2,0),IF(K1022="FGP",VLOOKUP(F1022,[1]Info!$E$9:$F$10,2,0),IF(K1022="F10",VLOOKUP(F1022,[1]Info!$E$2:$F$3,2,0),VLOOKUP(K1022,[1]Info!$A$1:$B$21,2,0))))))</f>
        <v>Carregadeira Plantas</v>
      </c>
    </row>
    <row r="1023" spans="1:24" x14ac:dyDescent="0.35">
      <c r="A1023" t="s">
        <v>41</v>
      </c>
      <c r="B1023" t="s">
        <v>73</v>
      </c>
      <c r="C1023" t="s">
        <v>74</v>
      </c>
      <c r="D1023" t="s">
        <v>94</v>
      </c>
      <c r="E1023" t="s">
        <v>52</v>
      </c>
      <c r="F1023">
        <v>7098131</v>
      </c>
      <c r="G1023" t="s">
        <v>75</v>
      </c>
      <c r="H1023" t="s">
        <v>43</v>
      </c>
      <c r="I1023" t="s">
        <v>44</v>
      </c>
      <c r="J1023" t="s">
        <v>50</v>
      </c>
      <c r="K1023" t="s">
        <v>3</v>
      </c>
      <c r="L1023" t="s">
        <v>62</v>
      </c>
      <c r="M1023" t="s">
        <v>1179</v>
      </c>
      <c r="N1023" t="s">
        <v>1180</v>
      </c>
      <c r="O1023" t="s">
        <v>98</v>
      </c>
      <c r="P1023" t="s">
        <v>383</v>
      </c>
      <c r="Q1023" t="s">
        <v>1122</v>
      </c>
      <c r="R1023" t="s">
        <v>1123</v>
      </c>
      <c r="S1023" t="s">
        <v>46</v>
      </c>
      <c r="T1023" t="s">
        <v>46</v>
      </c>
      <c r="U1023" s="4">
        <v>119.05</v>
      </c>
      <c r="V1023" t="str">
        <f t="shared" si="15"/>
        <v>C030</v>
      </c>
      <c r="W1023" t="str">
        <f>VLOOKUP(K1023,[1]Info!A$1:B$21,2,0)</f>
        <v>Carregadeira</v>
      </c>
      <c r="X1023" t="str">
        <f>IF(M1023="109595132","Material de Limpeza-Não Avaliar",IF(AND(K1023="F20",M1023&lt;&gt;109595132),IF(RIGHT(F1023,2)="70","Infraestrutura de Planta","Prédios e Instalações"),IF(K1023="FPC",VLOOKUP(F1023,[1]Info!$E$2:$F$11,2,0),IF(K1023="FGP",VLOOKUP(F1023,[1]Info!$E$9:$F$10,2,0),IF(K1023="F10",VLOOKUP(F1023,[1]Info!$E$2:$F$3,2,0),VLOOKUP(K1023,[1]Info!$A$1:$B$21,2,0))))))</f>
        <v>Carregadeira Plantas</v>
      </c>
    </row>
    <row r="1024" spans="1:24" x14ac:dyDescent="0.35">
      <c r="A1024" t="s">
        <v>41</v>
      </c>
      <c r="B1024" t="s">
        <v>73</v>
      </c>
      <c r="C1024" t="s">
        <v>74</v>
      </c>
      <c r="D1024" t="s">
        <v>94</v>
      </c>
      <c r="E1024" t="s">
        <v>52</v>
      </c>
      <c r="F1024">
        <v>7098131</v>
      </c>
      <c r="G1024" t="s">
        <v>75</v>
      </c>
      <c r="H1024" t="s">
        <v>43</v>
      </c>
      <c r="I1024" t="s">
        <v>44</v>
      </c>
      <c r="J1024" t="s">
        <v>50</v>
      </c>
      <c r="K1024" t="s">
        <v>3</v>
      </c>
      <c r="L1024" t="s">
        <v>62</v>
      </c>
      <c r="M1024" t="s">
        <v>1179</v>
      </c>
      <c r="N1024" t="s">
        <v>1180</v>
      </c>
      <c r="O1024" t="s">
        <v>98</v>
      </c>
      <c r="P1024" t="s">
        <v>383</v>
      </c>
      <c r="Q1024" t="s">
        <v>1124</v>
      </c>
      <c r="R1024" t="s">
        <v>1125</v>
      </c>
      <c r="S1024" t="s">
        <v>46</v>
      </c>
      <c r="T1024" t="s">
        <v>46</v>
      </c>
      <c r="U1024" s="4">
        <v>629.54999999999995</v>
      </c>
      <c r="V1024" t="str">
        <f t="shared" si="15"/>
        <v>C030</v>
      </c>
      <c r="W1024" t="str">
        <f>VLOOKUP(K1024,[1]Info!A$1:B$21,2,0)</f>
        <v>Carregadeira</v>
      </c>
      <c r="X1024" t="str">
        <f>IF(M1024="109595132","Material de Limpeza-Não Avaliar",IF(AND(K1024="F20",M1024&lt;&gt;109595132),IF(RIGHT(F1024,2)="70","Infraestrutura de Planta","Prédios e Instalações"),IF(K1024="FPC",VLOOKUP(F1024,[1]Info!$E$2:$F$11,2,0),IF(K1024="FGP",VLOOKUP(F1024,[1]Info!$E$9:$F$10,2,0),IF(K1024="F10",VLOOKUP(F1024,[1]Info!$E$2:$F$3,2,0),VLOOKUP(K1024,[1]Info!$A$1:$B$21,2,0))))))</f>
        <v>Carregadeira Plantas</v>
      </c>
    </row>
    <row r="1025" spans="1:24" x14ac:dyDescent="0.35">
      <c r="A1025" t="s">
        <v>41</v>
      </c>
      <c r="B1025" t="s">
        <v>73</v>
      </c>
      <c r="C1025" t="s">
        <v>74</v>
      </c>
      <c r="D1025" t="s">
        <v>94</v>
      </c>
      <c r="E1025" t="s">
        <v>52</v>
      </c>
      <c r="F1025">
        <v>7098131</v>
      </c>
      <c r="G1025" t="s">
        <v>75</v>
      </c>
      <c r="H1025" t="s">
        <v>43</v>
      </c>
      <c r="I1025" t="s">
        <v>44</v>
      </c>
      <c r="J1025" t="s">
        <v>50</v>
      </c>
      <c r="K1025" t="s">
        <v>3</v>
      </c>
      <c r="L1025" t="s">
        <v>62</v>
      </c>
      <c r="M1025" t="s">
        <v>1179</v>
      </c>
      <c r="N1025" t="s">
        <v>1180</v>
      </c>
      <c r="O1025" t="s">
        <v>98</v>
      </c>
      <c r="P1025" t="s">
        <v>383</v>
      </c>
      <c r="Q1025" t="s">
        <v>154</v>
      </c>
      <c r="R1025" t="s">
        <v>155</v>
      </c>
      <c r="S1025" t="s">
        <v>46</v>
      </c>
      <c r="T1025" t="s">
        <v>46</v>
      </c>
      <c r="U1025" s="4">
        <v>81.22</v>
      </c>
      <c r="V1025" t="str">
        <f t="shared" si="15"/>
        <v>C030</v>
      </c>
      <c r="W1025" t="str">
        <f>VLOOKUP(K1025,[1]Info!A$1:B$21,2,0)</f>
        <v>Carregadeira</v>
      </c>
      <c r="X1025" t="str">
        <f>IF(M1025="109595132","Material de Limpeza-Não Avaliar",IF(AND(K1025="F20",M1025&lt;&gt;109595132),IF(RIGHT(F1025,2)="70","Infraestrutura de Planta","Prédios e Instalações"),IF(K1025="FPC",VLOOKUP(F1025,[1]Info!$E$2:$F$11,2,0),IF(K1025="FGP",VLOOKUP(F1025,[1]Info!$E$9:$F$10,2,0),IF(K1025="F10",VLOOKUP(F1025,[1]Info!$E$2:$F$3,2,0),VLOOKUP(K1025,[1]Info!$A$1:$B$21,2,0))))))</f>
        <v>Carregadeira Plantas</v>
      </c>
    </row>
    <row r="1026" spans="1:24" x14ac:dyDescent="0.35">
      <c r="A1026" t="s">
        <v>41</v>
      </c>
      <c r="B1026" t="s">
        <v>73</v>
      </c>
      <c r="C1026" t="s">
        <v>74</v>
      </c>
      <c r="D1026" t="s">
        <v>94</v>
      </c>
      <c r="E1026" t="s">
        <v>52</v>
      </c>
      <c r="F1026">
        <v>7098131</v>
      </c>
      <c r="G1026" t="s">
        <v>75</v>
      </c>
      <c r="H1026" t="s">
        <v>43</v>
      </c>
      <c r="I1026" t="s">
        <v>44</v>
      </c>
      <c r="J1026" t="s">
        <v>50</v>
      </c>
      <c r="K1026" t="s">
        <v>3</v>
      </c>
      <c r="L1026" t="s">
        <v>62</v>
      </c>
      <c r="M1026" t="s">
        <v>1179</v>
      </c>
      <c r="N1026" t="s">
        <v>1180</v>
      </c>
      <c r="O1026" t="s">
        <v>98</v>
      </c>
      <c r="P1026" t="s">
        <v>383</v>
      </c>
      <c r="Q1026" t="s">
        <v>156</v>
      </c>
      <c r="R1026" t="s">
        <v>157</v>
      </c>
      <c r="S1026" t="s">
        <v>46</v>
      </c>
      <c r="T1026" t="s">
        <v>46</v>
      </c>
      <c r="U1026" s="4">
        <v>83.35</v>
      </c>
      <c r="V1026" t="str">
        <f t="shared" si="15"/>
        <v>C030</v>
      </c>
      <c r="W1026" t="str">
        <f>VLOOKUP(K1026,[1]Info!A$1:B$21,2,0)</f>
        <v>Carregadeira</v>
      </c>
      <c r="X1026" t="str">
        <f>IF(M1026="109595132","Material de Limpeza-Não Avaliar",IF(AND(K1026="F20",M1026&lt;&gt;109595132),IF(RIGHT(F1026,2)="70","Infraestrutura de Planta","Prédios e Instalações"),IF(K1026="FPC",VLOOKUP(F1026,[1]Info!$E$2:$F$11,2,0),IF(K1026="FGP",VLOOKUP(F1026,[1]Info!$E$9:$F$10,2,0),IF(K1026="F10",VLOOKUP(F1026,[1]Info!$E$2:$F$3,2,0),VLOOKUP(K1026,[1]Info!$A$1:$B$21,2,0))))))</f>
        <v>Carregadeira Plantas</v>
      </c>
    </row>
    <row r="1027" spans="1:24" x14ac:dyDescent="0.35">
      <c r="A1027" t="s">
        <v>41</v>
      </c>
      <c r="B1027" t="s">
        <v>73</v>
      </c>
      <c r="C1027" t="s">
        <v>74</v>
      </c>
      <c r="D1027" t="s">
        <v>94</v>
      </c>
      <c r="E1027" t="s">
        <v>52</v>
      </c>
      <c r="F1027">
        <v>7098131</v>
      </c>
      <c r="G1027" t="s">
        <v>75</v>
      </c>
      <c r="H1027" t="s">
        <v>43</v>
      </c>
      <c r="I1027" t="s">
        <v>44</v>
      </c>
      <c r="J1027" t="s">
        <v>50</v>
      </c>
      <c r="K1027" t="s">
        <v>3</v>
      </c>
      <c r="L1027" t="s">
        <v>62</v>
      </c>
      <c r="M1027" t="s">
        <v>1179</v>
      </c>
      <c r="N1027" t="s">
        <v>1180</v>
      </c>
      <c r="O1027" t="s">
        <v>98</v>
      </c>
      <c r="P1027" t="s">
        <v>383</v>
      </c>
      <c r="Q1027" t="s">
        <v>1167</v>
      </c>
      <c r="R1027" t="s">
        <v>1168</v>
      </c>
      <c r="S1027" t="s">
        <v>46</v>
      </c>
      <c r="T1027" t="s">
        <v>46</v>
      </c>
      <c r="U1027" s="4">
        <v>150.13</v>
      </c>
      <c r="V1027" t="str">
        <f t="shared" si="15"/>
        <v>C030</v>
      </c>
      <c r="W1027" t="str">
        <f>VLOOKUP(K1027,[1]Info!A$1:B$21,2,0)</f>
        <v>Carregadeira</v>
      </c>
      <c r="X1027" t="str">
        <f>IF(M1027="109595132","Material de Limpeza-Não Avaliar",IF(AND(K1027="F20",M1027&lt;&gt;109595132),IF(RIGHT(F1027,2)="70","Infraestrutura de Planta","Prédios e Instalações"),IF(K1027="FPC",VLOOKUP(F1027,[1]Info!$E$2:$F$11,2,0),IF(K1027="FGP",VLOOKUP(F1027,[1]Info!$E$9:$F$10,2,0),IF(K1027="F10",VLOOKUP(F1027,[1]Info!$E$2:$F$3,2,0),VLOOKUP(K1027,[1]Info!$A$1:$B$21,2,0))))))</f>
        <v>Carregadeira Plantas</v>
      </c>
    </row>
    <row r="1028" spans="1:24" x14ac:dyDescent="0.35">
      <c r="A1028" t="s">
        <v>41</v>
      </c>
      <c r="B1028" t="s">
        <v>73</v>
      </c>
      <c r="C1028" t="s">
        <v>74</v>
      </c>
      <c r="D1028" t="s">
        <v>94</v>
      </c>
      <c r="E1028" t="s">
        <v>52</v>
      </c>
      <c r="F1028">
        <v>7098131</v>
      </c>
      <c r="G1028" t="s">
        <v>75</v>
      </c>
      <c r="H1028" t="s">
        <v>43</v>
      </c>
      <c r="I1028" t="s">
        <v>44</v>
      </c>
      <c r="J1028" t="s">
        <v>50</v>
      </c>
      <c r="K1028" t="s">
        <v>3</v>
      </c>
      <c r="L1028" t="s">
        <v>62</v>
      </c>
      <c r="M1028" t="s">
        <v>380</v>
      </c>
      <c r="N1028" t="s">
        <v>381</v>
      </c>
      <c r="O1028" t="s">
        <v>97</v>
      </c>
      <c r="P1028" t="s">
        <v>383</v>
      </c>
      <c r="Q1028" t="s">
        <v>1116</v>
      </c>
      <c r="R1028" t="s">
        <v>1117</v>
      </c>
      <c r="S1028" t="s">
        <v>46</v>
      </c>
      <c r="T1028" t="s">
        <v>46</v>
      </c>
      <c r="U1028" s="4">
        <v>182.16</v>
      </c>
      <c r="V1028" t="str">
        <f t="shared" ref="V1028:V1091" si="16">RIGHT(O1028,4)</f>
        <v>C047</v>
      </c>
      <c r="W1028" t="str">
        <f>VLOOKUP(K1028,[1]Info!A$1:B$21,2,0)</f>
        <v>Carregadeira</v>
      </c>
      <c r="X1028" t="str">
        <f>IF(M1028="109595132","Material de Limpeza-Não Avaliar",IF(AND(K1028="F20",M1028&lt;&gt;109595132),IF(RIGHT(F1028,2)="70","Infraestrutura de Planta","Prédios e Instalações"),IF(K1028="FPC",VLOOKUP(F1028,[1]Info!$E$2:$F$11,2,0),IF(K1028="FGP",VLOOKUP(F1028,[1]Info!$E$9:$F$10,2,0),IF(K1028="F10",VLOOKUP(F1028,[1]Info!$E$2:$F$3,2,0),VLOOKUP(K1028,[1]Info!$A$1:$B$21,2,0))))))</f>
        <v>Carregadeira Plantas</v>
      </c>
    </row>
    <row r="1029" spans="1:24" x14ac:dyDescent="0.35">
      <c r="A1029" t="s">
        <v>41</v>
      </c>
      <c r="B1029" t="s">
        <v>73</v>
      </c>
      <c r="C1029" t="s">
        <v>74</v>
      </c>
      <c r="D1029" t="s">
        <v>94</v>
      </c>
      <c r="E1029" t="s">
        <v>52</v>
      </c>
      <c r="F1029">
        <v>7098131</v>
      </c>
      <c r="G1029" t="s">
        <v>75</v>
      </c>
      <c r="H1029" t="s">
        <v>43</v>
      </c>
      <c r="I1029" t="s">
        <v>44</v>
      </c>
      <c r="J1029" t="s">
        <v>50</v>
      </c>
      <c r="K1029" t="s">
        <v>3</v>
      </c>
      <c r="L1029" t="s">
        <v>62</v>
      </c>
      <c r="M1029" t="s">
        <v>380</v>
      </c>
      <c r="N1029" t="s">
        <v>381</v>
      </c>
      <c r="O1029" t="s">
        <v>97</v>
      </c>
      <c r="P1029" t="s">
        <v>383</v>
      </c>
      <c r="Q1029" t="s">
        <v>228</v>
      </c>
      <c r="R1029" t="s">
        <v>229</v>
      </c>
      <c r="S1029" t="s">
        <v>46</v>
      </c>
      <c r="T1029" t="s">
        <v>46</v>
      </c>
      <c r="U1029" s="4">
        <v>98.23</v>
      </c>
      <c r="V1029" t="str">
        <f t="shared" si="16"/>
        <v>C047</v>
      </c>
      <c r="W1029" t="str">
        <f>VLOOKUP(K1029,[1]Info!A$1:B$21,2,0)</f>
        <v>Carregadeira</v>
      </c>
      <c r="X1029" t="str">
        <f>IF(M1029="109595132","Material de Limpeza-Não Avaliar",IF(AND(K1029="F20",M1029&lt;&gt;109595132),IF(RIGHT(F1029,2)="70","Infraestrutura de Planta","Prédios e Instalações"),IF(K1029="FPC",VLOOKUP(F1029,[1]Info!$E$2:$F$11,2,0),IF(K1029="FGP",VLOOKUP(F1029,[1]Info!$E$9:$F$10,2,0),IF(K1029="F10",VLOOKUP(F1029,[1]Info!$E$2:$F$3,2,0),VLOOKUP(K1029,[1]Info!$A$1:$B$21,2,0))))))</f>
        <v>Carregadeira Plantas</v>
      </c>
    </row>
    <row r="1030" spans="1:24" x14ac:dyDescent="0.35">
      <c r="A1030" t="s">
        <v>41</v>
      </c>
      <c r="B1030" t="s">
        <v>73</v>
      </c>
      <c r="C1030" t="s">
        <v>74</v>
      </c>
      <c r="D1030" t="s">
        <v>94</v>
      </c>
      <c r="E1030" t="s">
        <v>52</v>
      </c>
      <c r="F1030">
        <v>7098131</v>
      </c>
      <c r="G1030" t="s">
        <v>75</v>
      </c>
      <c r="H1030" t="s">
        <v>43</v>
      </c>
      <c r="I1030" t="s">
        <v>44</v>
      </c>
      <c r="J1030" t="s">
        <v>50</v>
      </c>
      <c r="K1030" t="s">
        <v>3</v>
      </c>
      <c r="L1030" t="s">
        <v>62</v>
      </c>
      <c r="M1030" t="s">
        <v>380</v>
      </c>
      <c r="N1030" t="s">
        <v>381</v>
      </c>
      <c r="O1030" t="s">
        <v>97</v>
      </c>
      <c r="P1030" t="s">
        <v>383</v>
      </c>
      <c r="Q1030" t="s">
        <v>1118</v>
      </c>
      <c r="R1030" t="s">
        <v>1119</v>
      </c>
      <c r="S1030" t="s">
        <v>46</v>
      </c>
      <c r="T1030" t="s">
        <v>46</v>
      </c>
      <c r="U1030" s="4">
        <v>323.23</v>
      </c>
      <c r="V1030" t="str">
        <f t="shared" si="16"/>
        <v>C047</v>
      </c>
      <c r="W1030" t="str">
        <f>VLOOKUP(K1030,[1]Info!A$1:B$21,2,0)</f>
        <v>Carregadeira</v>
      </c>
      <c r="X1030" t="str">
        <f>IF(M1030="109595132","Material de Limpeza-Não Avaliar",IF(AND(K1030="F20",M1030&lt;&gt;109595132),IF(RIGHT(F1030,2)="70","Infraestrutura de Planta","Prédios e Instalações"),IF(K1030="FPC",VLOOKUP(F1030,[1]Info!$E$2:$F$11,2,0),IF(K1030="FGP",VLOOKUP(F1030,[1]Info!$E$9:$F$10,2,0),IF(K1030="F10",VLOOKUP(F1030,[1]Info!$E$2:$F$3,2,0),VLOOKUP(K1030,[1]Info!$A$1:$B$21,2,0))))))</f>
        <v>Carregadeira Plantas</v>
      </c>
    </row>
    <row r="1031" spans="1:24" x14ac:dyDescent="0.35">
      <c r="A1031" t="s">
        <v>41</v>
      </c>
      <c r="B1031" t="s">
        <v>73</v>
      </c>
      <c r="C1031" t="s">
        <v>74</v>
      </c>
      <c r="D1031" t="s">
        <v>94</v>
      </c>
      <c r="E1031" t="s">
        <v>52</v>
      </c>
      <c r="F1031">
        <v>7098131</v>
      </c>
      <c r="G1031" t="s">
        <v>75</v>
      </c>
      <c r="H1031" t="s">
        <v>43</v>
      </c>
      <c r="I1031" t="s">
        <v>44</v>
      </c>
      <c r="J1031" t="s">
        <v>50</v>
      </c>
      <c r="K1031" t="s">
        <v>3</v>
      </c>
      <c r="L1031" t="s">
        <v>62</v>
      </c>
      <c r="M1031" t="s">
        <v>380</v>
      </c>
      <c r="N1031" t="s">
        <v>381</v>
      </c>
      <c r="O1031" t="s">
        <v>97</v>
      </c>
      <c r="P1031" t="s">
        <v>383</v>
      </c>
      <c r="Q1031" t="s">
        <v>1120</v>
      </c>
      <c r="R1031" t="s">
        <v>1121</v>
      </c>
      <c r="S1031" t="s">
        <v>46</v>
      </c>
      <c r="T1031" t="s">
        <v>46</v>
      </c>
      <c r="U1031" s="4">
        <v>171.04</v>
      </c>
      <c r="V1031" t="str">
        <f t="shared" si="16"/>
        <v>C047</v>
      </c>
      <c r="W1031" t="str">
        <f>VLOOKUP(K1031,[1]Info!A$1:B$21,2,0)</f>
        <v>Carregadeira</v>
      </c>
      <c r="X1031" t="str">
        <f>IF(M1031="109595132","Material de Limpeza-Não Avaliar",IF(AND(K1031="F20",M1031&lt;&gt;109595132),IF(RIGHT(F1031,2)="70","Infraestrutura de Planta","Prédios e Instalações"),IF(K1031="FPC",VLOOKUP(F1031,[1]Info!$E$2:$F$11,2,0),IF(K1031="FGP",VLOOKUP(F1031,[1]Info!$E$9:$F$10,2,0),IF(K1031="F10",VLOOKUP(F1031,[1]Info!$E$2:$F$3,2,0),VLOOKUP(K1031,[1]Info!$A$1:$B$21,2,0))))))</f>
        <v>Carregadeira Plantas</v>
      </c>
    </row>
    <row r="1032" spans="1:24" x14ac:dyDescent="0.35">
      <c r="A1032" t="s">
        <v>41</v>
      </c>
      <c r="B1032" t="s">
        <v>73</v>
      </c>
      <c r="C1032" t="s">
        <v>74</v>
      </c>
      <c r="D1032" t="s">
        <v>94</v>
      </c>
      <c r="E1032" t="s">
        <v>52</v>
      </c>
      <c r="F1032">
        <v>7098131</v>
      </c>
      <c r="G1032" t="s">
        <v>75</v>
      </c>
      <c r="H1032" t="s">
        <v>43</v>
      </c>
      <c r="I1032" t="s">
        <v>44</v>
      </c>
      <c r="J1032" t="s">
        <v>50</v>
      </c>
      <c r="K1032" t="s">
        <v>3</v>
      </c>
      <c r="L1032" t="s">
        <v>62</v>
      </c>
      <c r="M1032" t="s">
        <v>380</v>
      </c>
      <c r="N1032" t="s">
        <v>381</v>
      </c>
      <c r="O1032" t="s">
        <v>97</v>
      </c>
      <c r="P1032" t="s">
        <v>383</v>
      </c>
      <c r="Q1032" t="s">
        <v>1122</v>
      </c>
      <c r="R1032" t="s">
        <v>1123</v>
      </c>
      <c r="S1032" t="s">
        <v>46</v>
      </c>
      <c r="T1032" t="s">
        <v>46</v>
      </c>
      <c r="U1032" s="4">
        <v>125.63</v>
      </c>
      <c r="V1032" t="str">
        <f t="shared" si="16"/>
        <v>C047</v>
      </c>
      <c r="W1032" t="str">
        <f>VLOOKUP(K1032,[1]Info!A$1:B$21,2,0)</f>
        <v>Carregadeira</v>
      </c>
      <c r="X1032" t="str">
        <f>IF(M1032="109595132","Material de Limpeza-Não Avaliar",IF(AND(K1032="F20",M1032&lt;&gt;109595132),IF(RIGHT(F1032,2)="70","Infraestrutura de Planta","Prédios e Instalações"),IF(K1032="FPC",VLOOKUP(F1032,[1]Info!$E$2:$F$11,2,0),IF(K1032="FGP",VLOOKUP(F1032,[1]Info!$E$9:$F$10,2,0),IF(K1032="F10",VLOOKUP(F1032,[1]Info!$E$2:$F$3,2,0),VLOOKUP(K1032,[1]Info!$A$1:$B$21,2,0))))))</f>
        <v>Carregadeira Plantas</v>
      </c>
    </row>
    <row r="1033" spans="1:24" x14ac:dyDescent="0.35">
      <c r="A1033" t="s">
        <v>41</v>
      </c>
      <c r="B1033" t="s">
        <v>73</v>
      </c>
      <c r="C1033" t="s">
        <v>74</v>
      </c>
      <c r="D1033" t="s">
        <v>94</v>
      </c>
      <c r="E1033" t="s">
        <v>52</v>
      </c>
      <c r="F1033">
        <v>7098131</v>
      </c>
      <c r="G1033" t="s">
        <v>75</v>
      </c>
      <c r="H1033" t="s">
        <v>43</v>
      </c>
      <c r="I1033" t="s">
        <v>44</v>
      </c>
      <c r="J1033" t="s">
        <v>50</v>
      </c>
      <c r="K1033" t="s">
        <v>3</v>
      </c>
      <c r="L1033" t="s">
        <v>62</v>
      </c>
      <c r="M1033" t="s">
        <v>380</v>
      </c>
      <c r="N1033" t="s">
        <v>381</v>
      </c>
      <c r="O1033" t="s">
        <v>97</v>
      </c>
      <c r="P1033" t="s">
        <v>383</v>
      </c>
      <c r="Q1033" t="s">
        <v>1124</v>
      </c>
      <c r="R1033" t="s">
        <v>1125</v>
      </c>
      <c r="S1033" t="s">
        <v>46</v>
      </c>
      <c r="T1033" t="s">
        <v>46</v>
      </c>
      <c r="U1033" s="4">
        <v>629.54999999999995</v>
      </c>
      <c r="V1033" t="str">
        <f t="shared" si="16"/>
        <v>C047</v>
      </c>
      <c r="W1033" t="str">
        <f>VLOOKUP(K1033,[1]Info!A$1:B$21,2,0)</f>
        <v>Carregadeira</v>
      </c>
      <c r="X1033" t="str">
        <f>IF(M1033="109595132","Material de Limpeza-Não Avaliar",IF(AND(K1033="F20",M1033&lt;&gt;109595132),IF(RIGHT(F1033,2)="70","Infraestrutura de Planta","Prédios e Instalações"),IF(K1033="FPC",VLOOKUP(F1033,[1]Info!$E$2:$F$11,2,0),IF(K1033="FGP",VLOOKUP(F1033,[1]Info!$E$9:$F$10,2,0),IF(K1033="F10",VLOOKUP(F1033,[1]Info!$E$2:$F$3,2,0),VLOOKUP(K1033,[1]Info!$A$1:$B$21,2,0))))))</f>
        <v>Carregadeira Plantas</v>
      </c>
    </row>
    <row r="1034" spans="1:24" x14ac:dyDescent="0.35">
      <c r="A1034" t="s">
        <v>41</v>
      </c>
      <c r="B1034" t="s">
        <v>73</v>
      </c>
      <c r="C1034" t="s">
        <v>74</v>
      </c>
      <c r="D1034" t="s">
        <v>94</v>
      </c>
      <c r="E1034" t="s">
        <v>52</v>
      </c>
      <c r="F1034">
        <v>7098131</v>
      </c>
      <c r="G1034" t="s">
        <v>75</v>
      </c>
      <c r="H1034" t="s">
        <v>43</v>
      </c>
      <c r="I1034" t="s">
        <v>44</v>
      </c>
      <c r="J1034" t="s">
        <v>50</v>
      </c>
      <c r="K1034" t="s">
        <v>3</v>
      </c>
      <c r="L1034" t="s">
        <v>62</v>
      </c>
      <c r="M1034" t="s">
        <v>380</v>
      </c>
      <c r="N1034" t="s">
        <v>381</v>
      </c>
      <c r="O1034" t="s">
        <v>97</v>
      </c>
      <c r="P1034" t="s">
        <v>383</v>
      </c>
      <c r="Q1034" t="s">
        <v>1167</v>
      </c>
      <c r="R1034" t="s">
        <v>1168</v>
      </c>
      <c r="S1034" t="s">
        <v>46</v>
      </c>
      <c r="T1034" t="s">
        <v>46</v>
      </c>
      <c r="U1034" s="4">
        <v>150.13</v>
      </c>
      <c r="V1034" t="str">
        <f t="shared" si="16"/>
        <v>C047</v>
      </c>
      <c r="W1034" t="str">
        <f>VLOOKUP(K1034,[1]Info!A$1:B$21,2,0)</f>
        <v>Carregadeira</v>
      </c>
      <c r="X1034" t="str">
        <f>IF(M1034="109595132","Material de Limpeza-Não Avaliar",IF(AND(K1034="F20",M1034&lt;&gt;109595132),IF(RIGHT(F1034,2)="70","Infraestrutura de Planta","Prédios e Instalações"),IF(K1034="FPC",VLOOKUP(F1034,[1]Info!$E$2:$F$11,2,0),IF(K1034="FGP",VLOOKUP(F1034,[1]Info!$E$9:$F$10,2,0),IF(K1034="F10",VLOOKUP(F1034,[1]Info!$E$2:$F$3,2,0),VLOOKUP(K1034,[1]Info!$A$1:$B$21,2,0))))))</f>
        <v>Carregadeira Plantas</v>
      </c>
    </row>
    <row r="1035" spans="1:24" x14ac:dyDescent="0.35">
      <c r="A1035" t="s">
        <v>41</v>
      </c>
      <c r="B1035" t="s">
        <v>73</v>
      </c>
      <c r="C1035" t="s">
        <v>74</v>
      </c>
      <c r="D1035" t="s">
        <v>94</v>
      </c>
      <c r="E1035" t="s">
        <v>52</v>
      </c>
      <c r="F1035">
        <v>7098131</v>
      </c>
      <c r="G1035" t="s">
        <v>75</v>
      </c>
      <c r="H1035" t="s">
        <v>43</v>
      </c>
      <c r="I1035" t="s">
        <v>44</v>
      </c>
      <c r="J1035" t="s">
        <v>50</v>
      </c>
      <c r="K1035" t="s">
        <v>3</v>
      </c>
      <c r="L1035" t="s">
        <v>62</v>
      </c>
      <c r="M1035" t="s">
        <v>380</v>
      </c>
      <c r="N1035" t="s">
        <v>381</v>
      </c>
      <c r="O1035" t="s">
        <v>97</v>
      </c>
      <c r="P1035" t="s">
        <v>383</v>
      </c>
      <c r="Q1035" t="s">
        <v>160</v>
      </c>
      <c r="R1035" t="s">
        <v>161</v>
      </c>
      <c r="S1035" t="s">
        <v>46</v>
      </c>
      <c r="T1035" t="s">
        <v>46</v>
      </c>
      <c r="U1035" s="4">
        <v>385.32</v>
      </c>
      <c r="V1035" t="str">
        <f t="shared" si="16"/>
        <v>C047</v>
      </c>
      <c r="W1035" t="str">
        <f>VLOOKUP(K1035,[1]Info!A$1:B$21,2,0)</f>
        <v>Carregadeira</v>
      </c>
      <c r="X1035" t="str">
        <f>IF(M1035="109595132","Material de Limpeza-Não Avaliar",IF(AND(K1035="F20",M1035&lt;&gt;109595132),IF(RIGHT(F1035,2)="70","Infraestrutura de Planta","Prédios e Instalações"),IF(K1035="FPC",VLOOKUP(F1035,[1]Info!$E$2:$F$11,2,0),IF(K1035="FGP",VLOOKUP(F1035,[1]Info!$E$9:$F$10,2,0),IF(K1035="F10",VLOOKUP(F1035,[1]Info!$E$2:$F$3,2,0),VLOOKUP(K1035,[1]Info!$A$1:$B$21,2,0))))))</f>
        <v>Carregadeira Plantas</v>
      </c>
    </row>
    <row r="1036" spans="1:24" x14ac:dyDescent="0.35">
      <c r="A1036" t="s">
        <v>41</v>
      </c>
      <c r="B1036" t="s">
        <v>73</v>
      </c>
      <c r="C1036" t="s">
        <v>74</v>
      </c>
      <c r="D1036" t="s">
        <v>94</v>
      </c>
      <c r="E1036" t="s">
        <v>52</v>
      </c>
      <c r="F1036">
        <v>7098131</v>
      </c>
      <c r="G1036" t="s">
        <v>75</v>
      </c>
      <c r="H1036" t="s">
        <v>43</v>
      </c>
      <c r="I1036" t="s">
        <v>44</v>
      </c>
      <c r="J1036" t="s">
        <v>50</v>
      </c>
      <c r="K1036" t="s">
        <v>3</v>
      </c>
      <c r="L1036" t="s">
        <v>62</v>
      </c>
      <c r="M1036" t="s">
        <v>1181</v>
      </c>
      <c r="N1036" t="s">
        <v>1182</v>
      </c>
      <c r="O1036" t="s">
        <v>82</v>
      </c>
      <c r="P1036" t="s">
        <v>383</v>
      </c>
      <c r="Q1036" t="s">
        <v>1116</v>
      </c>
      <c r="R1036" t="s">
        <v>1117</v>
      </c>
      <c r="S1036" t="s">
        <v>46</v>
      </c>
      <c r="T1036" t="s">
        <v>46</v>
      </c>
      <c r="U1036" s="4">
        <v>182.16</v>
      </c>
      <c r="V1036" t="str">
        <f t="shared" si="16"/>
        <v>C043</v>
      </c>
      <c r="W1036" t="str">
        <f>VLOOKUP(K1036,[1]Info!A$1:B$21,2,0)</f>
        <v>Carregadeira</v>
      </c>
      <c r="X1036" t="str">
        <f>IF(M1036="109595132","Material de Limpeza-Não Avaliar",IF(AND(K1036="F20",M1036&lt;&gt;109595132),IF(RIGHT(F1036,2)="70","Infraestrutura de Planta","Prédios e Instalações"),IF(K1036="FPC",VLOOKUP(F1036,[1]Info!$E$2:$F$11,2,0),IF(K1036="FGP",VLOOKUP(F1036,[1]Info!$E$9:$F$10,2,0),IF(K1036="F10",VLOOKUP(F1036,[1]Info!$E$2:$F$3,2,0),VLOOKUP(K1036,[1]Info!$A$1:$B$21,2,0))))))</f>
        <v>Carregadeira Plantas</v>
      </c>
    </row>
    <row r="1037" spans="1:24" x14ac:dyDescent="0.35">
      <c r="A1037" t="s">
        <v>41</v>
      </c>
      <c r="B1037" t="s">
        <v>73</v>
      </c>
      <c r="C1037" t="s">
        <v>74</v>
      </c>
      <c r="D1037" t="s">
        <v>94</v>
      </c>
      <c r="E1037" t="s">
        <v>52</v>
      </c>
      <c r="F1037">
        <v>7098131</v>
      </c>
      <c r="G1037" t="s">
        <v>75</v>
      </c>
      <c r="H1037" t="s">
        <v>43</v>
      </c>
      <c r="I1037" t="s">
        <v>44</v>
      </c>
      <c r="J1037" t="s">
        <v>50</v>
      </c>
      <c r="K1037" t="s">
        <v>3</v>
      </c>
      <c r="L1037" t="s">
        <v>62</v>
      </c>
      <c r="M1037" t="s">
        <v>1181</v>
      </c>
      <c r="N1037" t="s">
        <v>1182</v>
      </c>
      <c r="O1037" t="s">
        <v>82</v>
      </c>
      <c r="P1037" t="s">
        <v>383</v>
      </c>
      <c r="Q1037" t="s">
        <v>228</v>
      </c>
      <c r="R1037" t="s">
        <v>229</v>
      </c>
      <c r="S1037" t="s">
        <v>46</v>
      </c>
      <c r="T1037" t="s">
        <v>46</v>
      </c>
      <c r="U1037" s="4">
        <v>98.42</v>
      </c>
      <c r="V1037" t="str">
        <f t="shared" si="16"/>
        <v>C043</v>
      </c>
      <c r="W1037" t="str">
        <f>VLOOKUP(K1037,[1]Info!A$1:B$21,2,0)</f>
        <v>Carregadeira</v>
      </c>
      <c r="X1037" t="str">
        <f>IF(M1037="109595132","Material de Limpeza-Não Avaliar",IF(AND(K1037="F20",M1037&lt;&gt;109595132),IF(RIGHT(F1037,2)="70","Infraestrutura de Planta","Prédios e Instalações"),IF(K1037="FPC",VLOOKUP(F1037,[1]Info!$E$2:$F$11,2,0),IF(K1037="FGP",VLOOKUP(F1037,[1]Info!$E$9:$F$10,2,0),IF(K1037="F10",VLOOKUP(F1037,[1]Info!$E$2:$F$3,2,0),VLOOKUP(K1037,[1]Info!$A$1:$B$21,2,0))))))</f>
        <v>Carregadeira Plantas</v>
      </c>
    </row>
    <row r="1038" spans="1:24" x14ac:dyDescent="0.35">
      <c r="A1038" t="s">
        <v>41</v>
      </c>
      <c r="B1038" t="s">
        <v>73</v>
      </c>
      <c r="C1038" t="s">
        <v>74</v>
      </c>
      <c r="D1038" t="s">
        <v>94</v>
      </c>
      <c r="E1038" t="s">
        <v>52</v>
      </c>
      <c r="F1038">
        <v>7098131</v>
      </c>
      <c r="G1038" t="s">
        <v>75</v>
      </c>
      <c r="H1038" t="s">
        <v>43</v>
      </c>
      <c r="I1038" t="s">
        <v>44</v>
      </c>
      <c r="J1038" t="s">
        <v>50</v>
      </c>
      <c r="K1038" t="s">
        <v>3</v>
      </c>
      <c r="L1038" t="s">
        <v>62</v>
      </c>
      <c r="M1038" t="s">
        <v>1181</v>
      </c>
      <c r="N1038" t="s">
        <v>1182</v>
      </c>
      <c r="O1038" t="s">
        <v>82</v>
      </c>
      <c r="P1038" t="s">
        <v>383</v>
      </c>
      <c r="Q1038" t="s">
        <v>1118</v>
      </c>
      <c r="R1038" t="s">
        <v>1119</v>
      </c>
      <c r="S1038" t="s">
        <v>46</v>
      </c>
      <c r="T1038" t="s">
        <v>46</v>
      </c>
      <c r="U1038" s="4">
        <v>323.23</v>
      </c>
      <c r="V1038" t="str">
        <f t="shared" si="16"/>
        <v>C043</v>
      </c>
      <c r="W1038" t="str">
        <f>VLOOKUP(K1038,[1]Info!A$1:B$21,2,0)</f>
        <v>Carregadeira</v>
      </c>
      <c r="X1038" t="str">
        <f>IF(M1038="109595132","Material de Limpeza-Não Avaliar",IF(AND(K1038="F20",M1038&lt;&gt;109595132),IF(RIGHT(F1038,2)="70","Infraestrutura de Planta","Prédios e Instalações"),IF(K1038="FPC",VLOOKUP(F1038,[1]Info!$E$2:$F$11,2,0),IF(K1038="FGP",VLOOKUP(F1038,[1]Info!$E$9:$F$10,2,0),IF(K1038="F10",VLOOKUP(F1038,[1]Info!$E$2:$F$3,2,0),VLOOKUP(K1038,[1]Info!$A$1:$B$21,2,0))))))</f>
        <v>Carregadeira Plantas</v>
      </c>
    </row>
    <row r="1039" spans="1:24" x14ac:dyDescent="0.35">
      <c r="A1039" t="s">
        <v>41</v>
      </c>
      <c r="B1039" t="s">
        <v>73</v>
      </c>
      <c r="C1039" t="s">
        <v>74</v>
      </c>
      <c r="D1039" t="s">
        <v>94</v>
      </c>
      <c r="E1039" t="s">
        <v>52</v>
      </c>
      <c r="F1039">
        <v>7098131</v>
      </c>
      <c r="G1039" t="s">
        <v>75</v>
      </c>
      <c r="H1039" t="s">
        <v>43</v>
      </c>
      <c r="I1039" t="s">
        <v>44</v>
      </c>
      <c r="J1039" t="s">
        <v>50</v>
      </c>
      <c r="K1039" t="s">
        <v>3</v>
      </c>
      <c r="L1039" t="s">
        <v>62</v>
      </c>
      <c r="M1039" t="s">
        <v>1181</v>
      </c>
      <c r="N1039" t="s">
        <v>1182</v>
      </c>
      <c r="O1039" t="s">
        <v>82</v>
      </c>
      <c r="P1039" t="s">
        <v>383</v>
      </c>
      <c r="Q1039" t="s">
        <v>1120</v>
      </c>
      <c r="R1039" t="s">
        <v>1121</v>
      </c>
      <c r="S1039" t="s">
        <v>46</v>
      </c>
      <c r="T1039" t="s">
        <v>46</v>
      </c>
      <c r="U1039" s="4">
        <v>176.54</v>
      </c>
      <c r="V1039" t="str">
        <f t="shared" si="16"/>
        <v>C043</v>
      </c>
      <c r="W1039" t="str">
        <f>VLOOKUP(K1039,[1]Info!A$1:B$21,2,0)</f>
        <v>Carregadeira</v>
      </c>
      <c r="X1039" t="str">
        <f>IF(M1039="109595132","Material de Limpeza-Não Avaliar",IF(AND(K1039="F20",M1039&lt;&gt;109595132),IF(RIGHT(F1039,2)="70","Infraestrutura de Planta","Prédios e Instalações"),IF(K1039="FPC",VLOOKUP(F1039,[1]Info!$E$2:$F$11,2,0),IF(K1039="FGP",VLOOKUP(F1039,[1]Info!$E$9:$F$10,2,0),IF(K1039="F10",VLOOKUP(F1039,[1]Info!$E$2:$F$3,2,0),VLOOKUP(K1039,[1]Info!$A$1:$B$21,2,0))))))</f>
        <v>Carregadeira Plantas</v>
      </c>
    </row>
    <row r="1040" spans="1:24" x14ac:dyDescent="0.35">
      <c r="A1040" t="s">
        <v>41</v>
      </c>
      <c r="B1040" t="s">
        <v>73</v>
      </c>
      <c r="C1040" t="s">
        <v>74</v>
      </c>
      <c r="D1040" t="s">
        <v>94</v>
      </c>
      <c r="E1040" t="s">
        <v>52</v>
      </c>
      <c r="F1040">
        <v>7098131</v>
      </c>
      <c r="G1040" t="s">
        <v>75</v>
      </c>
      <c r="H1040" t="s">
        <v>43</v>
      </c>
      <c r="I1040" t="s">
        <v>44</v>
      </c>
      <c r="J1040" t="s">
        <v>50</v>
      </c>
      <c r="K1040" t="s">
        <v>3</v>
      </c>
      <c r="L1040" t="s">
        <v>62</v>
      </c>
      <c r="M1040" t="s">
        <v>1181</v>
      </c>
      <c r="N1040" t="s">
        <v>1182</v>
      </c>
      <c r="O1040" t="s">
        <v>82</v>
      </c>
      <c r="P1040" t="s">
        <v>383</v>
      </c>
      <c r="Q1040" t="s">
        <v>1122</v>
      </c>
      <c r="R1040" t="s">
        <v>1123</v>
      </c>
      <c r="S1040" t="s">
        <v>46</v>
      </c>
      <c r="T1040" t="s">
        <v>46</v>
      </c>
      <c r="U1040" s="4">
        <v>125.63</v>
      </c>
      <c r="V1040" t="str">
        <f t="shared" si="16"/>
        <v>C043</v>
      </c>
      <c r="W1040" t="str">
        <f>VLOOKUP(K1040,[1]Info!A$1:B$21,2,0)</f>
        <v>Carregadeira</v>
      </c>
      <c r="X1040" t="str">
        <f>IF(M1040="109595132","Material de Limpeza-Não Avaliar",IF(AND(K1040="F20",M1040&lt;&gt;109595132),IF(RIGHT(F1040,2)="70","Infraestrutura de Planta","Prédios e Instalações"),IF(K1040="FPC",VLOOKUP(F1040,[1]Info!$E$2:$F$11,2,0),IF(K1040="FGP",VLOOKUP(F1040,[1]Info!$E$9:$F$10,2,0),IF(K1040="F10",VLOOKUP(F1040,[1]Info!$E$2:$F$3,2,0),VLOOKUP(K1040,[1]Info!$A$1:$B$21,2,0))))))</f>
        <v>Carregadeira Plantas</v>
      </c>
    </row>
    <row r="1041" spans="1:24" x14ac:dyDescent="0.35">
      <c r="A1041" t="s">
        <v>41</v>
      </c>
      <c r="B1041" t="s">
        <v>73</v>
      </c>
      <c r="C1041" t="s">
        <v>74</v>
      </c>
      <c r="D1041" t="s">
        <v>94</v>
      </c>
      <c r="E1041" t="s">
        <v>52</v>
      </c>
      <c r="F1041">
        <v>7098131</v>
      </c>
      <c r="G1041" t="s">
        <v>75</v>
      </c>
      <c r="H1041" t="s">
        <v>43</v>
      </c>
      <c r="I1041" t="s">
        <v>44</v>
      </c>
      <c r="J1041" t="s">
        <v>50</v>
      </c>
      <c r="K1041" t="s">
        <v>3</v>
      </c>
      <c r="L1041" t="s">
        <v>62</v>
      </c>
      <c r="M1041" t="s">
        <v>1181</v>
      </c>
      <c r="N1041" t="s">
        <v>1182</v>
      </c>
      <c r="O1041" t="s">
        <v>82</v>
      </c>
      <c r="P1041" t="s">
        <v>383</v>
      </c>
      <c r="Q1041" t="s">
        <v>1124</v>
      </c>
      <c r="R1041" t="s">
        <v>1125</v>
      </c>
      <c r="S1041" t="s">
        <v>46</v>
      </c>
      <c r="T1041" t="s">
        <v>46</v>
      </c>
      <c r="U1041" s="4">
        <v>629.54999999999995</v>
      </c>
      <c r="V1041" t="str">
        <f t="shared" si="16"/>
        <v>C043</v>
      </c>
      <c r="W1041" t="str">
        <f>VLOOKUP(K1041,[1]Info!A$1:B$21,2,0)</f>
        <v>Carregadeira</v>
      </c>
      <c r="X1041" t="str">
        <f>IF(M1041="109595132","Material de Limpeza-Não Avaliar",IF(AND(K1041="F20",M1041&lt;&gt;109595132),IF(RIGHT(F1041,2)="70","Infraestrutura de Planta","Prédios e Instalações"),IF(K1041="FPC",VLOOKUP(F1041,[1]Info!$E$2:$F$11,2,0),IF(K1041="FGP",VLOOKUP(F1041,[1]Info!$E$9:$F$10,2,0),IF(K1041="F10",VLOOKUP(F1041,[1]Info!$E$2:$F$3,2,0),VLOOKUP(K1041,[1]Info!$A$1:$B$21,2,0))))))</f>
        <v>Carregadeira Plantas</v>
      </c>
    </row>
    <row r="1042" spans="1:24" x14ac:dyDescent="0.35">
      <c r="A1042" t="s">
        <v>41</v>
      </c>
      <c r="B1042" t="s">
        <v>73</v>
      </c>
      <c r="C1042" t="s">
        <v>74</v>
      </c>
      <c r="D1042" t="s">
        <v>94</v>
      </c>
      <c r="E1042" t="s">
        <v>52</v>
      </c>
      <c r="F1042">
        <v>7098131</v>
      </c>
      <c r="G1042" t="s">
        <v>75</v>
      </c>
      <c r="H1042" t="s">
        <v>43</v>
      </c>
      <c r="I1042" t="s">
        <v>44</v>
      </c>
      <c r="J1042" t="s">
        <v>50</v>
      </c>
      <c r="K1042" t="s">
        <v>3</v>
      </c>
      <c r="L1042" t="s">
        <v>62</v>
      </c>
      <c r="M1042" t="s">
        <v>1181</v>
      </c>
      <c r="N1042" t="s">
        <v>1182</v>
      </c>
      <c r="O1042" t="s">
        <v>82</v>
      </c>
      <c r="P1042" t="s">
        <v>383</v>
      </c>
      <c r="Q1042" t="s">
        <v>154</v>
      </c>
      <c r="R1042" t="s">
        <v>155</v>
      </c>
      <c r="S1042" t="s">
        <v>46</v>
      </c>
      <c r="T1042" t="s">
        <v>46</v>
      </c>
      <c r="U1042" s="4">
        <v>81.22</v>
      </c>
      <c r="V1042" t="str">
        <f t="shared" si="16"/>
        <v>C043</v>
      </c>
      <c r="W1042" t="str">
        <f>VLOOKUP(K1042,[1]Info!A$1:B$21,2,0)</f>
        <v>Carregadeira</v>
      </c>
      <c r="X1042" t="str">
        <f>IF(M1042="109595132","Material de Limpeza-Não Avaliar",IF(AND(K1042="F20",M1042&lt;&gt;109595132),IF(RIGHT(F1042,2)="70","Infraestrutura de Planta","Prédios e Instalações"),IF(K1042="FPC",VLOOKUP(F1042,[1]Info!$E$2:$F$11,2,0),IF(K1042="FGP",VLOOKUP(F1042,[1]Info!$E$9:$F$10,2,0),IF(K1042="F10",VLOOKUP(F1042,[1]Info!$E$2:$F$3,2,0),VLOOKUP(K1042,[1]Info!$A$1:$B$21,2,0))))))</f>
        <v>Carregadeira Plantas</v>
      </c>
    </row>
    <row r="1043" spans="1:24" x14ac:dyDescent="0.35">
      <c r="A1043" t="s">
        <v>41</v>
      </c>
      <c r="B1043" t="s">
        <v>73</v>
      </c>
      <c r="C1043" t="s">
        <v>74</v>
      </c>
      <c r="D1043" t="s">
        <v>94</v>
      </c>
      <c r="E1043" t="s">
        <v>52</v>
      </c>
      <c r="F1043">
        <v>7098131</v>
      </c>
      <c r="G1043" t="s">
        <v>75</v>
      </c>
      <c r="H1043" t="s">
        <v>43</v>
      </c>
      <c r="I1043" t="s">
        <v>44</v>
      </c>
      <c r="J1043" t="s">
        <v>50</v>
      </c>
      <c r="K1043" t="s">
        <v>3</v>
      </c>
      <c r="L1043" t="s">
        <v>62</v>
      </c>
      <c r="M1043" t="s">
        <v>1181</v>
      </c>
      <c r="N1043" t="s">
        <v>1182</v>
      </c>
      <c r="O1043" t="s">
        <v>82</v>
      </c>
      <c r="P1043" t="s">
        <v>383</v>
      </c>
      <c r="Q1043" t="s">
        <v>156</v>
      </c>
      <c r="R1043" t="s">
        <v>157</v>
      </c>
      <c r="S1043" t="s">
        <v>46</v>
      </c>
      <c r="T1043" t="s">
        <v>46</v>
      </c>
      <c r="U1043" s="4">
        <v>83.34</v>
      </c>
      <c r="V1043" t="str">
        <f t="shared" si="16"/>
        <v>C043</v>
      </c>
      <c r="W1043" t="str">
        <f>VLOOKUP(K1043,[1]Info!A$1:B$21,2,0)</f>
        <v>Carregadeira</v>
      </c>
      <c r="X1043" t="str">
        <f>IF(M1043="109595132","Material de Limpeza-Não Avaliar",IF(AND(K1043="F20",M1043&lt;&gt;109595132),IF(RIGHT(F1043,2)="70","Infraestrutura de Planta","Prédios e Instalações"),IF(K1043="FPC",VLOOKUP(F1043,[1]Info!$E$2:$F$11,2,0),IF(K1043="FGP",VLOOKUP(F1043,[1]Info!$E$9:$F$10,2,0),IF(K1043="F10",VLOOKUP(F1043,[1]Info!$E$2:$F$3,2,0),VLOOKUP(K1043,[1]Info!$A$1:$B$21,2,0))))))</f>
        <v>Carregadeira Plantas</v>
      </c>
    </row>
    <row r="1044" spans="1:24" x14ac:dyDescent="0.35">
      <c r="A1044" t="s">
        <v>41</v>
      </c>
      <c r="B1044" t="s">
        <v>73</v>
      </c>
      <c r="C1044" t="s">
        <v>74</v>
      </c>
      <c r="D1044" t="s">
        <v>94</v>
      </c>
      <c r="E1044" t="s">
        <v>52</v>
      </c>
      <c r="F1044">
        <v>7098131</v>
      </c>
      <c r="G1044" t="s">
        <v>75</v>
      </c>
      <c r="H1044" t="s">
        <v>43</v>
      </c>
      <c r="I1044" t="s">
        <v>44</v>
      </c>
      <c r="J1044" t="s">
        <v>50</v>
      </c>
      <c r="K1044" t="s">
        <v>3</v>
      </c>
      <c r="L1044" t="s">
        <v>62</v>
      </c>
      <c r="M1044" t="s">
        <v>1181</v>
      </c>
      <c r="N1044" t="s">
        <v>1182</v>
      </c>
      <c r="O1044" t="s">
        <v>82</v>
      </c>
      <c r="P1044" t="s">
        <v>383</v>
      </c>
      <c r="Q1044" t="s">
        <v>1167</v>
      </c>
      <c r="R1044" t="s">
        <v>1168</v>
      </c>
      <c r="S1044" t="s">
        <v>46</v>
      </c>
      <c r="T1044" t="s">
        <v>46</v>
      </c>
      <c r="U1044" s="4">
        <v>150.12</v>
      </c>
      <c r="V1044" t="str">
        <f t="shared" si="16"/>
        <v>C043</v>
      </c>
      <c r="W1044" t="str">
        <f>VLOOKUP(K1044,[1]Info!A$1:B$21,2,0)</f>
        <v>Carregadeira</v>
      </c>
      <c r="X1044" t="str">
        <f>IF(M1044="109595132","Material de Limpeza-Não Avaliar",IF(AND(K1044="F20",M1044&lt;&gt;109595132),IF(RIGHT(F1044,2)="70","Infraestrutura de Planta","Prédios e Instalações"),IF(K1044="FPC",VLOOKUP(F1044,[1]Info!$E$2:$F$11,2,0),IF(K1044="FGP",VLOOKUP(F1044,[1]Info!$E$9:$F$10,2,0),IF(K1044="F10",VLOOKUP(F1044,[1]Info!$E$2:$F$3,2,0),VLOOKUP(K1044,[1]Info!$A$1:$B$21,2,0))))))</f>
        <v>Carregadeira Plantas</v>
      </c>
    </row>
    <row r="1045" spans="1:24" x14ac:dyDescent="0.35">
      <c r="A1045" t="s">
        <v>41</v>
      </c>
      <c r="B1045" t="s">
        <v>73</v>
      </c>
      <c r="C1045" t="s">
        <v>74</v>
      </c>
      <c r="D1045" t="s">
        <v>94</v>
      </c>
      <c r="E1045" t="s">
        <v>52</v>
      </c>
      <c r="F1045">
        <v>7098131</v>
      </c>
      <c r="G1045" t="s">
        <v>75</v>
      </c>
      <c r="H1045" t="s">
        <v>43</v>
      </c>
      <c r="I1045" t="s">
        <v>44</v>
      </c>
      <c r="J1045" t="s">
        <v>50</v>
      </c>
      <c r="K1045" t="s">
        <v>3</v>
      </c>
      <c r="L1045" t="s">
        <v>62</v>
      </c>
      <c r="M1045" t="s">
        <v>1181</v>
      </c>
      <c r="N1045" t="s">
        <v>1182</v>
      </c>
      <c r="O1045" t="s">
        <v>82</v>
      </c>
      <c r="P1045" t="s">
        <v>383</v>
      </c>
      <c r="Q1045" t="s">
        <v>158</v>
      </c>
      <c r="R1045" t="s">
        <v>159</v>
      </c>
      <c r="S1045" t="s">
        <v>46</v>
      </c>
      <c r="T1045" t="s">
        <v>46</v>
      </c>
      <c r="U1045" s="4">
        <v>796.13</v>
      </c>
      <c r="V1045" t="str">
        <f t="shared" si="16"/>
        <v>C043</v>
      </c>
      <c r="W1045" t="str">
        <f>VLOOKUP(K1045,[1]Info!A$1:B$21,2,0)</f>
        <v>Carregadeira</v>
      </c>
      <c r="X1045" t="str">
        <f>IF(M1045="109595132","Material de Limpeza-Não Avaliar",IF(AND(K1045="F20",M1045&lt;&gt;109595132),IF(RIGHT(F1045,2)="70","Infraestrutura de Planta","Prédios e Instalações"),IF(K1045="FPC",VLOOKUP(F1045,[1]Info!$E$2:$F$11,2,0),IF(K1045="FGP",VLOOKUP(F1045,[1]Info!$E$9:$F$10,2,0),IF(K1045="F10",VLOOKUP(F1045,[1]Info!$E$2:$F$3,2,0),VLOOKUP(K1045,[1]Info!$A$1:$B$21,2,0))))))</f>
        <v>Carregadeira Plantas</v>
      </c>
    </row>
    <row r="1046" spans="1:24" x14ac:dyDescent="0.35">
      <c r="A1046" t="s">
        <v>41</v>
      </c>
      <c r="B1046" t="s">
        <v>73</v>
      </c>
      <c r="C1046" t="s">
        <v>74</v>
      </c>
      <c r="D1046" t="s">
        <v>94</v>
      </c>
      <c r="E1046" t="s">
        <v>52</v>
      </c>
      <c r="F1046">
        <v>7098131</v>
      </c>
      <c r="G1046" t="s">
        <v>75</v>
      </c>
      <c r="H1046" t="s">
        <v>43</v>
      </c>
      <c r="I1046" t="s">
        <v>44</v>
      </c>
      <c r="J1046" t="s">
        <v>50</v>
      </c>
      <c r="K1046" t="s">
        <v>3</v>
      </c>
      <c r="L1046" t="s">
        <v>62</v>
      </c>
      <c r="M1046" t="s">
        <v>1181</v>
      </c>
      <c r="N1046" t="s">
        <v>1182</v>
      </c>
      <c r="O1046" t="s">
        <v>82</v>
      </c>
      <c r="P1046" t="s">
        <v>383</v>
      </c>
      <c r="Q1046" t="s">
        <v>160</v>
      </c>
      <c r="R1046" t="s">
        <v>161</v>
      </c>
      <c r="S1046" t="s">
        <v>46</v>
      </c>
      <c r="T1046" t="s">
        <v>46</v>
      </c>
      <c r="U1046" s="4">
        <v>385.32</v>
      </c>
      <c r="V1046" t="str">
        <f t="shared" si="16"/>
        <v>C043</v>
      </c>
      <c r="W1046" t="str">
        <f>VLOOKUP(K1046,[1]Info!A$1:B$21,2,0)</f>
        <v>Carregadeira</v>
      </c>
      <c r="X1046" t="str">
        <f>IF(M1046="109595132","Material de Limpeza-Não Avaliar",IF(AND(K1046="F20",M1046&lt;&gt;109595132),IF(RIGHT(F1046,2)="70","Infraestrutura de Planta","Prédios e Instalações"),IF(K1046="FPC",VLOOKUP(F1046,[1]Info!$E$2:$F$11,2,0),IF(K1046="FGP",VLOOKUP(F1046,[1]Info!$E$9:$F$10,2,0),IF(K1046="F10",VLOOKUP(F1046,[1]Info!$E$2:$F$3,2,0),VLOOKUP(K1046,[1]Info!$A$1:$B$21,2,0))))))</f>
        <v>Carregadeira Plantas</v>
      </c>
    </row>
    <row r="1047" spans="1:24" x14ac:dyDescent="0.35">
      <c r="A1047" t="s">
        <v>41</v>
      </c>
      <c r="B1047" t="s">
        <v>73</v>
      </c>
      <c r="C1047" t="s">
        <v>74</v>
      </c>
      <c r="D1047" t="s">
        <v>94</v>
      </c>
      <c r="E1047" t="s">
        <v>52</v>
      </c>
      <c r="F1047">
        <v>7098131</v>
      </c>
      <c r="G1047" t="s">
        <v>75</v>
      </c>
      <c r="H1047" t="s">
        <v>43</v>
      </c>
      <c r="I1047" t="s">
        <v>44</v>
      </c>
      <c r="J1047" t="s">
        <v>50</v>
      </c>
      <c r="K1047" t="s">
        <v>3</v>
      </c>
      <c r="L1047" t="s">
        <v>62</v>
      </c>
      <c r="M1047" t="s">
        <v>1183</v>
      </c>
      <c r="N1047" t="s">
        <v>1184</v>
      </c>
      <c r="O1047" t="s">
        <v>121</v>
      </c>
      <c r="P1047" t="s">
        <v>383</v>
      </c>
      <c r="Q1047" t="s">
        <v>1116</v>
      </c>
      <c r="R1047" t="s">
        <v>1117</v>
      </c>
      <c r="S1047" t="s">
        <v>46</v>
      </c>
      <c r="T1047" t="s">
        <v>46</v>
      </c>
      <c r="U1047" s="4">
        <v>182.16</v>
      </c>
      <c r="V1047" t="str">
        <f t="shared" si="16"/>
        <v>C044</v>
      </c>
      <c r="W1047" t="str">
        <f>VLOOKUP(K1047,[1]Info!A$1:B$21,2,0)</f>
        <v>Carregadeira</v>
      </c>
      <c r="X1047" t="str">
        <f>IF(M1047="109595132","Material de Limpeza-Não Avaliar",IF(AND(K1047="F20",M1047&lt;&gt;109595132),IF(RIGHT(F1047,2)="70","Infraestrutura de Planta","Prédios e Instalações"),IF(K1047="FPC",VLOOKUP(F1047,[1]Info!$E$2:$F$11,2,0),IF(K1047="FGP",VLOOKUP(F1047,[1]Info!$E$9:$F$10,2,0),IF(K1047="F10",VLOOKUP(F1047,[1]Info!$E$2:$F$3,2,0),VLOOKUP(K1047,[1]Info!$A$1:$B$21,2,0))))))</f>
        <v>Carregadeira Plantas</v>
      </c>
    </row>
    <row r="1048" spans="1:24" x14ac:dyDescent="0.35">
      <c r="A1048" t="s">
        <v>41</v>
      </c>
      <c r="B1048" t="s">
        <v>73</v>
      </c>
      <c r="C1048" t="s">
        <v>74</v>
      </c>
      <c r="D1048" t="s">
        <v>94</v>
      </c>
      <c r="E1048" t="s">
        <v>52</v>
      </c>
      <c r="F1048">
        <v>7098131</v>
      </c>
      <c r="G1048" t="s">
        <v>75</v>
      </c>
      <c r="H1048" t="s">
        <v>43</v>
      </c>
      <c r="I1048" t="s">
        <v>44</v>
      </c>
      <c r="J1048" t="s">
        <v>50</v>
      </c>
      <c r="K1048" t="s">
        <v>3</v>
      </c>
      <c r="L1048" t="s">
        <v>62</v>
      </c>
      <c r="M1048" t="s">
        <v>1183</v>
      </c>
      <c r="N1048" t="s">
        <v>1184</v>
      </c>
      <c r="O1048" t="s">
        <v>121</v>
      </c>
      <c r="P1048" t="s">
        <v>383</v>
      </c>
      <c r="Q1048" t="s">
        <v>228</v>
      </c>
      <c r="R1048" t="s">
        <v>229</v>
      </c>
      <c r="S1048" t="s">
        <v>46</v>
      </c>
      <c r="T1048" t="s">
        <v>46</v>
      </c>
      <c r="U1048" s="4">
        <v>98.42</v>
      </c>
      <c r="V1048" t="str">
        <f t="shared" si="16"/>
        <v>C044</v>
      </c>
      <c r="W1048" t="str">
        <f>VLOOKUP(K1048,[1]Info!A$1:B$21,2,0)</f>
        <v>Carregadeira</v>
      </c>
      <c r="X1048" t="str">
        <f>IF(M1048="109595132","Material de Limpeza-Não Avaliar",IF(AND(K1048="F20",M1048&lt;&gt;109595132),IF(RIGHT(F1048,2)="70","Infraestrutura de Planta","Prédios e Instalações"),IF(K1048="FPC",VLOOKUP(F1048,[1]Info!$E$2:$F$11,2,0),IF(K1048="FGP",VLOOKUP(F1048,[1]Info!$E$9:$F$10,2,0),IF(K1048="F10",VLOOKUP(F1048,[1]Info!$E$2:$F$3,2,0),VLOOKUP(K1048,[1]Info!$A$1:$B$21,2,0))))))</f>
        <v>Carregadeira Plantas</v>
      </c>
    </row>
    <row r="1049" spans="1:24" x14ac:dyDescent="0.35">
      <c r="A1049" t="s">
        <v>41</v>
      </c>
      <c r="B1049" t="s">
        <v>73</v>
      </c>
      <c r="C1049" t="s">
        <v>74</v>
      </c>
      <c r="D1049" t="s">
        <v>94</v>
      </c>
      <c r="E1049" t="s">
        <v>52</v>
      </c>
      <c r="F1049">
        <v>7098131</v>
      </c>
      <c r="G1049" t="s">
        <v>75</v>
      </c>
      <c r="H1049" t="s">
        <v>43</v>
      </c>
      <c r="I1049" t="s">
        <v>44</v>
      </c>
      <c r="J1049" t="s">
        <v>50</v>
      </c>
      <c r="K1049" t="s">
        <v>3</v>
      </c>
      <c r="L1049" t="s">
        <v>62</v>
      </c>
      <c r="M1049" t="s">
        <v>1183</v>
      </c>
      <c r="N1049" t="s">
        <v>1184</v>
      </c>
      <c r="O1049" t="s">
        <v>121</v>
      </c>
      <c r="P1049" t="s">
        <v>383</v>
      </c>
      <c r="Q1049" t="s">
        <v>1118</v>
      </c>
      <c r="R1049" t="s">
        <v>1119</v>
      </c>
      <c r="S1049" t="s">
        <v>46</v>
      </c>
      <c r="T1049" t="s">
        <v>46</v>
      </c>
      <c r="U1049" s="4">
        <v>323.23</v>
      </c>
      <c r="V1049" t="str">
        <f t="shared" si="16"/>
        <v>C044</v>
      </c>
      <c r="W1049" t="str">
        <f>VLOOKUP(K1049,[1]Info!A$1:B$21,2,0)</f>
        <v>Carregadeira</v>
      </c>
      <c r="X1049" t="str">
        <f>IF(M1049="109595132","Material de Limpeza-Não Avaliar",IF(AND(K1049="F20",M1049&lt;&gt;109595132),IF(RIGHT(F1049,2)="70","Infraestrutura de Planta","Prédios e Instalações"),IF(K1049="FPC",VLOOKUP(F1049,[1]Info!$E$2:$F$11,2,0),IF(K1049="FGP",VLOOKUP(F1049,[1]Info!$E$9:$F$10,2,0),IF(K1049="F10",VLOOKUP(F1049,[1]Info!$E$2:$F$3,2,0),VLOOKUP(K1049,[1]Info!$A$1:$B$21,2,0))))))</f>
        <v>Carregadeira Plantas</v>
      </c>
    </row>
    <row r="1050" spans="1:24" x14ac:dyDescent="0.35">
      <c r="A1050" t="s">
        <v>41</v>
      </c>
      <c r="B1050" t="s">
        <v>73</v>
      </c>
      <c r="C1050" t="s">
        <v>74</v>
      </c>
      <c r="D1050" t="s">
        <v>94</v>
      </c>
      <c r="E1050" t="s">
        <v>52</v>
      </c>
      <c r="F1050">
        <v>7098131</v>
      </c>
      <c r="G1050" t="s">
        <v>75</v>
      </c>
      <c r="H1050" t="s">
        <v>43</v>
      </c>
      <c r="I1050" t="s">
        <v>44</v>
      </c>
      <c r="J1050" t="s">
        <v>50</v>
      </c>
      <c r="K1050" t="s">
        <v>3</v>
      </c>
      <c r="L1050" t="s">
        <v>62</v>
      </c>
      <c r="M1050" t="s">
        <v>1183</v>
      </c>
      <c r="N1050" t="s">
        <v>1184</v>
      </c>
      <c r="O1050" t="s">
        <v>121</v>
      </c>
      <c r="P1050" t="s">
        <v>383</v>
      </c>
      <c r="Q1050" t="s">
        <v>1120</v>
      </c>
      <c r="R1050" t="s">
        <v>1121</v>
      </c>
      <c r="S1050" t="s">
        <v>46</v>
      </c>
      <c r="T1050" t="s">
        <v>46</v>
      </c>
      <c r="U1050" s="4">
        <v>176.53</v>
      </c>
      <c r="V1050" t="str">
        <f t="shared" si="16"/>
        <v>C044</v>
      </c>
      <c r="W1050" t="str">
        <f>VLOOKUP(K1050,[1]Info!A$1:B$21,2,0)</f>
        <v>Carregadeira</v>
      </c>
      <c r="X1050" t="str">
        <f>IF(M1050="109595132","Material de Limpeza-Não Avaliar",IF(AND(K1050="F20",M1050&lt;&gt;109595132),IF(RIGHT(F1050,2)="70","Infraestrutura de Planta","Prédios e Instalações"),IF(K1050="FPC",VLOOKUP(F1050,[1]Info!$E$2:$F$11,2,0),IF(K1050="FGP",VLOOKUP(F1050,[1]Info!$E$9:$F$10,2,0),IF(K1050="F10",VLOOKUP(F1050,[1]Info!$E$2:$F$3,2,0),VLOOKUP(K1050,[1]Info!$A$1:$B$21,2,0))))))</f>
        <v>Carregadeira Plantas</v>
      </c>
    </row>
    <row r="1051" spans="1:24" x14ac:dyDescent="0.35">
      <c r="A1051" t="s">
        <v>41</v>
      </c>
      <c r="B1051" t="s">
        <v>73</v>
      </c>
      <c r="C1051" t="s">
        <v>74</v>
      </c>
      <c r="D1051" t="s">
        <v>94</v>
      </c>
      <c r="E1051" t="s">
        <v>52</v>
      </c>
      <c r="F1051">
        <v>7098131</v>
      </c>
      <c r="G1051" t="s">
        <v>75</v>
      </c>
      <c r="H1051" t="s">
        <v>43</v>
      </c>
      <c r="I1051" t="s">
        <v>44</v>
      </c>
      <c r="J1051" t="s">
        <v>50</v>
      </c>
      <c r="K1051" t="s">
        <v>3</v>
      </c>
      <c r="L1051" t="s">
        <v>62</v>
      </c>
      <c r="M1051" t="s">
        <v>1183</v>
      </c>
      <c r="N1051" t="s">
        <v>1184</v>
      </c>
      <c r="O1051" t="s">
        <v>121</v>
      </c>
      <c r="P1051" t="s">
        <v>383</v>
      </c>
      <c r="Q1051" t="s">
        <v>1122</v>
      </c>
      <c r="R1051" t="s">
        <v>1123</v>
      </c>
      <c r="S1051" t="s">
        <v>46</v>
      </c>
      <c r="T1051" t="s">
        <v>46</v>
      </c>
      <c r="U1051" s="4">
        <v>125.62</v>
      </c>
      <c r="V1051" t="str">
        <f t="shared" si="16"/>
        <v>C044</v>
      </c>
      <c r="W1051" t="str">
        <f>VLOOKUP(K1051,[1]Info!A$1:B$21,2,0)</f>
        <v>Carregadeira</v>
      </c>
      <c r="X1051" t="str">
        <f>IF(M1051="109595132","Material de Limpeza-Não Avaliar",IF(AND(K1051="F20",M1051&lt;&gt;109595132),IF(RIGHT(F1051,2)="70","Infraestrutura de Planta","Prédios e Instalações"),IF(K1051="FPC",VLOOKUP(F1051,[1]Info!$E$2:$F$11,2,0),IF(K1051="FGP",VLOOKUP(F1051,[1]Info!$E$9:$F$10,2,0),IF(K1051="F10",VLOOKUP(F1051,[1]Info!$E$2:$F$3,2,0),VLOOKUP(K1051,[1]Info!$A$1:$B$21,2,0))))))</f>
        <v>Carregadeira Plantas</v>
      </c>
    </row>
    <row r="1052" spans="1:24" x14ac:dyDescent="0.35">
      <c r="A1052" t="s">
        <v>41</v>
      </c>
      <c r="B1052" t="s">
        <v>73</v>
      </c>
      <c r="C1052" t="s">
        <v>74</v>
      </c>
      <c r="D1052" t="s">
        <v>94</v>
      </c>
      <c r="E1052" t="s">
        <v>52</v>
      </c>
      <c r="F1052">
        <v>7098131</v>
      </c>
      <c r="G1052" t="s">
        <v>75</v>
      </c>
      <c r="H1052" t="s">
        <v>43</v>
      </c>
      <c r="I1052" t="s">
        <v>44</v>
      </c>
      <c r="J1052" t="s">
        <v>50</v>
      </c>
      <c r="K1052" t="s">
        <v>3</v>
      </c>
      <c r="L1052" t="s">
        <v>62</v>
      </c>
      <c r="M1052" t="s">
        <v>1183</v>
      </c>
      <c r="N1052" t="s">
        <v>1184</v>
      </c>
      <c r="O1052" t="s">
        <v>121</v>
      </c>
      <c r="P1052" t="s">
        <v>383</v>
      </c>
      <c r="Q1052" t="s">
        <v>1124</v>
      </c>
      <c r="R1052" t="s">
        <v>1125</v>
      </c>
      <c r="S1052" t="s">
        <v>46</v>
      </c>
      <c r="T1052" t="s">
        <v>46</v>
      </c>
      <c r="U1052" s="4">
        <v>629.54999999999995</v>
      </c>
      <c r="V1052" t="str">
        <f t="shared" si="16"/>
        <v>C044</v>
      </c>
      <c r="W1052" t="str">
        <f>VLOOKUP(K1052,[1]Info!A$1:B$21,2,0)</f>
        <v>Carregadeira</v>
      </c>
      <c r="X1052" t="str">
        <f>IF(M1052="109595132","Material de Limpeza-Não Avaliar",IF(AND(K1052="F20",M1052&lt;&gt;109595132),IF(RIGHT(F1052,2)="70","Infraestrutura de Planta","Prédios e Instalações"),IF(K1052="FPC",VLOOKUP(F1052,[1]Info!$E$2:$F$11,2,0),IF(K1052="FGP",VLOOKUP(F1052,[1]Info!$E$9:$F$10,2,0),IF(K1052="F10",VLOOKUP(F1052,[1]Info!$E$2:$F$3,2,0),VLOOKUP(K1052,[1]Info!$A$1:$B$21,2,0))))))</f>
        <v>Carregadeira Plantas</v>
      </c>
    </row>
    <row r="1053" spans="1:24" x14ac:dyDescent="0.35">
      <c r="A1053" t="s">
        <v>41</v>
      </c>
      <c r="B1053" t="s">
        <v>73</v>
      </c>
      <c r="C1053" t="s">
        <v>74</v>
      </c>
      <c r="D1053" t="s">
        <v>94</v>
      </c>
      <c r="E1053" t="s">
        <v>52</v>
      </c>
      <c r="F1053">
        <v>7098131</v>
      </c>
      <c r="G1053" t="s">
        <v>75</v>
      </c>
      <c r="H1053" t="s">
        <v>43</v>
      </c>
      <c r="I1053" t="s">
        <v>44</v>
      </c>
      <c r="J1053" t="s">
        <v>50</v>
      </c>
      <c r="K1053" t="s">
        <v>3</v>
      </c>
      <c r="L1053" t="s">
        <v>62</v>
      </c>
      <c r="M1053" t="s">
        <v>1183</v>
      </c>
      <c r="N1053" t="s">
        <v>1184</v>
      </c>
      <c r="O1053" t="s">
        <v>121</v>
      </c>
      <c r="P1053" t="s">
        <v>383</v>
      </c>
      <c r="Q1053" t="s">
        <v>154</v>
      </c>
      <c r="R1053" t="s">
        <v>155</v>
      </c>
      <c r="S1053" t="s">
        <v>46</v>
      </c>
      <c r="T1053" t="s">
        <v>46</v>
      </c>
      <c r="U1053" s="4">
        <v>81.209999999999994</v>
      </c>
      <c r="V1053" t="str">
        <f t="shared" si="16"/>
        <v>C044</v>
      </c>
      <c r="W1053" t="str">
        <f>VLOOKUP(K1053,[1]Info!A$1:B$21,2,0)</f>
        <v>Carregadeira</v>
      </c>
      <c r="X1053" t="str">
        <f>IF(M1053="109595132","Material de Limpeza-Não Avaliar",IF(AND(K1053="F20",M1053&lt;&gt;109595132),IF(RIGHT(F1053,2)="70","Infraestrutura de Planta","Prédios e Instalações"),IF(K1053="FPC",VLOOKUP(F1053,[1]Info!$E$2:$F$11,2,0),IF(K1053="FGP",VLOOKUP(F1053,[1]Info!$E$9:$F$10,2,0),IF(K1053="F10",VLOOKUP(F1053,[1]Info!$E$2:$F$3,2,0),VLOOKUP(K1053,[1]Info!$A$1:$B$21,2,0))))))</f>
        <v>Carregadeira Plantas</v>
      </c>
    </row>
    <row r="1054" spans="1:24" x14ac:dyDescent="0.35">
      <c r="A1054" t="s">
        <v>41</v>
      </c>
      <c r="B1054" t="s">
        <v>73</v>
      </c>
      <c r="C1054" t="s">
        <v>74</v>
      </c>
      <c r="D1054" t="s">
        <v>94</v>
      </c>
      <c r="E1054" t="s">
        <v>52</v>
      </c>
      <c r="F1054">
        <v>7098131</v>
      </c>
      <c r="G1054" t="s">
        <v>75</v>
      </c>
      <c r="H1054" t="s">
        <v>43</v>
      </c>
      <c r="I1054" t="s">
        <v>44</v>
      </c>
      <c r="J1054" t="s">
        <v>50</v>
      </c>
      <c r="K1054" t="s">
        <v>3</v>
      </c>
      <c r="L1054" t="s">
        <v>62</v>
      </c>
      <c r="M1054" t="s">
        <v>1183</v>
      </c>
      <c r="N1054" t="s">
        <v>1184</v>
      </c>
      <c r="O1054" t="s">
        <v>121</v>
      </c>
      <c r="P1054" t="s">
        <v>383</v>
      </c>
      <c r="Q1054" t="s">
        <v>156</v>
      </c>
      <c r="R1054" t="s">
        <v>157</v>
      </c>
      <c r="S1054" t="s">
        <v>46</v>
      </c>
      <c r="T1054" t="s">
        <v>46</v>
      </c>
      <c r="U1054" s="4">
        <v>83.35</v>
      </c>
      <c r="V1054" t="str">
        <f t="shared" si="16"/>
        <v>C044</v>
      </c>
      <c r="W1054" t="str">
        <f>VLOOKUP(K1054,[1]Info!A$1:B$21,2,0)</f>
        <v>Carregadeira</v>
      </c>
      <c r="X1054" t="str">
        <f>IF(M1054="109595132","Material de Limpeza-Não Avaliar",IF(AND(K1054="F20",M1054&lt;&gt;109595132),IF(RIGHT(F1054,2)="70","Infraestrutura de Planta","Prédios e Instalações"),IF(K1054="FPC",VLOOKUP(F1054,[1]Info!$E$2:$F$11,2,0),IF(K1054="FGP",VLOOKUP(F1054,[1]Info!$E$9:$F$10,2,0),IF(K1054="F10",VLOOKUP(F1054,[1]Info!$E$2:$F$3,2,0),VLOOKUP(K1054,[1]Info!$A$1:$B$21,2,0))))))</f>
        <v>Carregadeira Plantas</v>
      </c>
    </row>
    <row r="1055" spans="1:24" x14ac:dyDescent="0.35">
      <c r="A1055" t="s">
        <v>41</v>
      </c>
      <c r="B1055" t="s">
        <v>73</v>
      </c>
      <c r="C1055" t="s">
        <v>74</v>
      </c>
      <c r="D1055" t="s">
        <v>94</v>
      </c>
      <c r="E1055" t="s">
        <v>52</v>
      </c>
      <c r="F1055">
        <v>7098131</v>
      </c>
      <c r="G1055" t="s">
        <v>75</v>
      </c>
      <c r="H1055" t="s">
        <v>43</v>
      </c>
      <c r="I1055" t="s">
        <v>44</v>
      </c>
      <c r="J1055" t="s">
        <v>50</v>
      </c>
      <c r="K1055" t="s">
        <v>3</v>
      </c>
      <c r="L1055" t="s">
        <v>62</v>
      </c>
      <c r="M1055" t="s">
        <v>1183</v>
      </c>
      <c r="N1055" t="s">
        <v>1184</v>
      </c>
      <c r="O1055" t="s">
        <v>121</v>
      </c>
      <c r="P1055" t="s">
        <v>383</v>
      </c>
      <c r="Q1055" t="s">
        <v>1167</v>
      </c>
      <c r="R1055" t="s">
        <v>1168</v>
      </c>
      <c r="S1055" t="s">
        <v>46</v>
      </c>
      <c r="T1055" t="s">
        <v>46</v>
      </c>
      <c r="U1055" s="4">
        <v>150.13</v>
      </c>
      <c r="V1055" t="str">
        <f t="shared" si="16"/>
        <v>C044</v>
      </c>
      <c r="W1055" t="str">
        <f>VLOOKUP(K1055,[1]Info!A$1:B$21,2,0)</f>
        <v>Carregadeira</v>
      </c>
      <c r="X1055" t="str">
        <f>IF(M1055="109595132","Material de Limpeza-Não Avaliar",IF(AND(K1055="F20",M1055&lt;&gt;109595132),IF(RIGHT(F1055,2)="70","Infraestrutura de Planta","Prédios e Instalações"),IF(K1055="FPC",VLOOKUP(F1055,[1]Info!$E$2:$F$11,2,0),IF(K1055="FGP",VLOOKUP(F1055,[1]Info!$E$9:$F$10,2,0),IF(K1055="F10",VLOOKUP(F1055,[1]Info!$E$2:$F$3,2,0),VLOOKUP(K1055,[1]Info!$A$1:$B$21,2,0))))))</f>
        <v>Carregadeira Plantas</v>
      </c>
    </row>
    <row r="1056" spans="1:24" x14ac:dyDescent="0.35">
      <c r="A1056" t="s">
        <v>41</v>
      </c>
      <c r="B1056" t="s">
        <v>73</v>
      </c>
      <c r="C1056" t="s">
        <v>74</v>
      </c>
      <c r="D1056" t="s">
        <v>94</v>
      </c>
      <c r="E1056" t="s">
        <v>52</v>
      </c>
      <c r="F1056">
        <v>7098131</v>
      </c>
      <c r="G1056" t="s">
        <v>75</v>
      </c>
      <c r="H1056" t="s">
        <v>43</v>
      </c>
      <c r="I1056" t="s">
        <v>44</v>
      </c>
      <c r="J1056" t="s">
        <v>50</v>
      </c>
      <c r="K1056" t="s">
        <v>3</v>
      </c>
      <c r="L1056" t="s">
        <v>62</v>
      </c>
      <c r="M1056" t="s">
        <v>1183</v>
      </c>
      <c r="N1056" t="s">
        <v>1184</v>
      </c>
      <c r="O1056" t="s">
        <v>121</v>
      </c>
      <c r="P1056" t="s">
        <v>383</v>
      </c>
      <c r="Q1056" t="s">
        <v>158</v>
      </c>
      <c r="R1056" t="s">
        <v>159</v>
      </c>
      <c r="S1056" t="s">
        <v>46</v>
      </c>
      <c r="T1056" t="s">
        <v>46</v>
      </c>
      <c r="U1056" s="4">
        <v>796.13</v>
      </c>
      <c r="V1056" t="str">
        <f t="shared" si="16"/>
        <v>C044</v>
      </c>
      <c r="W1056" t="str">
        <f>VLOOKUP(K1056,[1]Info!A$1:B$21,2,0)</f>
        <v>Carregadeira</v>
      </c>
      <c r="X1056" t="str">
        <f>IF(M1056="109595132","Material de Limpeza-Não Avaliar",IF(AND(K1056="F20",M1056&lt;&gt;109595132),IF(RIGHT(F1056,2)="70","Infraestrutura de Planta","Prédios e Instalações"),IF(K1056="FPC",VLOOKUP(F1056,[1]Info!$E$2:$F$11,2,0),IF(K1056="FGP",VLOOKUP(F1056,[1]Info!$E$9:$F$10,2,0),IF(K1056="F10",VLOOKUP(F1056,[1]Info!$E$2:$F$3,2,0),VLOOKUP(K1056,[1]Info!$A$1:$B$21,2,0))))))</f>
        <v>Carregadeira Plantas</v>
      </c>
    </row>
    <row r="1057" spans="1:24" x14ac:dyDescent="0.35">
      <c r="A1057" t="s">
        <v>41</v>
      </c>
      <c r="B1057" t="s">
        <v>73</v>
      </c>
      <c r="C1057" t="s">
        <v>74</v>
      </c>
      <c r="D1057" t="s">
        <v>94</v>
      </c>
      <c r="E1057" t="s">
        <v>52</v>
      </c>
      <c r="F1057">
        <v>7098131</v>
      </c>
      <c r="G1057" t="s">
        <v>75</v>
      </c>
      <c r="H1057" t="s">
        <v>43</v>
      </c>
      <c r="I1057" t="s">
        <v>44</v>
      </c>
      <c r="J1057" t="s">
        <v>50</v>
      </c>
      <c r="K1057" t="s">
        <v>3</v>
      </c>
      <c r="L1057" t="s">
        <v>62</v>
      </c>
      <c r="M1057" t="s">
        <v>1183</v>
      </c>
      <c r="N1057" t="s">
        <v>1184</v>
      </c>
      <c r="O1057" t="s">
        <v>121</v>
      </c>
      <c r="P1057" t="s">
        <v>383</v>
      </c>
      <c r="Q1057" t="s">
        <v>160</v>
      </c>
      <c r="R1057" t="s">
        <v>161</v>
      </c>
      <c r="S1057" t="s">
        <v>46</v>
      </c>
      <c r="T1057" t="s">
        <v>46</v>
      </c>
      <c r="U1057" s="4">
        <v>385.32</v>
      </c>
      <c r="V1057" t="str">
        <f t="shared" si="16"/>
        <v>C044</v>
      </c>
      <c r="W1057" t="str">
        <f>VLOOKUP(K1057,[1]Info!A$1:B$21,2,0)</f>
        <v>Carregadeira</v>
      </c>
      <c r="X1057" t="str">
        <f>IF(M1057="109595132","Material de Limpeza-Não Avaliar",IF(AND(K1057="F20",M1057&lt;&gt;109595132),IF(RIGHT(F1057,2)="70","Infraestrutura de Planta","Prédios e Instalações"),IF(K1057="FPC",VLOOKUP(F1057,[1]Info!$E$2:$F$11,2,0),IF(K1057="FGP",VLOOKUP(F1057,[1]Info!$E$9:$F$10,2,0),IF(K1057="F10",VLOOKUP(F1057,[1]Info!$E$2:$F$3,2,0),VLOOKUP(K1057,[1]Info!$A$1:$B$21,2,0))))))</f>
        <v>Carregadeira Plantas</v>
      </c>
    </row>
    <row r="1058" spans="1:24" x14ac:dyDescent="0.35">
      <c r="A1058" t="s">
        <v>41</v>
      </c>
      <c r="B1058" t="s">
        <v>73</v>
      </c>
      <c r="C1058" t="s">
        <v>74</v>
      </c>
      <c r="D1058" t="s">
        <v>94</v>
      </c>
      <c r="E1058" t="s">
        <v>52</v>
      </c>
      <c r="F1058">
        <v>7098131</v>
      </c>
      <c r="G1058" t="s">
        <v>75</v>
      </c>
      <c r="H1058" t="s">
        <v>43</v>
      </c>
      <c r="I1058" t="s">
        <v>44</v>
      </c>
      <c r="J1058" t="s">
        <v>50</v>
      </c>
      <c r="K1058" t="s">
        <v>3</v>
      </c>
      <c r="L1058" t="s">
        <v>62</v>
      </c>
      <c r="M1058" t="s">
        <v>928</v>
      </c>
      <c r="N1058" t="s">
        <v>929</v>
      </c>
      <c r="O1058" t="s">
        <v>170</v>
      </c>
      <c r="P1058" t="s">
        <v>383</v>
      </c>
      <c r="Q1058" t="s">
        <v>1112</v>
      </c>
      <c r="R1058" t="s">
        <v>1113</v>
      </c>
      <c r="S1058" t="s">
        <v>46</v>
      </c>
      <c r="T1058" t="s">
        <v>46</v>
      </c>
      <c r="U1058" s="4">
        <v>130.97999999999999</v>
      </c>
      <c r="V1058" t="str">
        <f t="shared" si="16"/>
        <v>C032</v>
      </c>
      <c r="W1058" t="str">
        <f>VLOOKUP(K1058,[1]Info!A$1:B$21,2,0)</f>
        <v>Carregadeira</v>
      </c>
      <c r="X1058" t="str">
        <f>IF(M1058="109595132","Material de Limpeza-Não Avaliar",IF(AND(K1058="F20",M1058&lt;&gt;109595132),IF(RIGHT(F1058,2)="70","Infraestrutura de Planta","Prédios e Instalações"),IF(K1058="FPC",VLOOKUP(F1058,[1]Info!$E$2:$F$11,2,0),IF(K1058="FGP",VLOOKUP(F1058,[1]Info!$E$9:$F$10,2,0),IF(K1058="F10",VLOOKUP(F1058,[1]Info!$E$2:$F$3,2,0),VLOOKUP(K1058,[1]Info!$A$1:$B$21,2,0))))))</f>
        <v>Carregadeira Plantas</v>
      </c>
    </row>
    <row r="1059" spans="1:24" x14ac:dyDescent="0.35">
      <c r="A1059" t="s">
        <v>41</v>
      </c>
      <c r="B1059" t="s">
        <v>73</v>
      </c>
      <c r="C1059" t="s">
        <v>74</v>
      </c>
      <c r="D1059" t="s">
        <v>94</v>
      </c>
      <c r="E1059" t="s">
        <v>52</v>
      </c>
      <c r="F1059">
        <v>7098131</v>
      </c>
      <c r="G1059" t="s">
        <v>75</v>
      </c>
      <c r="H1059" t="s">
        <v>43</v>
      </c>
      <c r="I1059" t="s">
        <v>44</v>
      </c>
      <c r="J1059" t="s">
        <v>50</v>
      </c>
      <c r="K1059" t="s">
        <v>3</v>
      </c>
      <c r="L1059" t="s">
        <v>62</v>
      </c>
      <c r="M1059" t="s">
        <v>928</v>
      </c>
      <c r="N1059" t="s">
        <v>929</v>
      </c>
      <c r="O1059" t="s">
        <v>170</v>
      </c>
      <c r="P1059" t="s">
        <v>383</v>
      </c>
      <c r="Q1059" t="s">
        <v>1114</v>
      </c>
      <c r="R1059" t="s">
        <v>1115</v>
      </c>
      <c r="S1059" t="s">
        <v>46</v>
      </c>
      <c r="T1059" t="s">
        <v>46</v>
      </c>
      <c r="U1059" s="4">
        <v>51.45</v>
      </c>
      <c r="V1059" t="str">
        <f t="shared" si="16"/>
        <v>C032</v>
      </c>
      <c r="W1059" t="str">
        <f>VLOOKUP(K1059,[1]Info!A$1:B$21,2,0)</f>
        <v>Carregadeira</v>
      </c>
      <c r="X1059" t="str">
        <f>IF(M1059="109595132","Material de Limpeza-Não Avaliar",IF(AND(K1059="F20",M1059&lt;&gt;109595132),IF(RIGHT(F1059,2)="70","Infraestrutura de Planta","Prédios e Instalações"),IF(K1059="FPC",VLOOKUP(F1059,[1]Info!$E$2:$F$11,2,0),IF(K1059="FGP",VLOOKUP(F1059,[1]Info!$E$9:$F$10,2,0),IF(K1059="F10",VLOOKUP(F1059,[1]Info!$E$2:$F$3,2,0),VLOOKUP(K1059,[1]Info!$A$1:$B$21,2,0))))))</f>
        <v>Carregadeira Plantas</v>
      </c>
    </row>
    <row r="1060" spans="1:24" x14ac:dyDescent="0.35">
      <c r="A1060" t="s">
        <v>41</v>
      </c>
      <c r="B1060" t="s">
        <v>73</v>
      </c>
      <c r="C1060" t="s">
        <v>74</v>
      </c>
      <c r="D1060" t="s">
        <v>94</v>
      </c>
      <c r="E1060" t="s">
        <v>52</v>
      </c>
      <c r="F1060">
        <v>7098131</v>
      </c>
      <c r="G1060" t="s">
        <v>75</v>
      </c>
      <c r="H1060" t="s">
        <v>43</v>
      </c>
      <c r="I1060" t="s">
        <v>44</v>
      </c>
      <c r="J1060" t="s">
        <v>50</v>
      </c>
      <c r="K1060" t="s">
        <v>3</v>
      </c>
      <c r="L1060" t="s">
        <v>62</v>
      </c>
      <c r="M1060" t="s">
        <v>928</v>
      </c>
      <c r="N1060" t="s">
        <v>929</v>
      </c>
      <c r="O1060" t="s">
        <v>170</v>
      </c>
      <c r="P1060" t="s">
        <v>383</v>
      </c>
      <c r="Q1060" t="s">
        <v>1116</v>
      </c>
      <c r="R1060" t="s">
        <v>1117</v>
      </c>
      <c r="S1060" t="s">
        <v>46</v>
      </c>
      <c r="T1060" t="s">
        <v>46</v>
      </c>
      <c r="U1060" s="4">
        <v>182.16</v>
      </c>
      <c r="V1060" t="str">
        <f t="shared" si="16"/>
        <v>C032</v>
      </c>
      <c r="W1060" t="str">
        <f>VLOOKUP(K1060,[1]Info!A$1:B$21,2,0)</f>
        <v>Carregadeira</v>
      </c>
      <c r="X1060" t="str">
        <f>IF(M1060="109595132","Material de Limpeza-Não Avaliar",IF(AND(K1060="F20",M1060&lt;&gt;109595132),IF(RIGHT(F1060,2)="70","Infraestrutura de Planta","Prédios e Instalações"),IF(K1060="FPC",VLOOKUP(F1060,[1]Info!$E$2:$F$11,2,0),IF(K1060="FGP",VLOOKUP(F1060,[1]Info!$E$9:$F$10,2,0),IF(K1060="F10",VLOOKUP(F1060,[1]Info!$E$2:$F$3,2,0),VLOOKUP(K1060,[1]Info!$A$1:$B$21,2,0))))))</f>
        <v>Carregadeira Plantas</v>
      </c>
    </row>
    <row r="1061" spans="1:24" x14ac:dyDescent="0.35">
      <c r="A1061" t="s">
        <v>41</v>
      </c>
      <c r="B1061" t="s">
        <v>73</v>
      </c>
      <c r="C1061" t="s">
        <v>74</v>
      </c>
      <c r="D1061" t="s">
        <v>94</v>
      </c>
      <c r="E1061" t="s">
        <v>52</v>
      </c>
      <c r="F1061">
        <v>7098131</v>
      </c>
      <c r="G1061" t="s">
        <v>75</v>
      </c>
      <c r="H1061" t="s">
        <v>43</v>
      </c>
      <c r="I1061" t="s">
        <v>44</v>
      </c>
      <c r="J1061" t="s">
        <v>50</v>
      </c>
      <c r="K1061" t="s">
        <v>3</v>
      </c>
      <c r="L1061" t="s">
        <v>62</v>
      </c>
      <c r="M1061" t="s">
        <v>928</v>
      </c>
      <c r="N1061" t="s">
        <v>929</v>
      </c>
      <c r="O1061" t="s">
        <v>170</v>
      </c>
      <c r="P1061" t="s">
        <v>383</v>
      </c>
      <c r="Q1061" t="s">
        <v>228</v>
      </c>
      <c r="R1061" t="s">
        <v>229</v>
      </c>
      <c r="S1061" t="s">
        <v>46</v>
      </c>
      <c r="T1061" t="s">
        <v>46</v>
      </c>
      <c r="U1061" s="4">
        <v>98.42</v>
      </c>
      <c r="V1061" t="str">
        <f t="shared" si="16"/>
        <v>C032</v>
      </c>
      <c r="W1061" t="str">
        <f>VLOOKUP(K1061,[1]Info!A$1:B$21,2,0)</f>
        <v>Carregadeira</v>
      </c>
      <c r="X1061" t="str">
        <f>IF(M1061="109595132","Material de Limpeza-Não Avaliar",IF(AND(K1061="F20",M1061&lt;&gt;109595132),IF(RIGHT(F1061,2)="70","Infraestrutura de Planta","Prédios e Instalações"),IF(K1061="FPC",VLOOKUP(F1061,[1]Info!$E$2:$F$11,2,0),IF(K1061="FGP",VLOOKUP(F1061,[1]Info!$E$9:$F$10,2,0),IF(K1061="F10",VLOOKUP(F1061,[1]Info!$E$2:$F$3,2,0),VLOOKUP(K1061,[1]Info!$A$1:$B$21,2,0))))))</f>
        <v>Carregadeira Plantas</v>
      </c>
    </row>
    <row r="1062" spans="1:24" x14ac:dyDescent="0.35">
      <c r="A1062" t="s">
        <v>41</v>
      </c>
      <c r="B1062" t="s">
        <v>73</v>
      </c>
      <c r="C1062" t="s">
        <v>74</v>
      </c>
      <c r="D1062" t="s">
        <v>94</v>
      </c>
      <c r="E1062" t="s">
        <v>52</v>
      </c>
      <c r="F1062">
        <v>7098131</v>
      </c>
      <c r="G1062" t="s">
        <v>75</v>
      </c>
      <c r="H1062" t="s">
        <v>43</v>
      </c>
      <c r="I1062" t="s">
        <v>44</v>
      </c>
      <c r="J1062" t="s">
        <v>50</v>
      </c>
      <c r="K1062" t="s">
        <v>3</v>
      </c>
      <c r="L1062" t="s">
        <v>62</v>
      </c>
      <c r="M1062" t="s">
        <v>928</v>
      </c>
      <c r="N1062" t="s">
        <v>929</v>
      </c>
      <c r="O1062" t="s">
        <v>170</v>
      </c>
      <c r="P1062" t="s">
        <v>383</v>
      </c>
      <c r="Q1062" t="s">
        <v>1118</v>
      </c>
      <c r="R1062" t="s">
        <v>1119</v>
      </c>
      <c r="S1062" t="s">
        <v>46</v>
      </c>
      <c r="T1062" t="s">
        <v>46</v>
      </c>
      <c r="U1062" s="4">
        <v>323.23</v>
      </c>
      <c r="V1062" t="str">
        <f t="shared" si="16"/>
        <v>C032</v>
      </c>
      <c r="W1062" t="str">
        <f>VLOOKUP(K1062,[1]Info!A$1:B$21,2,0)</f>
        <v>Carregadeira</v>
      </c>
      <c r="X1062" t="str">
        <f>IF(M1062="109595132","Material de Limpeza-Não Avaliar",IF(AND(K1062="F20",M1062&lt;&gt;109595132),IF(RIGHT(F1062,2)="70","Infraestrutura de Planta","Prédios e Instalações"),IF(K1062="FPC",VLOOKUP(F1062,[1]Info!$E$2:$F$11,2,0),IF(K1062="FGP",VLOOKUP(F1062,[1]Info!$E$9:$F$10,2,0),IF(K1062="F10",VLOOKUP(F1062,[1]Info!$E$2:$F$3,2,0),VLOOKUP(K1062,[1]Info!$A$1:$B$21,2,0))))))</f>
        <v>Carregadeira Plantas</v>
      </c>
    </row>
    <row r="1063" spans="1:24" x14ac:dyDescent="0.35">
      <c r="A1063" t="s">
        <v>41</v>
      </c>
      <c r="B1063" t="s">
        <v>73</v>
      </c>
      <c r="C1063" t="s">
        <v>74</v>
      </c>
      <c r="D1063" t="s">
        <v>94</v>
      </c>
      <c r="E1063" t="s">
        <v>52</v>
      </c>
      <c r="F1063">
        <v>7098131</v>
      </c>
      <c r="G1063" t="s">
        <v>75</v>
      </c>
      <c r="H1063" t="s">
        <v>43</v>
      </c>
      <c r="I1063" t="s">
        <v>44</v>
      </c>
      <c r="J1063" t="s">
        <v>50</v>
      </c>
      <c r="K1063" t="s">
        <v>3</v>
      </c>
      <c r="L1063" t="s">
        <v>62</v>
      </c>
      <c r="M1063" t="s">
        <v>928</v>
      </c>
      <c r="N1063" t="s">
        <v>929</v>
      </c>
      <c r="O1063" t="s">
        <v>170</v>
      </c>
      <c r="P1063" t="s">
        <v>383</v>
      </c>
      <c r="Q1063" t="s">
        <v>1120</v>
      </c>
      <c r="R1063" t="s">
        <v>1121</v>
      </c>
      <c r="S1063" t="s">
        <v>46</v>
      </c>
      <c r="T1063" t="s">
        <v>46</v>
      </c>
      <c r="U1063" s="4">
        <v>176.54</v>
      </c>
      <c r="V1063" t="str">
        <f t="shared" si="16"/>
        <v>C032</v>
      </c>
      <c r="W1063" t="str">
        <f>VLOOKUP(K1063,[1]Info!A$1:B$21,2,0)</f>
        <v>Carregadeira</v>
      </c>
      <c r="X1063" t="str">
        <f>IF(M1063="109595132","Material de Limpeza-Não Avaliar",IF(AND(K1063="F20",M1063&lt;&gt;109595132),IF(RIGHT(F1063,2)="70","Infraestrutura de Planta","Prédios e Instalações"),IF(K1063="FPC",VLOOKUP(F1063,[1]Info!$E$2:$F$11,2,0),IF(K1063="FGP",VLOOKUP(F1063,[1]Info!$E$9:$F$10,2,0),IF(K1063="F10",VLOOKUP(F1063,[1]Info!$E$2:$F$3,2,0),VLOOKUP(K1063,[1]Info!$A$1:$B$21,2,0))))))</f>
        <v>Carregadeira Plantas</v>
      </c>
    </row>
    <row r="1064" spans="1:24" x14ac:dyDescent="0.35">
      <c r="A1064" t="s">
        <v>41</v>
      </c>
      <c r="B1064" t="s">
        <v>73</v>
      </c>
      <c r="C1064" t="s">
        <v>74</v>
      </c>
      <c r="D1064" t="s">
        <v>94</v>
      </c>
      <c r="E1064" t="s">
        <v>52</v>
      </c>
      <c r="F1064">
        <v>7098131</v>
      </c>
      <c r="G1064" t="s">
        <v>75</v>
      </c>
      <c r="H1064" t="s">
        <v>43</v>
      </c>
      <c r="I1064" t="s">
        <v>44</v>
      </c>
      <c r="J1064" t="s">
        <v>50</v>
      </c>
      <c r="K1064" t="s">
        <v>3</v>
      </c>
      <c r="L1064" t="s">
        <v>62</v>
      </c>
      <c r="M1064" t="s">
        <v>928</v>
      </c>
      <c r="N1064" t="s">
        <v>929</v>
      </c>
      <c r="O1064" t="s">
        <v>170</v>
      </c>
      <c r="P1064" t="s">
        <v>383</v>
      </c>
      <c r="Q1064" t="s">
        <v>1122</v>
      </c>
      <c r="R1064" t="s">
        <v>1123</v>
      </c>
      <c r="S1064" t="s">
        <v>46</v>
      </c>
      <c r="T1064" t="s">
        <v>46</v>
      </c>
      <c r="U1064" s="4">
        <v>125.63</v>
      </c>
      <c r="V1064" t="str">
        <f t="shared" si="16"/>
        <v>C032</v>
      </c>
      <c r="W1064" t="str">
        <f>VLOOKUP(K1064,[1]Info!A$1:B$21,2,0)</f>
        <v>Carregadeira</v>
      </c>
      <c r="X1064" t="str">
        <f>IF(M1064="109595132","Material de Limpeza-Não Avaliar",IF(AND(K1064="F20",M1064&lt;&gt;109595132),IF(RIGHT(F1064,2)="70","Infraestrutura de Planta","Prédios e Instalações"),IF(K1064="FPC",VLOOKUP(F1064,[1]Info!$E$2:$F$11,2,0),IF(K1064="FGP",VLOOKUP(F1064,[1]Info!$E$9:$F$10,2,0),IF(K1064="F10",VLOOKUP(F1064,[1]Info!$E$2:$F$3,2,0),VLOOKUP(K1064,[1]Info!$A$1:$B$21,2,0))))))</f>
        <v>Carregadeira Plantas</v>
      </c>
    </row>
    <row r="1065" spans="1:24" x14ac:dyDescent="0.35">
      <c r="A1065" t="s">
        <v>41</v>
      </c>
      <c r="B1065" t="s">
        <v>73</v>
      </c>
      <c r="C1065" t="s">
        <v>74</v>
      </c>
      <c r="D1065" t="s">
        <v>94</v>
      </c>
      <c r="E1065" t="s">
        <v>52</v>
      </c>
      <c r="F1065">
        <v>7098131</v>
      </c>
      <c r="G1065" t="s">
        <v>75</v>
      </c>
      <c r="H1065" t="s">
        <v>43</v>
      </c>
      <c r="I1065" t="s">
        <v>44</v>
      </c>
      <c r="J1065" t="s">
        <v>50</v>
      </c>
      <c r="K1065" t="s">
        <v>3</v>
      </c>
      <c r="L1065" t="s">
        <v>62</v>
      </c>
      <c r="M1065" t="s">
        <v>928</v>
      </c>
      <c r="N1065" t="s">
        <v>929</v>
      </c>
      <c r="O1065" t="s">
        <v>170</v>
      </c>
      <c r="P1065" t="s">
        <v>383</v>
      </c>
      <c r="Q1065" t="s">
        <v>1124</v>
      </c>
      <c r="R1065" t="s">
        <v>1125</v>
      </c>
      <c r="S1065" t="s">
        <v>46</v>
      </c>
      <c r="T1065" t="s">
        <v>46</v>
      </c>
      <c r="U1065" s="4">
        <v>629.54999999999995</v>
      </c>
      <c r="V1065" t="str">
        <f t="shared" si="16"/>
        <v>C032</v>
      </c>
      <c r="W1065" t="str">
        <f>VLOOKUP(K1065,[1]Info!A$1:B$21,2,0)</f>
        <v>Carregadeira</v>
      </c>
      <c r="X1065" t="str">
        <f>IF(M1065="109595132","Material de Limpeza-Não Avaliar",IF(AND(K1065="F20",M1065&lt;&gt;109595132),IF(RIGHT(F1065,2)="70","Infraestrutura de Planta","Prédios e Instalações"),IF(K1065="FPC",VLOOKUP(F1065,[1]Info!$E$2:$F$11,2,0),IF(K1065="FGP",VLOOKUP(F1065,[1]Info!$E$9:$F$10,2,0),IF(K1065="F10",VLOOKUP(F1065,[1]Info!$E$2:$F$3,2,0),VLOOKUP(K1065,[1]Info!$A$1:$B$21,2,0))))))</f>
        <v>Carregadeira Plantas</v>
      </c>
    </row>
    <row r="1066" spans="1:24" x14ac:dyDescent="0.35">
      <c r="A1066" t="s">
        <v>41</v>
      </c>
      <c r="B1066" t="s">
        <v>73</v>
      </c>
      <c r="C1066" t="s">
        <v>74</v>
      </c>
      <c r="D1066" t="s">
        <v>94</v>
      </c>
      <c r="E1066" t="s">
        <v>52</v>
      </c>
      <c r="F1066">
        <v>7098131</v>
      </c>
      <c r="G1066" t="s">
        <v>75</v>
      </c>
      <c r="H1066" t="s">
        <v>43</v>
      </c>
      <c r="I1066" t="s">
        <v>44</v>
      </c>
      <c r="J1066" t="s">
        <v>50</v>
      </c>
      <c r="K1066" t="s">
        <v>3</v>
      </c>
      <c r="L1066" t="s">
        <v>62</v>
      </c>
      <c r="M1066" t="s">
        <v>928</v>
      </c>
      <c r="N1066" t="s">
        <v>929</v>
      </c>
      <c r="O1066" t="s">
        <v>170</v>
      </c>
      <c r="P1066" t="s">
        <v>383</v>
      </c>
      <c r="Q1066" t="s">
        <v>154</v>
      </c>
      <c r="R1066" t="s">
        <v>155</v>
      </c>
      <c r="S1066" t="s">
        <v>46</v>
      </c>
      <c r="T1066" t="s">
        <v>46</v>
      </c>
      <c r="U1066" s="4">
        <v>81.22</v>
      </c>
      <c r="V1066" t="str">
        <f t="shared" si="16"/>
        <v>C032</v>
      </c>
      <c r="W1066" t="str">
        <f>VLOOKUP(K1066,[1]Info!A$1:B$21,2,0)</f>
        <v>Carregadeira</v>
      </c>
      <c r="X1066" t="str">
        <f>IF(M1066="109595132","Material de Limpeza-Não Avaliar",IF(AND(K1066="F20",M1066&lt;&gt;109595132),IF(RIGHT(F1066,2)="70","Infraestrutura de Planta","Prédios e Instalações"),IF(K1066="FPC",VLOOKUP(F1066,[1]Info!$E$2:$F$11,2,0),IF(K1066="FGP",VLOOKUP(F1066,[1]Info!$E$9:$F$10,2,0),IF(K1066="F10",VLOOKUP(F1066,[1]Info!$E$2:$F$3,2,0),VLOOKUP(K1066,[1]Info!$A$1:$B$21,2,0))))))</f>
        <v>Carregadeira Plantas</v>
      </c>
    </row>
    <row r="1067" spans="1:24" x14ac:dyDescent="0.35">
      <c r="A1067" t="s">
        <v>41</v>
      </c>
      <c r="B1067" t="s">
        <v>73</v>
      </c>
      <c r="C1067" t="s">
        <v>74</v>
      </c>
      <c r="D1067" t="s">
        <v>94</v>
      </c>
      <c r="E1067" t="s">
        <v>52</v>
      </c>
      <c r="F1067">
        <v>7098131</v>
      </c>
      <c r="G1067" t="s">
        <v>75</v>
      </c>
      <c r="H1067" t="s">
        <v>43</v>
      </c>
      <c r="I1067" t="s">
        <v>44</v>
      </c>
      <c r="J1067" t="s">
        <v>50</v>
      </c>
      <c r="K1067" t="s">
        <v>3</v>
      </c>
      <c r="L1067" t="s">
        <v>62</v>
      </c>
      <c r="M1067" t="s">
        <v>928</v>
      </c>
      <c r="N1067" t="s">
        <v>929</v>
      </c>
      <c r="O1067" t="s">
        <v>170</v>
      </c>
      <c r="P1067" t="s">
        <v>383</v>
      </c>
      <c r="Q1067" t="s">
        <v>156</v>
      </c>
      <c r="R1067" t="s">
        <v>157</v>
      </c>
      <c r="S1067" t="s">
        <v>46</v>
      </c>
      <c r="T1067" t="s">
        <v>46</v>
      </c>
      <c r="U1067" s="4">
        <v>83.34</v>
      </c>
      <c r="V1067" t="str">
        <f t="shared" si="16"/>
        <v>C032</v>
      </c>
      <c r="W1067" t="str">
        <f>VLOOKUP(K1067,[1]Info!A$1:B$21,2,0)</f>
        <v>Carregadeira</v>
      </c>
      <c r="X1067" t="str">
        <f>IF(M1067="109595132","Material de Limpeza-Não Avaliar",IF(AND(K1067="F20",M1067&lt;&gt;109595132),IF(RIGHT(F1067,2)="70","Infraestrutura de Planta","Prédios e Instalações"),IF(K1067="FPC",VLOOKUP(F1067,[1]Info!$E$2:$F$11,2,0),IF(K1067="FGP",VLOOKUP(F1067,[1]Info!$E$9:$F$10,2,0),IF(K1067="F10",VLOOKUP(F1067,[1]Info!$E$2:$F$3,2,0),VLOOKUP(K1067,[1]Info!$A$1:$B$21,2,0))))))</f>
        <v>Carregadeira Plantas</v>
      </c>
    </row>
    <row r="1068" spans="1:24" x14ac:dyDescent="0.35">
      <c r="A1068" t="s">
        <v>41</v>
      </c>
      <c r="B1068" t="s">
        <v>73</v>
      </c>
      <c r="C1068" t="s">
        <v>74</v>
      </c>
      <c r="D1068" t="s">
        <v>94</v>
      </c>
      <c r="E1068" t="s">
        <v>52</v>
      </c>
      <c r="F1068">
        <v>7098131</v>
      </c>
      <c r="G1068" t="s">
        <v>75</v>
      </c>
      <c r="H1068" t="s">
        <v>43</v>
      </c>
      <c r="I1068" t="s">
        <v>44</v>
      </c>
      <c r="J1068" t="s">
        <v>50</v>
      </c>
      <c r="K1068" t="s">
        <v>3</v>
      </c>
      <c r="L1068" t="s">
        <v>62</v>
      </c>
      <c r="M1068" t="s">
        <v>928</v>
      </c>
      <c r="N1068" t="s">
        <v>929</v>
      </c>
      <c r="O1068" t="s">
        <v>170</v>
      </c>
      <c r="P1068" t="s">
        <v>383</v>
      </c>
      <c r="Q1068" t="s">
        <v>1128</v>
      </c>
      <c r="R1068" t="s">
        <v>1129</v>
      </c>
      <c r="S1068" t="s">
        <v>46</v>
      </c>
      <c r="T1068" t="s">
        <v>46</v>
      </c>
      <c r="U1068" s="4">
        <v>121.79</v>
      </c>
      <c r="V1068" t="str">
        <f t="shared" si="16"/>
        <v>C032</v>
      </c>
      <c r="W1068" t="str">
        <f>VLOOKUP(K1068,[1]Info!A$1:B$21,2,0)</f>
        <v>Carregadeira</v>
      </c>
      <c r="X1068" t="str">
        <f>IF(M1068="109595132","Material de Limpeza-Não Avaliar",IF(AND(K1068="F20",M1068&lt;&gt;109595132),IF(RIGHT(F1068,2)="70","Infraestrutura de Planta","Prédios e Instalações"),IF(K1068="FPC",VLOOKUP(F1068,[1]Info!$E$2:$F$11,2,0),IF(K1068="FGP",VLOOKUP(F1068,[1]Info!$E$9:$F$10,2,0),IF(K1068="F10",VLOOKUP(F1068,[1]Info!$E$2:$F$3,2,0),VLOOKUP(K1068,[1]Info!$A$1:$B$21,2,0))))))</f>
        <v>Carregadeira Plantas</v>
      </c>
    </row>
    <row r="1069" spans="1:24" x14ac:dyDescent="0.35">
      <c r="A1069" t="s">
        <v>41</v>
      </c>
      <c r="B1069" t="s">
        <v>73</v>
      </c>
      <c r="C1069" t="s">
        <v>74</v>
      </c>
      <c r="D1069" t="s">
        <v>94</v>
      </c>
      <c r="E1069" t="s">
        <v>52</v>
      </c>
      <c r="F1069">
        <v>7098131</v>
      </c>
      <c r="G1069" t="s">
        <v>75</v>
      </c>
      <c r="H1069" t="s">
        <v>43</v>
      </c>
      <c r="I1069" t="s">
        <v>44</v>
      </c>
      <c r="J1069" t="s">
        <v>50</v>
      </c>
      <c r="K1069" t="s">
        <v>3</v>
      </c>
      <c r="L1069" t="s">
        <v>62</v>
      </c>
      <c r="M1069" t="s">
        <v>928</v>
      </c>
      <c r="N1069" t="s">
        <v>929</v>
      </c>
      <c r="O1069" t="s">
        <v>170</v>
      </c>
      <c r="P1069" t="s">
        <v>383</v>
      </c>
      <c r="Q1069" t="s">
        <v>1130</v>
      </c>
      <c r="R1069" t="s">
        <v>1131</v>
      </c>
      <c r="S1069" t="s">
        <v>46</v>
      </c>
      <c r="T1069" t="s">
        <v>46</v>
      </c>
      <c r="U1069" s="4">
        <v>81.52</v>
      </c>
      <c r="V1069" t="str">
        <f t="shared" si="16"/>
        <v>C032</v>
      </c>
      <c r="W1069" t="str">
        <f>VLOOKUP(K1069,[1]Info!A$1:B$21,2,0)</f>
        <v>Carregadeira</v>
      </c>
      <c r="X1069" t="str">
        <f>IF(M1069="109595132","Material de Limpeza-Não Avaliar",IF(AND(K1069="F20",M1069&lt;&gt;109595132),IF(RIGHT(F1069,2)="70","Infraestrutura de Planta","Prédios e Instalações"),IF(K1069="FPC",VLOOKUP(F1069,[1]Info!$E$2:$F$11,2,0),IF(K1069="FGP",VLOOKUP(F1069,[1]Info!$E$9:$F$10,2,0),IF(K1069="F10",VLOOKUP(F1069,[1]Info!$E$2:$F$3,2,0),VLOOKUP(K1069,[1]Info!$A$1:$B$21,2,0))))))</f>
        <v>Carregadeira Plantas</v>
      </c>
    </row>
    <row r="1070" spans="1:24" x14ac:dyDescent="0.35">
      <c r="A1070" t="s">
        <v>41</v>
      </c>
      <c r="B1070" t="s">
        <v>73</v>
      </c>
      <c r="C1070" t="s">
        <v>74</v>
      </c>
      <c r="D1070" t="s">
        <v>94</v>
      </c>
      <c r="E1070" t="s">
        <v>52</v>
      </c>
      <c r="F1070">
        <v>7098131</v>
      </c>
      <c r="G1070" t="s">
        <v>75</v>
      </c>
      <c r="H1070" t="s">
        <v>43</v>
      </c>
      <c r="I1070" t="s">
        <v>44</v>
      </c>
      <c r="J1070" t="s">
        <v>50</v>
      </c>
      <c r="K1070" t="s">
        <v>3</v>
      </c>
      <c r="L1070" t="s">
        <v>62</v>
      </c>
      <c r="M1070" t="s">
        <v>928</v>
      </c>
      <c r="N1070" t="s">
        <v>929</v>
      </c>
      <c r="O1070" t="s">
        <v>170</v>
      </c>
      <c r="P1070" t="s">
        <v>383</v>
      </c>
      <c r="Q1070" t="s">
        <v>1134</v>
      </c>
      <c r="R1070" t="s">
        <v>1135</v>
      </c>
      <c r="S1070" t="s">
        <v>46</v>
      </c>
      <c r="T1070" t="s">
        <v>46</v>
      </c>
      <c r="U1070" s="4">
        <v>545.45000000000005</v>
      </c>
      <c r="V1070" t="str">
        <f t="shared" si="16"/>
        <v>C032</v>
      </c>
      <c r="W1070" t="str">
        <f>VLOOKUP(K1070,[1]Info!A$1:B$21,2,0)</f>
        <v>Carregadeira</v>
      </c>
      <c r="X1070" t="str">
        <f>IF(M1070="109595132","Material de Limpeza-Não Avaliar",IF(AND(K1070="F20",M1070&lt;&gt;109595132),IF(RIGHT(F1070,2)="70","Infraestrutura de Planta","Prédios e Instalações"),IF(K1070="FPC",VLOOKUP(F1070,[1]Info!$E$2:$F$11,2,0),IF(K1070="FGP",VLOOKUP(F1070,[1]Info!$E$9:$F$10,2,0),IF(K1070="F10",VLOOKUP(F1070,[1]Info!$E$2:$F$3,2,0),VLOOKUP(K1070,[1]Info!$A$1:$B$21,2,0))))))</f>
        <v>Carregadeira Plantas</v>
      </c>
    </row>
    <row r="1071" spans="1:24" x14ac:dyDescent="0.35">
      <c r="A1071" t="s">
        <v>41</v>
      </c>
      <c r="B1071" t="s">
        <v>73</v>
      </c>
      <c r="C1071" t="s">
        <v>74</v>
      </c>
      <c r="D1071" t="s">
        <v>94</v>
      </c>
      <c r="E1071" t="s">
        <v>52</v>
      </c>
      <c r="F1071">
        <v>7098131</v>
      </c>
      <c r="G1071" t="s">
        <v>75</v>
      </c>
      <c r="H1071" t="s">
        <v>43</v>
      </c>
      <c r="I1071" t="s">
        <v>44</v>
      </c>
      <c r="J1071" t="s">
        <v>50</v>
      </c>
      <c r="K1071" t="s">
        <v>3</v>
      </c>
      <c r="L1071" t="s">
        <v>62</v>
      </c>
      <c r="M1071" t="s">
        <v>928</v>
      </c>
      <c r="N1071" t="s">
        <v>929</v>
      </c>
      <c r="O1071" t="s">
        <v>170</v>
      </c>
      <c r="P1071" t="s">
        <v>383</v>
      </c>
      <c r="Q1071" t="s">
        <v>1167</v>
      </c>
      <c r="R1071" t="s">
        <v>1168</v>
      </c>
      <c r="S1071" t="s">
        <v>46</v>
      </c>
      <c r="T1071" t="s">
        <v>46</v>
      </c>
      <c r="U1071" s="4">
        <v>150.12</v>
      </c>
      <c r="V1071" t="str">
        <f t="shared" si="16"/>
        <v>C032</v>
      </c>
      <c r="W1071" t="str">
        <f>VLOOKUP(K1071,[1]Info!A$1:B$21,2,0)</f>
        <v>Carregadeira</v>
      </c>
      <c r="X1071" t="str">
        <f>IF(M1071="109595132","Material de Limpeza-Não Avaliar",IF(AND(K1071="F20",M1071&lt;&gt;109595132),IF(RIGHT(F1071,2)="70","Infraestrutura de Planta","Prédios e Instalações"),IF(K1071="FPC",VLOOKUP(F1071,[1]Info!$E$2:$F$11,2,0),IF(K1071="FGP",VLOOKUP(F1071,[1]Info!$E$9:$F$10,2,0),IF(K1071="F10",VLOOKUP(F1071,[1]Info!$E$2:$F$3,2,0),VLOOKUP(K1071,[1]Info!$A$1:$B$21,2,0))))))</f>
        <v>Carregadeira Plantas</v>
      </c>
    </row>
    <row r="1072" spans="1:24" x14ac:dyDescent="0.35">
      <c r="A1072" t="s">
        <v>41</v>
      </c>
      <c r="B1072" t="s">
        <v>73</v>
      </c>
      <c r="C1072" t="s">
        <v>74</v>
      </c>
      <c r="D1072" t="s">
        <v>94</v>
      </c>
      <c r="E1072" t="s">
        <v>52</v>
      </c>
      <c r="F1072">
        <v>7098131</v>
      </c>
      <c r="G1072" t="s">
        <v>75</v>
      </c>
      <c r="H1072" t="s">
        <v>43</v>
      </c>
      <c r="I1072" t="s">
        <v>44</v>
      </c>
      <c r="J1072" t="s">
        <v>50</v>
      </c>
      <c r="K1072" t="s">
        <v>3</v>
      </c>
      <c r="L1072" t="s">
        <v>62</v>
      </c>
      <c r="M1072" t="s">
        <v>397</v>
      </c>
      <c r="N1072" t="s">
        <v>398</v>
      </c>
      <c r="O1072" t="s">
        <v>143</v>
      </c>
      <c r="P1072" t="s">
        <v>383</v>
      </c>
      <c r="Q1072" t="s">
        <v>1116</v>
      </c>
      <c r="R1072" t="s">
        <v>1117</v>
      </c>
      <c r="S1072" t="s">
        <v>46</v>
      </c>
      <c r="T1072" t="s">
        <v>46</v>
      </c>
      <c r="U1072" s="4">
        <v>182.16</v>
      </c>
      <c r="V1072" t="str">
        <f t="shared" si="16"/>
        <v>C048</v>
      </c>
      <c r="W1072" t="str">
        <f>VLOOKUP(K1072,[1]Info!A$1:B$21,2,0)</f>
        <v>Carregadeira</v>
      </c>
      <c r="X1072" t="str">
        <f>IF(M1072="109595132","Material de Limpeza-Não Avaliar",IF(AND(K1072="F20",M1072&lt;&gt;109595132),IF(RIGHT(F1072,2)="70","Infraestrutura de Planta","Prédios e Instalações"),IF(K1072="FPC",VLOOKUP(F1072,[1]Info!$E$2:$F$11,2,0),IF(K1072="FGP",VLOOKUP(F1072,[1]Info!$E$9:$F$10,2,0),IF(K1072="F10",VLOOKUP(F1072,[1]Info!$E$2:$F$3,2,0),VLOOKUP(K1072,[1]Info!$A$1:$B$21,2,0))))))</f>
        <v>Carregadeira Plantas</v>
      </c>
    </row>
    <row r="1073" spans="1:24" x14ac:dyDescent="0.35">
      <c r="A1073" t="s">
        <v>41</v>
      </c>
      <c r="B1073" t="s">
        <v>73</v>
      </c>
      <c r="C1073" t="s">
        <v>74</v>
      </c>
      <c r="D1073" t="s">
        <v>94</v>
      </c>
      <c r="E1073" t="s">
        <v>52</v>
      </c>
      <c r="F1073">
        <v>7098131</v>
      </c>
      <c r="G1073" t="s">
        <v>75</v>
      </c>
      <c r="H1073" t="s">
        <v>43</v>
      </c>
      <c r="I1073" t="s">
        <v>44</v>
      </c>
      <c r="J1073" t="s">
        <v>50</v>
      </c>
      <c r="K1073" t="s">
        <v>3</v>
      </c>
      <c r="L1073" t="s">
        <v>62</v>
      </c>
      <c r="M1073" t="s">
        <v>397</v>
      </c>
      <c r="N1073" t="s">
        <v>398</v>
      </c>
      <c r="O1073" t="s">
        <v>143</v>
      </c>
      <c r="P1073" t="s">
        <v>383</v>
      </c>
      <c r="Q1073" t="s">
        <v>228</v>
      </c>
      <c r="R1073" t="s">
        <v>229</v>
      </c>
      <c r="S1073" t="s">
        <v>46</v>
      </c>
      <c r="T1073" t="s">
        <v>46</v>
      </c>
      <c r="U1073" s="4">
        <v>98.24</v>
      </c>
      <c r="V1073" t="str">
        <f t="shared" si="16"/>
        <v>C048</v>
      </c>
      <c r="W1073" t="str">
        <f>VLOOKUP(K1073,[1]Info!A$1:B$21,2,0)</f>
        <v>Carregadeira</v>
      </c>
      <c r="X1073" t="str">
        <f>IF(M1073="109595132","Material de Limpeza-Não Avaliar",IF(AND(K1073="F20",M1073&lt;&gt;109595132),IF(RIGHT(F1073,2)="70","Infraestrutura de Planta","Prédios e Instalações"),IF(K1073="FPC",VLOOKUP(F1073,[1]Info!$E$2:$F$11,2,0),IF(K1073="FGP",VLOOKUP(F1073,[1]Info!$E$9:$F$10,2,0),IF(K1073="F10",VLOOKUP(F1073,[1]Info!$E$2:$F$3,2,0),VLOOKUP(K1073,[1]Info!$A$1:$B$21,2,0))))))</f>
        <v>Carregadeira Plantas</v>
      </c>
    </row>
    <row r="1074" spans="1:24" x14ac:dyDescent="0.35">
      <c r="A1074" t="s">
        <v>41</v>
      </c>
      <c r="B1074" t="s">
        <v>73</v>
      </c>
      <c r="C1074" t="s">
        <v>74</v>
      </c>
      <c r="D1074" t="s">
        <v>94</v>
      </c>
      <c r="E1074" t="s">
        <v>52</v>
      </c>
      <c r="F1074">
        <v>7098131</v>
      </c>
      <c r="G1074" t="s">
        <v>75</v>
      </c>
      <c r="H1074" t="s">
        <v>43</v>
      </c>
      <c r="I1074" t="s">
        <v>44</v>
      </c>
      <c r="J1074" t="s">
        <v>50</v>
      </c>
      <c r="K1074" t="s">
        <v>3</v>
      </c>
      <c r="L1074" t="s">
        <v>62</v>
      </c>
      <c r="M1074" t="s">
        <v>397</v>
      </c>
      <c r="N1074" t="s">
        <v>398</v>
      </c>
      <c r="O1074" t="s">
        <v>143</v>
      </c>
      <c r="P1074" t="s">
        <v>383</v>
      </c>
      <c r="Q1074" t="s">
        <v>1118</v>
      </c>
      <c r="R1074" t="s">
        <v>1119</v>
      </c>
      <c r="S1074" t="s">
        <v>46</v>
      </c>
      <c r="T1074" t="s">
        <v>46</v>
      </c>
      <c r="U1074" s="4">
        <v>323.24</v>
      </c>
      <c r="V1074" t="str">
        <f t="shared" si="16"/>
        <v>C048</v>
      </c>
      <c r="W1074" t="str">
        <f>VLOOKUP(K1074,[1]Info!A$1:B$21,2,0)</f>
        <v>Carregadeira</v>
      </c>
      <c r="X1074" t="str">
        <f>IF(M1074="109595132","Material de Limpeza-Não Avaliar",IF(AND(K1074="F20",M1074&lt;&gt;109595132),IF(RIGHT(F1074,2)="70","Infraestrutura de Planta","Prédios e Instalações"),IF(K1074="FPC",VLOOKUP(F1074,[1]Info!$E$2:$F$11,2,0),IF(K1074="FGP",VLOOKUP(F1074,[1]Info!$E$9:$F$10,2,0),IF(K1074="F10",VLOOKUP(F1074,[1]Info!$E$2:$F$3,2,0),VLOOKUP(K1074,[1]Info!$A$1:$B$21,2,0))))))</f>
        <v>Carregadeira Plantas</v>
      </c>
    </row>
    <row r="1075" spans="1:24" x14ac:dyDescent="0.35">
      <c r="A1075" t="s">
        <v>41</v>
      </c>
      <c r="B1075" t="s">
        <v>73</v>
      </c>
      <c r="C1075" t="s">
        <v>74</v>
      </c>
      <c r="D1075" t="s">
        <v>94</v>
      </c>
      <c r="E1075" t="s">
        <v>52</v>
      </c>
      <c r="F1075">
        <v>7098131</v>
      </c>
      <c r="G1075" t="s">
        <v>75</v>
      </c>
      <c r="H1075" t="s">
        <v>43</v>
      </c>
      <c r="I1075" t="s">
        <v>44</v>
      </c>
      <c r="J1075" t="s">
        <v>50</v>
      </c>
      <c r="K1075" t="s">
        <v>3</v>
      </c>
      <c r="L1075" t="s">
        <v>62</v>
      </c>
      <c r="M1075" t="s">
        <v>397</v>
      </c>
      <c r="N1075" t="s">
        <v>398</v>
      </c>
      <c r="O1075" t="s">
        <v>143</v>
      </c>
      <c r="P1075" t="s">
        <v>383</v>
      </c>
      <c r="Q1075" t="s">
        <v>1120</v>
      </c>
      <c r="R1075" t="s">
        <v>1121</v>
      </c>
      <c r="S1075" t="s">
        <v>46</v>
      </c>
      <c r="T1075" t="s">
        <v>46</v>
      </c>
      <c r="U1075" s="4">
        <v>171.04</v>
      </c>
      <c r="V1075" t="str">
        <f t="shared" si="16"/>
        <v>C048</v>
      </c>
      <c r="W1075" t="str">
        <f>VLOOKUP(K1075,[1]Info!A$1:B$21,2,0)</f>
        <v>Carregadeira</v>
      </c>
      <c r="X1075" t="str">
        <f>IF(M1075="109595132","Material de Limpeza-Não Avaliar",IF(AND(K1075="F20",M1075&lt;&gt;109595132),IF(RIGHT(F1075,2)="70","Infraestrutura de Planta","Prédios e Instalações"),IF(K1075="FPC",VLOOKUP(F1075,[1]Info!$E$2:$F$11,2,0),IF(K1075="FGP",VLOOKUP(F1075,[1]Info!$E$9:$F$10,2,0),IF(K1075="F10",VLOOKUP(F1075,[1]Info!$E$2:$F$3,2,0),VLOOKUP(K1075,[1]Info!$A$1:$B$21,2,0))))))</f>
        <v>Carregadeira Plantas</v>
      </c>
    </row>
    <row r="1076" spans="1:24" x14ac:dyDescent="0.35">
      <c r="A1076" t="s">
        <v>41</v>
      </c>
      <c r="B1076" t="s">
        <v>73</v>
      </c>
      <c r="C1076" t="s">
        <v>74</v>
      </c>
      <c r="D1076" t="s">
        <v>94</v>
      </c>
      <c r="E1076" t="s">
        <v>52</v>
      </c>
      <c r="F1076">
        <v>7098131</v>
      </c>
      <c r="G1076" t="s">
        <v>75</v>
      </c>
      <c r="H1076" t="s">
        <v>43</v>
      </c>
      <c r="I1076" t="s">
        <v>44</v>
      </c>
      <c r="J1076" t="s">
        <v>50</v>
      </c>
      <c r="K1076" t="s">
        <v>3</v>
      </c>
      <c r="L1076" t="s">
        <v>62</v>
      </c>
      <c r="M1076" t="s">
        <v>397</v>
      </c>
      <c r="N1076" t="s">
        <v>398</v>
      </c>
      <c r="O1076" t="s">
        <v>143</v>
      </c>
      <c r="P1076" t="s">
        <v>383</v>
      </c>
      <c r="Q1076" t="s">
        <v>1122</v>
      </c>
      <c r="R1076" t="s">
        <v>1123</v>
      </c>
      <c r="S1076" t="s">
        <v>46</v>
      </c>
      <c r="T1076" t="s">
        <v>46</v>
      </c>
      <c r="U1076" s="4">
        <v>125.62</v>
      </c>
      <c r="V1076" t="str">
        <f t="shared" si="16"/>
        <v>C048</v>
      </c>
      <c r="W1076" t="str">
        <f>VLOOKUP(K1076,[1]Info!A$1:B$21,2,0)</f>
        <v>Carregadeira</v>
      </c>
      <c r="X1076" t="str">
        <f>IF(M1076="109595132","Material de Limpeza-Não Avaliar",IF(AND(K1076="F20",M1076&lt;&gt;109595132),IF(RIGHT(F1076,2)="70","Infraestrutura de Planta","Prédios e Instalações"),IF(K1076="FPC",VLOOKUP(F1076,[1]Info!$E$2:$F$11,2,0),IF(K1076="FGP",VLOOKUP(F1076,[1]Info!$E$9:$F$10,2,0),IF(K1076="F10",VLOOKUP(F1076,[1]Info!$E$2:$F$3,2,0),VLOOKUP(K1076,[1]Info!$A$1:$B$21,2,0))))))</f>
        <v>Carregadeira Plantas</v>
      </c>
    </row>
    <row r="1077" spans="1:24" x14ac:dyDescent="0.35">
      <c r="A1077" t="s">
        <v>41</v>
      </c>
      <c r="B1077" t="s">
        <v>73</v>
      </c>
      <c r="C1077" t="s">
        <v>74</v>
      </c>
      <c r="D1077" t="s">
        <v>94</v>
      </c>
      <c r="E1077" t="s">
        <v>52</v>
      </c>
      <c r="F1077">
        <v>7098131</v>
      </c>
      <c r="G1077" t="s">
        <v>75</v>
      </c>
      <c r="H1077" t="s">
        <v>43</v>
      </c>
      <c r="I1077" t="s">
        <v>44</v>
      </c>
      <c r="J1077" t="s">
        <v>50</v>
      </c>
      <c r="K1077" t="s">
        <v>3</v>
      </c>
      <c r="L1077" t="s">
        <v>62</v>
      </c>
      <c r="M1077" t="s">
        <v>397</v>
      </c>
      <c r="N1077" t="s">
        <v>398</v>
      </c>
      <c r="O1077" t="s">
        <v>143</v>
      </c>
      <c r="P1077" t="s">
        <v>383</v>
      </c>
      <c r="Q1077" t="s">
        <v>1124</v>
      </c>
      <c r="R1077" t="s">
        <v>1125</v>
      </c>
      <c r="S1077" t="s">
        <v>46</v>
      </c>
      <c r="T1077" t="s">
        <v>46</v>
      </c>
      <c r="U1077" s="4">
        <v>629.54999999999995</v>
      </c>
      <c r="V1077" t="str">
        <f t="shared" si="16"/>
        <v>C048</v>
      </c>
      <c r="W1077" t="str">
        <f>VLOOKUP(K1077,[1]Info!A$1:B$21,2,0)</f>
        <v>Carregadeira</v>
      </c>
      <c r="X1077" t="str">
        <f>IF(M1077="109595132","Material de Limpeza-Não Avaliar",IF(AND(K1077="F20",M1077&lt;&gt;109595132),IF(RIGHT(F1077,2)="70","Infraestrutura de Planta","Prédios e Instalações"),IF(K1077="FPC",VLOOKUP(F1077,[1]Info!$E$2:$F$11,2,0),IF(K1077="FGP",VLOOKUP(F1077,[1]Info!$E$9:$F$10,2,0),IF(K1077="F10",VLOOKUP(F1077,[1]Info!$E$2:$F$3,2,0),VLOOKUP(K1077,[1]Info!$A$1:$B$21,2,0))))))</f>
        <v>Carregadeira Plantas</v>
      </c>
    </row>
    <row r="1078" spans="1:24" x14ac:dyDescent="0.35">
      <c r="A1078" t="s">
        <v>41</v>
      </c>
      <c r="B1078" t="s">
        <v>73</v>
      </c>
      <c r="C1078" t="s">
        <v>74</v>
      </c>
      <c r="D1078" t="s">
        <v>94</v>
      </c>
      <c r="E1078" t="s">
        <v>52</v>
      </c>
      <c r="F1078">
        <v>7098131</v>
      </c>
      <c r="G1078" t="s">
        <v>75</v>
      </c>
      <c r="H1078" t="s">
        <v>43</v>
      </c>
      <c r="I1078" t="s">
        <v>44</v>
      </c>
      <c r="J1078" t="s">
        <v>50</v>
      </c>
      <c r="K1078" t="s">
        <v>3</v>
      </c>
      <c r="L1078" t="s">
        <v>62</v>
      </c>
      <c r="M1078" t="s">
        <v>397</v>
      </c>
      <c r="N1078" t="s">
        <v>398</v>
      </c>
      <c r="O1078" t="s">
        <v>143</v>
      </c>
      <c r="P1078" t="s">
        <v>383</v>
      </c>
      <c r="Q1078" t="s">
        <v>1128</v>
      </c>
      <c r="R1078" t="s">
        <v>1129</v>
      </c>
      <c r="S1078" t="s">
        <v>46</v>
      </c>
      <c r="T1078" t="s">
        <v>46</v>
      </c>
      <c r="U1078" s="4">
        <v>121.78</v>
      </c>
      <c r="V1078" t="str">
        <f t="shared" si="16"/>
        <v>C048</v>
      </c>
      <c r="W1078" t="str">
        <f>VLOOKUP(K1078,[1]Info!A$1:B$21,2,0)</f>
        <v>Carregadeira</v>
      </c>
      <c r="X1078" t="str">
        <f>IF(M1078="109595132","Material de Limpeza-Não Avaliar",IF(AND(K1078="F20",M1078&lt;&gt;109595132),IF(RIGHT(F1078,2)="70","Infraestrutura de Planta","Prédios e Instalações"),IF(K1078="FPC",VLOOKUP(F1078,[1]Info!$E$2:$F$11,2,0),IF(K1078="FGP",VLOOKUP(F1078,[1]Info!$E$9:$F$10,2,0),IF(K1078="F10",VLOOKUP(F1078,[1]Info!$E$2:$F$3,2,0),VLOOKUP(K1078,[1]Info!$A$1:$B$21,2,0))))))</f>
        <v>Carregadeira Plantas</v>
      </c>
    </row>
    <row r="1079" spans="1:24" x14ac:dyDescent="0.35">
      <c r="A1079" t="s">
        <v>41</v>
      </c>
      <c r="B1079" t="s">
        <v>73</v>
      </c>
      <c r="C1079" t="s">
        <v>74</v>
      </c>
      <c r="D1079" t="s">
        <v>94</v>
      </c>
      <c r="E1079" t="s">
        <v>52</v>
      </c>
      <c r="F1079">
        <v>7098131</v>
      </c>
      <c r="G1079" t="s">
        <v>75</v>
      </c>
      <c r="H1079" t="s">
        <v>43</v>
      </c>
      <c r="I1079" t="s">
        <v>44</v>
      </c>
      <c r="J1079" t="s">
        <v>50</v>
      </c>
      <c r="K1079" t="s">
        <v>3</v>
      </c>
      <c r="L1079" t="s">
        <v>62</v>
      </c>
      <c r="M1079" t="s">
        <v>397</v>
      </c>
      <c r="N1079" t="s">
        <v>398</v>
      </c>
      <c r="O1079" t="s">
        <v>143</v>
      </c>
      <c r="P1079" t="s">
        <v>383</v>
      </c>
      <c r="Q1079" t="s">
        <v>1130</v>
      </c>
      <c r="R1079" t="s">
        <v>1131</v>
      </c>
      <c r="S1079" t="s">
        <v>46</v>
      </c>
      <c r="T1079" t="s">
        <v>46</v>
      </c>
      <c r="U1079" s="4">
        <v>81.52</v>
      </c>
      <c r="V1079" t="str">
        <f t="shared" si="16"/>
        <v>C048</v>
      </c>
      <c r="W1079" t="str">
        <f>VLOOKUP(K1079,[1]Info!A$1:B$21,2,0)</f>
        <v>Carregadeira</v>
      </c>
      <c r="X1079" t="str">
        <f>IF(M1079="109595132","Material de Limpeza-Não Avaliar",IF(AND(K1079="F20",M1079&lt;&gt;109595132),IF(RIGHT(F1079,2)="70","Infraestrutura de Planta","Prédios e Instalações"),IF(K1079="FPC",VLOOKUP(F1079,[1]Info!$E$2:$F$11,2,0),IF(K1079="FGP",VLOOKUP(F1079,[1]Info!$E$9:$F$10,2,0),IF(K1079="F10",VLOOKUP(F1079,[1]Info!$E$2:$F$3,2,0),VLOOKUP(K1079,[1]Info!$A$1:$B$21,2,0))))))</f>
        <v>Carregadeira Plantas</v>
      </c>
    </row>
    <row r="1080" spans="1:24" x14ac:dyDescent="0.35">
      <c r="A1080" t="s">
        <v>41</v>
      </c>
      <c r="B1080" t="s">
        <v>73</v>
      </c>
      <c r="C1080" t="s">
        <v>74</v>
      </c>
      <c r="D1080" t="s">
        <v>94</v>
      </c>
      <c r="E1080" t="s">
        <v>52</v>
      </c>
      <c r="F1080">
        <v>7098131</v>
      </c>
      <c r="G1080" t="s">
        <v>75</v>
      </c>
      <c r="H1080" t="s">
        <v>43</v>
      </c>
      <c r="I1080" t="s">
        <v>44</v>
      </c>
      <c r="J1080" t="s">
        <v>50</v>
      </c>
      <c r="K1080" t="s">
        <v>3</v>
      </c>
      <c r="L1080" t="s">
        <v>62</v>
      </c>
      <c r="M1080" t="s">
        <v>397</v>
      </c>
      <c r="N1080" t="s">
        <v>398</v>
      </c>
      <c r="O1080" t="s">
        <v>143</v>
      </c>
      <c r="P1080" t="s">
        <v>383</v>
      </c>
      <c r="Q1080" t="s">
        <v>1132</v>
      </c>
      <c r="R1080" t="s">
        <v>1133</v>
      </c>
      <c r="S1080" t="s">
        <v>46</v>
      </c>
      <c r="T1080" t="s">
        <v>46</v>
      </c>
      <c r="U1080" s="4">
        <v>140.85</v>
      </c>
      <c r="V1080" t="str">
        <f t="shared" si="16"/>
        <v>C048</v>
      </c>
      <c r="W1080" t="str">
        <f>VLOOKUP(K1080,[1]Info!A$1:B$21,2,0)</f>
        <v>Carregadeira</v>
      </c>
      <c r="X1080" t="str">
        <f>IF(M1080="109595132","Material de Limpeza-Não Avaliar",IF(AND(K1080="F20",M1080&lt;&gt;109595132),IF(RIGHT(F1080,2)="70","Infraestrutura de Planta","Prédios e Instalações"),IF(K1080="FPC",VLOOKUP(F1080,[1]Info!$E$2:$F$11,2,0),IF(K1080="FGP",VLOOKUP(F1080,[1]Info!$E$9:$F$10,2,0),IF(K1080="F10",VLOOKUP(F1080,[1]Info!$E$2:$F$3,2,0),VLOOKUP(K1080,[1]Info!$A$1:$B$21,2,0))))))</f>
        <v>Carregadeira Plantas</v>
      </c>
    </row>
    <row r="1081" spans="1:24" x14ac:dyDescent="0.35">
      <c r="A1081" t="s">
        <v>41</v>
      </c>
      <c r="B1081" t="s">
        <v>73</v>
      </c>
      <c r="C1081" t="s">
        <v>74</v>
      </c>
      <c r="D1081" t="s">
        <v>94</v>
      </c>
      <c r="E1081" t="s">
        <v>52</v>
      </c>
      <c r="F1081">
        <v>7098131</v>
      </c>
      <c r="G1081" t="s">
        <v>75</v>
      </c>
      <c r="H1081" t="s">
        <v>43</v>
      </c>
      <c r="I1081" t="s">
        <v>44</v>
      </c>
      <c r="J1081" t="s">
        <v>50</v>
      </c>
      <c r="K1081" t="s">
        <v>3</v>
      </c>
      <c r="L1081" t="s">
        <v>62</v>
      </c>
      <c r="M1081" t="s">
        <v>397</v>
      </c>
      <c r="N1081" t="s">
        <v>398</v>
      </c>
      <c r="O1081" t="s">
        <v>143</v>
      </c>
      <c r="P1081" t="s">
        <v>383</v>
      </c>
      <c r="Q1081" t="s">
        <v>1134</v>
      </c>
      <c r="R1081" t="s">
        <v>1135</v>
      </c>
      <c r="S1081" t="s">
        <v>46</v>
      </c>
      <c r="T1081" t="s">
        <v>46</v>
      </c>
      <c r="U1081" s="4">
        <v>545.45000000000005</v>
      </c>
      <c r="V1081" t="str">
        <f t="shared" si="16"/>
        <v>C048</v>
      </c>
      <c r="W1081" t="str">
        <f>VLOOKUP(K1081,[1]Info!A$1:B$21,2,0)</f>
        <v>Carregadeira</v>
      </c>
      <c r="X1081" t="str">
        <f>IF(M1081="109595132","Material de Limpeza-Não Avaliar",IF(AND(K1081="F20",M1081&lt;&gt;109595132),IF(RIGHT(F1081,2)="70","Infraestrutura de Planta","Prédios e Instalações"),IF(K1081="FPC",VLOOKUP(F1081,[1]Info!$E$2:$F$11,2,0),IF(K1081="FGP",VLOOKUP(F1081,[1]Info!$E$9:$F$10,2,0),IF(K1081="F10",VLOOKUP(F1081,[1]Info!$E$2:$F$3,2,0),VLOOKUP(K1081,[1]Info!$A$1:$B$21,2,0))))))</f>
        <v>Carregadeira Plantas</v>
      </c>
    </row>
    <row r="1082" spans="1:24" x14ac:dyDescent="0.35">
      <c r="A1082" t="s">
        <v>41</v>
      </c>
      <c r="B1082" t="s">
        <v>73</v>
      </c>
      <c r="C1082" t="s">
        <v>74</v>
      </c>
      <c r="D1082" t="s">
        <v>94</v>
      </c>
      <c r="E1082" t="s">
        <v>52</v>
      </c>
      <c r="F1082">
        <v>7098131</v>
      </c>
      <c r="G1082" t="s">
        <v>75</v>
      </c>
      <c r="H1082" t="s">
        <v>43</v>
      </c>
      <c r="I1082" t="s">
        <v>44</v>
      </c>
      <c r="J1082" t="s">
        <v>50</v>
      </c>
      <c r="K1082" t="s">
        <v>3</v>
      </c>
      <c r="L1082" t="s">
        <v>62</v>
      </c>
      <c r="M1082" t="s">
        <v>397</v>
      </c>
      <c r="N1082" t="s">
        <v>398</v>
      </c>
      <c r="O1082" t="s">
        <v>143</v>
      </c>
      <c r="P1082" t="s">
        <v>383</v>
      </c>
      <c r="Q1082" t="s">
        <v>1167</v>
      </c>
      <c r="R1082" t="s">
        <v>1168</v>
      </c>
      <c r="S1082" t="s">
        <v>46</v>
      </c>
      <c r="T1082" t="s">
        <v>46</v>
      </c>
      <c r="U1082" s="4">
        <v>150.12</v>
      </c>
      <c r="V1082" t="str">
        <f t="shared" si="16"/>
        <v>C048</v>
      </c>
      <c r="W1082" t="str">
        <f>VLOOKUP(K1082,[1]Info!A$1:B$21,2,0)</f>
        <v>Carregadeira</v>
      </c>
      <c r="X1082" t="str">
        <f>IF(M1082="109595132","Material de Limpeza-Não Avaliar",IF(AND(K1082="F20",M1082&lt;&gt;109595132),IF(RIGHT(F1082,2)="70","Infraestrutura de Planta","Prédios e Instalações"),IF(K1082="FPC",VLOOKUP(F1082,[1]Info!$E$2:$F$11,2,0),IF(K1082="FGP",VLOOKUP(F1082,[1]Info!$E$9:$F$10,2,0),IF(K1082="F10",VLOOKUP(F1082,[1]Info!$E$2:$F$3,2,0),VLOOKUP(K1082,[1]Info!$A$1:$B$21,2,0))))))</f>
        <v>Carregadeira Plantas</v>
      </c>
    </row>
    <row r="1083" spans="1:24" x14ac:dyDescent="0.35">
      <c r="A1083" t="s">
        <v>41</v>
      </c>
      <c r="B1083" t="s">
        <v>73</v>
      </c>
      <c r="C1083" t="s">
        <v>74</v>
      </c>
      <c r="D1083" t="s">
        <v>94</v>
      </c>
      <c r="E1083" t="s">
        <v>52</v>
      </c>
      <c r="F1083">
        <v>7098131</v>
      </c>
      <c r="G1083" t="s">
        <v>75</v>
      </c>
      <c r="H1083" t="s">
        <v>43</v>
      </c>
      <c r="I1083" t="s">
        <v>44</v>
      </c>
      <c r="J1083" t="s">
        <v>50</v>
      </c>
      <c r="K1083" t="s">
        <v>3</v>
      </c>
      <c r="L1083" t="s">
        <v>62</v>
      </c>
      <c r="M1083" t="s">
        <v>397</v>
      </c>
      <c r="N1083" t="s">
        <v>398</v>
      </c>
      <c r="O1083" t="s">
        <v>143</v>
      </c>
      <c r="P1083" t="s">
        <v>383</v>
      </c>
      <c r="Q1083" t="s">
        <v>160</v>
      </c>
      <c r="R1083" t="s">
        <v>161</v>
      </c>
      <c r="S1083" t="s">
        <v>46</v>
      </c>
      <c r="T1083" t="s">
        <v>46</v>
      </c>
      <c r="U1083" s="4">
        <v>385.32</v>
      </c>
      <c r="V1083" t="str">
        <f t="shared" si="16"/>
        <v>C048</v>
      </c>
      <c r="W1083" t="str">
        <f>VLOOKUP(K1083,[1]Info!A$1:B$21,2,0)</f>
        <v>Carregadeira</v>
      </c>
      <c r="X1083" t="str">
        <f>IF(M1083="109595132","Material de Limpeza-Não Avaliar",IF(AND(K1083="F20",M1083&lt;&gt;109595132),IF(RIGHT(F1083,2)="70","Infraestrutura de Planta","Prédios e Instalações"),IF(K1083="FPC",VLOOKUP(F1083,[1]Info!$E$2:$F$11,2,0),IF(K1083="FGP",VLOOKUP(F1083,[1]Info!$E$9:$F$10,2,0),IF(K1083="F10",VLOOKUP(F1083,[1]Info!$E$2:$F$3,2,0),VLOOKUP(K1083,[1]Info!$A$1:$B$21,2,0))))))</f>
        <v>Carregadeira Plantas</v>
      </c>
    </row>
    <row r="1084" spans="1:24" x14ac:dyDescent="0.35">
      <c r="A1084" t="s">
        <v>41</v>
      </c>
      <c r="B1084" t="s">
        <v>73</v>
      </c>
      <c r="C1084" t="s">
        <v>74</v>
      </c>
      <c r="D1084" t="s">
        <v>94</v>
      </c>
      <c r="E1084" t="s">
        <v>52</v>
      </c>
      <c r="F1084">
        <v>7098131</v>
      </c>
      <c r="G1084" t="s">
        <v>75</v>
      </c>
      <c r="H1084" t="s">
        <v>43</v>
      </c>
      <c r="I1084" t="s">
        <v>44</v>
      </c>
      <c r="J1084" t="s">
        <v>50</v>
      </c>
      <c r="K1084" t="s">
        <v>3</v>
      </c>
      <c r="L1084" t="s">
        <v>51</v>
      </c>
      <c r="M1084" t="s">
        <v>1816</v>
      </c>
      <c r="N1084" t="s">
        <v>1817</v>
      </c>
      <c r="O1084" t="s">
        <v>142</v>
      </c>
      <c r="P1084" t="s">
        <v>1292</v>
      </c>
      <c r="Q1084" t="s">
        <v>46</v>
      </c>
      <c r="R1084" t="s">
        <v>47</v>
      </c>
      <c r="S1084" t="s">
        <v>46</v>
      </c>
      <c r="T1084" t="s">
        <v>46</v>
      </c>
      <c r="U1084" s="4">
        <v>315.38</v>
      </c>
      <c r="V1084" t="str">
        <f t="shared" si="16"/>
        <v>C027</v>
      </c>
      <c r="W1084" t="str">
        <f>VLOOKUP(K1084,[1]Info!A$1:B$21,2,0)</f>
        <v>Carregadeira</v>
      </c>
      <c r="X1084" t="str">
        <f>IF(M1084="109595132","Material de Limpeza-Não Avaliar",IF(AND(K1084="F20",M1084&lt;&gt;109595132),IF(RIGHT(F1084,2)="70","Infraestrutura de Planta","Prédios e Instalações"),IF(K1084="FPC",VLOOKUP(F1084,[1]Info!$E$2:$F$11,2,0),IF(K1084="FGP",VLOOKUP(F1084,[1]Info!$E$9:$F$10,2,0),IF(K1084="F10",VLOOKUP(F1084,[1]Info!$E$2:$F$3,2,0),VLOOKUP(K1084,[1]Info!$A$1:$B$21,2,0))))))</f>
        <v>Carregadeira Plantas</v>
      </c>
    </row>
    <row r="1085" spans="1:24" x14ac:dyDescent="0.35">
      <c r="A1085" t="s">
        <v>41</v>
      </c>
      <c r="B1085" t="s">
        <v>73</v>
      </c>
      <c r="C1085" t="s">
        <v>74</v>
      </c>
      <c r="D1085" t="s">
        <v>94</v>
      </c>
      <c r="E1085" t="s">
        <v>52</v>
      </c>
      <c r="F1085">
        <v>7098131</v>
      </c>
      <c r="G1085" t="s">
        <v>75</v>
      </c>
      <c r="H1085" t="s">
        <v>43</v>
      </c>
      <c r="I1085" t="s">
        <v>44</v>
      </c>
      <c r="J1085" t="s">
        <v>50</v>
      </c>
      <c r="K1085" t="s">
        <v>3</v>
      </c>
      <c r="L1085" t="s">
        <v>51</v>
      </c>
      <c r="M1085" t="s">
        <v>1818</v>
      </c>
      <c r="N1085" t="s">
        <v>1819</v>
      </c>
      <c r="O1085" t="s">
        <v>98</v>
      </c>
      <c r="P1085" t="s">
        <v>1292</v>
      </c>
      <c r="Q1085" t="s">
        <v>46</v>
      </c>
      <c r="R1085" t="s">
        <v>47</v>
      </c>
      <c r="S1085" t="s">
        <v>46</v>
      </c>
      <c r="T1085" t="s">
        <v>46</v>
      </c>
      <c r="U1085" s="4">
        <v>315.39</v>
      </c>
      <c r="V1085" t="str">
        <f t="shared" si="16"/>
        <v>C030</v>
      </c>
      <c r="W1085" t="str">
        <f>VLOOKUP(K1085,[1]Info!A$1:B$21,2,0)</f>
        <v>Carregadeira</v>
      </c>
      <c r="X1085" t="str">
        <f>IF(M1085="109595132","Material de Limpeza-Não Avaliar",IF(AND(K1085="F20",M1085&lt;&gt;109595132),IF(RIGHT(F1085,2)="70","Infraestrutura de Planta","Prédios e Instalações"),IF(K1085="FPC",VLOOKUP(F1085,[1]Info!$E$2:$F$11,2,0),IF(K1085="FGP",VLOOKUP(F1085,[1]Info!$E$9:$F$10,2,0),IF(K1085="F10",VLOOKUP(F1085,[1]Info!$E$2:$F$3,2,0),VLOOKUP(K1085,[1]Info!$A$1:$B$21,2,0))))))</f>
        <v>Carregadeira Plantas</v>
      </c>
    </row>
    <row r="1086" spans="1:24" x14ac:dyDescent="0.35">
      <c r="A1086" t="s">
        <v>41</v>
      </c>
      <c r="B1086" t="s">
        <v>73</v>
      </c>
      <c r="C1086" t="s">
        <v>74</v>
      </c>
      <c r="D1086" t="s">
        <v>94</v>
      </c>
      <c r="E1086" t="s">
        <v>52</v>
      </c>
      <c r="F1086">
        <v>7098131</v>
      </c>
      <c r="G1086" t="s">
        <v>75</v>
      </c>
      <c r="H1086" t="s">
        <v>43</v>
      </c>
      <c r="I1086" t="s">
        <v>44</v>
      </c>
      <c r="J1086" t="s">
        <v>50</v>
      </c>
      <c r="K1086" t="s">
        <v>3</v>
      </c>
      <c r="L1086" t="s">
        <v>51</v>
      </c>
      <c r="M1086" t="s">
        <v>1820</v>
      </c>
      <c r="N1086" t="s">
        <v>1821</v>
      </c>
      <c r="O1086" t="s">
        <v>97</v>
      </c>
      <c r="P1086" t="s">
        <v>1292</v>
      </c>
      <c r="Q1086" t="s">
        <v>46</v>
      </c>
      <c r="R1086" t="s">
        <v>47</v>
      </c>
      <c r="S1086" t="s">
        <v>46</v>
      </c>
      <c r="T1086" t="s">
        <v>46</v>
      </c>
      <c r="U1086" s="4">
        <v>946.66</v>
      </c>
      <c r="V1086" t="str">
        <f t="shared" si="16"/>
        <v>C047</v>
      </c>
      <c r="W1086" t="str">
        <f>VLOOKUP(K1086,[1]Info!A$1:B$21,2,0)</f>
        <v>Carregadeira</v>
      </c>
      <c r="X1086" t="str">
        <f>IF(M1086="109595132","Material de Limpeza-Não Avaliar",IF(AND(K1086="F20",M1086&lt;&gt;109595132),IF(RIGHT(F1086,2)="70","Infraestrutura de Planta","Prédios e Instalações"),IF(K1086="FPC",VLOOKUP(F1086,[1]Info!$E$2:$F$11,2,0),IF(K1086="FGP",VLOOKUP(F1086,[1]Info!$E$9:$F$10,2,0),IF(K1086="F10",VLOOKUP(F1086,[1]Info!$E$2:$F$3,2,0),VLOOKUP(K1086,[1]Info!$A$1:$B$21,2,0))))))</f>
        <v>Carregadeira Plantas</v>
      </c>
    </row>
    <row r="1087" spans="1:24" x14ac:dyDescent="0.35">
      <c r="A1087" t="s">
        <v>41</v>
      </c>
      <c r="B1087" t="s">
        <v>73</v>
      </c>
      <c r="C1087" t="s">
        <v>74</v>
      </c>
      <c r="D1087" t="s">
        <v>94</v>
      </c>
      <c r="E1087" t="s">
        <v>52</v>
      </c>
      <c r="F1087">
        <v>7098131</v>
      </c>
      <c r="G1087" t="s">
        <v>75</v>
      </c>
      <c r="H1087" t="s">
        <v>43</v>
      </c>
      <c r="I1087" t="s">
        <v>44</v>
      </c>
      <c r="J1087" t="s">
        <v>50</v>
      </c>
      <c r="K1087" t="s">
        <v>3</v>
      </c>
      <c r="L1087" t="s">
        <v>51</v>
      </c>
      <c r="M1087" t="s">
        <v>1714</v>
      </c>
      <c r="N1087" t="s">
        <v>1715</v>
      </c>
      <c r="O1087" t="s">
        <v>1562</v>
      </c>
      <c r="P1087" t="s">
        <v>1292</v>
      </c>
      <c r="Q1087" t="s">
        <v>46</v>
      </c>
      <c r="R1087" t="s">
        <v>47</v>
      </c>
      <c r="S1087" t="s">
        <v>46</v>
      </c>
      <c r="T1087" t="s">
        <v>46</v>
      </c>
      <c r="U1087" s="4">
        <v>3893.17</v>
      </c>
      <c r="V1087" t="str">
        <f t="shared" si="16"/>
        <v>C039</v>
      </c>
      <c r="W1087" t="str">
        <f>VLOOKUP(K1087,[1]Info!A$1:B$21,2,0)</f>
        <v>Carregadeira</v>
      </c>
      <c r="X1087" t="str">
        <f>IF(M1087="109595132","Material de Limpeza-Não Avaliar",IF(AND(K1087="F20",M1087&lt;&gt;109595132),IF(RIGHT(F1087,2)="70","Infraestrutura de Planta","Prédios e Instalações"),IF(K1087="FPC",VLOOKUP(F1087,[1]Info!$E$2:$F$11,2,0),IF(K1087="FGP",VLOOKUP(F1087,[1]Info!$E$9:$F$10,2,0),IF(K1087="F10",VLOOKUP(F1087,[1]Info!$E$2:$F$3,2,0),VLOOKUP(K1087,[1]Info!$A$1:$B$21,2,0))))))</f>
        <v>Carregadeira Plantas</v>
      </c>
    </row>
    <row r="1088" spans="1:24" x14ac:dyDescent="0.35">
      <c r="A1088" t="s">
        <v>41</v>
      </c>
      <c r="B1088" t="s">
        <v>73</v>
      </c>
      <c r="C1088" t="s">
        <v>74</v>
      </c>
      <c r="D1088" t="s">
        <v>94</v>
      </c>
      <c r="E1088" t="s">
        <v>52</v>
      </c>
      <c r="F1088">
        <v>7098131</v>
      </c>
      <c r="G1088" t="s">
        <v>75</v>
      </c>
      <c r="H1088" t="s">
        <v>43</v>
      </c>
      <c r="I1088" t="s">
        <v>44</v>
      </c>
      <c r="J1088" t="s">
        <v>50</v>
      </c>
      <c r="K1088" t="s">
        <v>3</v>
      </c>
      <c r="L1088" t="s">
        <v>51</v>
      </c>
      <c r="M1088" t="s">
        <v>1822</v>
      </c>
      <c r="N1088" t="s">
        <v>1823</v>
      </c>
      <c r="O1088" t="s">
        <v>1070</v>
      </c>
      <c r="P1088" t="s">
        <v>1292</v>
      </c>
      <c r="Q1088" t="s">
        <v>46</v>
      </c>
      <c r="R1088" t="s">
        <v>47</v>
      </c>
      <c r="S1088" t="s">
        <v>46</v>
      </c>
      <c r="T1088" t="s">
        <v>46</v>
      </c>
      <c r="U1088" s="4">
        <v>6887.92</v>
      </c>
      <c r="V1088" t="str">
        <f t="shared" si="16"/>
        <v>C041</v>
      </c>
      <c r="W1088" t="str">
        <f>VLOOKUP(K1088,[1]Info!A$1:B$21,2,0)</f>
        <v>Carregadeira</v>
      </c>
      <c r="X1088" t="str">
        <f>IF(M1088="109595132","Material de Limpeza-Não Avaliar",IF(AND(K1088="F20",M1088&lt;&gt;109595132),IF(RIGHT(F1088,2)="70","Infraestrutura de Planta","Prédios e Instalações"),IF(K1088="FPC",VLOOKUP(F1088,[1]Info!$E$2:$F$11,2,0),IF(K1088="FGP",VLOOKUP(F1088,[1]Info!$E$9:$F$10,2,0),IF(K1088="F10",VLOOKUP(F1088,[1]Info!$E$2:$F$3,2,0),VLOOKUP(K1088,[1]Info!$A$1:$B$21,2,0))))))</f>
        <v>Carregadeira Plantas</v>
      </c>
    </row>
    <row r="1089" spans="1:24" x14ac:dyDescent="0.35">
      <c r="A1089" t="s">
        <v>41</v>
      </c>
      <c r="B1089" t="s">
        <v>73</v>
      </c>
      <c r="C1089" t="s">
        <v>74</v>
      </c>
      <c r="D1089" t="s">
        <v>94</v>
      </c>
      <c r="E1089" t="s">
        <v>52</v>
      </c>
      <c r="F1089">
        <v>7098131</v>
      </c>
      <c r="G1089" t="s">
        <v>75</v>
      </c>
      <c r="H1089" t="s">
        <v>43</v>
      </c>
      <c r="I1089" t="s">
        <v>44</v>
      </c>
      <c r="J1089" t="s">
        <v>50</v>
      </c>
      <c r="K1089" t="s">
        <v>3</v>
      </c>
      <c r="L1089" t="s">
        <v>51</v>
      </c>
      <c r="M1089" t="s">
        <v>1824</v>
      </c>
      <c r="N1089" t="s">
        <v>1767</v>
      </c>
      <c r="O1089" t="s">
        <v>82</v>
      </c>
      <c r="P1089" t="s">
        <v>1292</v>
      </c>
      <c r="Q1089" t="s">
        <v>46</v>
      </c>
      <c r="R1089" t="s">
        <v>47</v>
      </c>
      <c r="S1089" t="s">
        <v>46</v>
      </c>
      <c r="T1089" t="s">
        <v>46</v>
      </c>
      <c r="U1089" s="4">
        <v>852.17</v>
      </c>
      <c r="V1089" t="str">
        <f t="shared" si="16"/>
        <v>C043</v>
      </c>
      <c r="W1089" t="str">
        <f>VLOOKUP(K1089,[1]Info!A$1:B$21,2,0)</f>
        <v>Carregadeira</v>
      </c>
      <c r="X1089" t="str">
        <f>IF(M1089="109595132","Material de Limpeza-Não Avaliar",IF(AND(K1089="F20",M1089&lt;&gt;109595132),IF(RIGHT(F1089,2)="70","Infraestrutura de Planta","Prédios e Instalações"),IF(K1089="FPC",VLOOKUP(F1089,[1]Info!$E$2:$F$11,2,0),IF(K1089="FGP",VLOOKUP(F1089,[1]Info!$E$9:$F$10,2,0),IF(K1089="F10",VLOOKUP(F1089,[1]Info!$E$2:$F$3,2,0),VLOOKUP(K1089,[1]Info!$A$1:$B$21,2,0))))))</f>
        <v>Carregadeira Plantas</v>
      </c>
    </row>
    <row r="1090" spans="1:24" x14ac:dyDescent="0.35">
      <c r="A1090" t="s">
        <v>41</v>
      </c>
      <c r="B1090" t="s">
        <v>73</v>
      </c>
      <c r="C1090" t="s">
        <v>74</v>
      </c>
      <c r="D1090" t="s">
        <v>94</v>
      </c>
      <c r="E1090" t="s">
        <v>52</v>
      </c>
      <c r="F1090">
        <v>7098131</v>
      </c>
      <c r="G1090" t="s">
        <v>75</v>
      </c>
      <c r="H1090" t="s">
        <v>43</v>
      </c>
      <c r="I1090" t="s">
        <v>44</v>
      </c>
      <c r="J1090" t="s">
        <v>50</v>
      </c>
      <c r="K1090" t="s">
        <v>3</v>
      </c>
      <c r="L1090" t="s">
        <v>51</v>
      </c>
      <c r="M1090" t="s">
        <v>1825</v>
      </c>
      <c r="N1090" t="s">
        <v>1826</v>
      </c>
      <c r="O1090" t="s">
        <v>1827</v>
      </c>
      <c r="P1090" t="s">
        <v>1292</v>
      </c>
      <c r="Q1090" t="s">
        <v>46</v>
      </c>
      <c r="R1090" t="s">
        <v>47</v>
      </c>
      <c r="S1090" t="s">
        <v>46</v>
      </c>
      <c r="T1090" t="s">
        <v>46</v>
      </c>
      <c r="U1090" s="4">
        <v>460.72</v>
      </c>
      <c r="V1090" t="str">
        <f t="shared" si="16"/>
        <v>-010</v>
      </c>
      <c r="W1090" t="str">
        <f>VLOOKUP(K1090,[1]Info!A$1:B$21,2,0)</f>
        <v>Carregadeira</v>
      </c>
      <c r="X1090" t="str">
        <f>IF(M1090="109595132","Material de Limpeza-Não Avaliar",IF(AND(K1090="F20",M1090&lt;&gt;109595132),IF(RIGHT(F1090,2)="70","Infraestrutura de Planta","Prédios e Instalações"),IF(K1090="FPC",VLOOKUP(F1090,[1]Info!$E$2:$F$11,2,0),IF(K1090="FGP",VLOOKUP(F1090,[1]Info!$E$9:$F$10,2,0),IF(K1090="F10",VLOOKUP(F1090,[1]Info!$E$2:$F$3,2,0),VLOOKUP(K1090,[1]Info!$A$1:$B$21,2,0))))))</f>
        <v>Carregadeira Plantas</v>
      </c>
    </row>
    <row r="1091" spans="1:24" x14ac:dyDescent="0.35">
      <c r="A1091" t="s">
        <v>41</v>
      </c>
      <c r="B1091" t="s">
        <v>73</v>
      </c>
      <c r="C1091" t="s">
        <v>74</v>
      </c>
      <c r="D1091" t="s">
        <v>94</v>
      </c>
      <c r="E1091" t="s">
        <v>52</v>
      </c>
      <c r="F1091">
        <v>7098131</v>
      </c>
      <c r="G1091" t="s">
        <v>75</v>
      </c>
      <c r="H1091" t="s">
        <v>43</v>
      </c>
      <c r="I1091" t="s">
        <v>44</v>
      </c>
      <c r="J1091" t="s">
        <v>50</v>
      </c>
      <c r="K1091" t="s">
        <v>3</v>
      </c>
      <c r="L1091" t="s">
        <v>51</v>
      </c>
      <c r="M1091" t="s">
        <v>1766</v>
      </c>
      <c r="N1091" t="s">
        <v>1767</v>
      </c>
      <c r="O1091" t="s">
        <v>82</v>
      </c>
      <c r="P1091" t="s">
        <v>1292</v>
      </c>
      <c r="Q1091" t="s">
        <v>46</v>
      </c>
      <c r="R1091" t="s">
        <v>47</v>
      </c>
      <c r="S1091" t="s">
        <v>46</v>
      </c>
      <c r="T1091" t="s">
        <v>46</v>
      </c>
      <c r="U1091" s="4">
        <v>982.88</v>
      </c>
      <c r="V1091" t="str">
        <f t="shared" si="16"/>
        <v>C043</v>
      </c>
      <c r="W1091" t="str">
        <f>VLOOKUP(K1091,[1]Info!A$1:B$21,2,0)</f>
        <v>Carregadeira</v>
      </c>
      <c r="X1091" t="str">
        <f>IF(M1091="109595132","Material de Limpeza-Não Avaliar",IF(AND(K1091="F20",M1091&lt;&gt;109595132),IF(RIGHT(F1091,2)="70","Infraestrutura de Planta","Prédios e Instalações"),IF(K1091="FPC",VLOOKUP(F1091,[1]Info!$E$2:$F$11,2,0),IF(K1091="FGP",VLOOKUP(F1091,[1]Info!$E$9:$F$10,2,0),IF(K1091="F10",VLOOKUP(F1091,[1]Info!$E$2:$F$3,2,0),VLOOKUP(K1091,[1]Info!$A$1:$B$21,2,0))))))</f>
        <v>Carregadeira Plantas</v>
      </c>
    </row>
    <row r="1092" spans="1:24" x14ac:dyDescent="0.35">
      <c r="A1092" t="s">
        <v>41</v>
      </c>
      <c r="B1092" t="s">
        <v>73</v>
      </c>
      <c r="C1092" t="s">
        <v>74</v>
      </c>
      <c r="D1092" t="s">
        <v>94</v>
      </c>
      <c r="E1092" t="s">
        <v>52</v>
      </c>
      <c r="F1092">
        <v>7098131</v>
      </c>
      <c r="G1092" t="s">
        <v>75</v>
      </c>
      <c r="H1092" t="s">
        <v>43</v>
      </c>
      <c r="I1092" t="s">
        <v>44</v>
      </c>
      <c r="J1092" t="s">
        <v>50</v>
      </c>
      <c r="K1092" t="s">
        <v>3</v>
      </c>
      <c r="L1092" t="s">
        <v>51</v>
      </c>
      <c r="M1092" t="s">
        <v>1828</v>
      </c>
      <c r="N1092" t="s">
        <v>1829</v>
      </c>
      <c r="O1092" t="s">
        <v>101</v>
      </c>
      <c r="P1092" t="s">
        <v>1292</v>
      </c>
      <c r="Q1092" t="s">
        <v>46</v>
      </c>
      <c r="R1092" t="s">
        <v>47</v>
      </c>
      <c r="S1092" t="s">
        <v>46</v>
      </c>
      <c r="T1092" t="s">
        <v>46</v>
      </c>
      <c r="U1092" s="4">
        <v>2398.0700000000002</v>
      </c>
      <c r="V1092" t="str">
        <f t="shared" ref="V1092:V1155" si="17">RIGHT(O1092,4)</f>
        <v>C031</v>
      </c>
      <c r="W1092" t="str">
        <f>VLOOKUP(K1092,[1]Info!A$1:B$21,2,0)</f>
        <v>Carregadeira</v>
      </c>
      <c r="X1092" t="str">
        <f>IF(M1092="109595132","Material de Limpeza-Não Avaliar",IF(AND(K1092="F20",M1092&lt;&gt;109595132),IF(RIGHT(F1092,2)="70","Infraestrutura de Planta","Prédios e Instalações"),IF(K1092="FPC",VLOOKUP(F1092,[1]Info!$E$2:$F$11,2,0),IF(K1092="FGP",VLOOKUP(F1092,[1]Info!$E$9:$F$10,2,0),IF(K1092="F10",VLOOKUP(F1092,[1]Info!$E$2:$F$3,2,0),VLOOKUP(K1092,[1]Info!$A$1:$B$21,2,0))))))</f>
        <v>Carregadeira Plantas</v>
      </c>
    </row>
    <row r="1093" spans="1:24" x14ac:dyDescent="0.35">
      <c r="A1093" t="s">
        <v>41</v>
      </c>
      <c r="B1093" t="s">
        <v>73</v>
      </c>
      <c r="C1093" t="s">
        <v>74</v>
      </c>
      <c r="D1093" t="s">
        <v>94</v>
      </c>
      <c r="E1093" t="s">
        <v>52</v>
      </c>
      <c r="F1093">
        <v>7098131</v>
      </c>
      <c r="G1093" t="s">
        <v>75</v>
      </c>
      <c r="H1093" t="s">
        <v>43</v>
      </c>
      <c r="I1093" t="s">
        <v>44</v>
      </c>
      <c r="J1093" t="s">
        <v>50</v>
      </c>
      <c r="K1093" t="s">
        <v>3</v>
      </c>
      <c r="L1093" t="s">
        <v>51</v>
      </c>
      <c r="M1093" t="s">
        <v>1830</v>
      </c>
      <c r="N1093" t="s">
        <v>1831</v>
      </c>
      <c r="O1093" t="s">
        <v>955</v>
      </c>
      <c r="P1093" t="s">
        <v>1292</v>
      </c>
      <c r="Q1093" t="s">
        <v>46</v>
      </c>
      <c r="R1093" t="s">
        <v>47</v>
      </c>
      <c r="S1093" t="s">
        <v>46</v>
      </c>
      <c r="T1093" t="s">
        <v>46</v>
      </c>
      <c r="U1093" s="4">
        <v>8148</v>
      </c>
      <c r="V1093" t="str">
        <f t="shared" si="17"/>
        <v>0090</v>
      </c>
      <c r="W1093" t="str">
        <f>VLOOKUP(K1093,[1]Info!A$1:B$21,2,0)</f>
        <v>Carregadeira</v>
      </c>
      <c r="X1093" t="str">
        <f>IF(M1093="109595132","Material de Limpeza-Não Avaliar",IF(AND(K1093="F20",M1093&lt;&gt;109595132),IF(RIGHT(F1093,2)="70","Infraestrutura de Planta","Prédios e Instalações"),IF(K1093="FPC",VLOOKUP(F1093,[1]Info!$E$2:$F$11,2,0),IF(K1093="FGP",VLOOKUP(F1093,[1]Info!$E$9:$F$10,2,0),IF(K1093="F10",VLOOKUP(F1093,[1]Info!$E$2:$F$3,2,0),VLOOKUP(K1093,[1]Info!$A$1:$B$21,2,0))))))</f>
        <v>Carregadeira Plantas</v>
      </c>
    </row>
    <row r="1094" spans="1:24" x14ac:dyDescent="0.35">
      <c r="A1094" t="s">
        <v>41</v>
      </c>
      <c r="B1094" t="s">
        <v>73</v>
      </c>
      <c r="C1094" t="s">
        <v>74</v>
      </c>
      <c r="D1094" t="s">
        <v>94</v>
      </c>
      <c r="E1094" t="s">
        <v>52</v>
      </c>
      <c r="F1094">
        <v>7098131</v>
      </c>
      <c r="G1094" t="s">
        <v>75</v>
      </c>
      <c r="H1094" t="s">
        <v>43</v>
      </c>
      <c r="I1094" t="s">
        <v>44</v>
      </c>
      <c r="J1094" t="s">
        <v>50</v>
      </c>
      <c r="K1094" t="s">
        <v>3</v>
      </c>
      <c r="L1094" t="s">
        <v>51</v>
      </c>
      <c r="M1094" t="s">
        <v>1832</v>
      </c>
      <c r="N1094" t="s">
        <v>1833</v>
      </c>
      <c r="O1094" t="s">
        <v>1834</v>
      </c>
      <c r="P1094" t="s">
        <v>1292</v>
      </c>
      <c r="Q1094" t="s">
        <v>46</v>
      </c>
      <c r="R1094" t="s">
        <v>47</v>
      </c>
      <c r="S1094" t="s">
        <v>46</v>
      </c>
      <c r="T1094" t="s">
        <v>46</v>
      </c>
      <c r="U1094" s="4">
        <v>7876.17</v>
      </c>
      <c r="V1094" t="str">
        <f t="shared" si="17"/>
        <v>0010</v>
      </c>
      <c r="W1094" t="str">
        <f>VLOOKUP(K1094,[1]Info!A$1:B$21,2,0)</f>
        <v>Carregadeira</v>
      </c>
      <c r="X1094" t="str">
        <f>IF(M1094="109595132","Material de Limpeza-Não Avaliar",IF(AND(K1094="F20",M1094&lt;&gt;109595132),IF(RIGHT(F1094,2)="70","Infraestrutura de Planta","Prédios e Instalações"),IF(K1094="FPC",VLOOKUP(F1094,[1]Info!$E$2:$F$11,2,0),IF(K1094="FGP",VLOOKUP(F1094,[1]Info!$E$9:$F$10,2,0),IF(K1094="F10",VLOOKUP(F1094,[1]Info!$E$2:$F$3,2,0),VLOOKUP(K1094,[1]Info!$A$1:$B$21,2,0))))))</f>
        <v>Carregadeira Plantas</v>
      </c>
    </row>
    <row r="1095" spans="1:24" x14ac:dyDescent="0.35">
      <c r="A1095" t="s">
        <v>41</v>
      </c>
      <c r="B1095" t="s">
        <v>73</v>
      </c>
      <c r="C1095" t="s">
        <v>74</v>
      </c>
      <c r="D1095" t="s">
        <v>94</v>
      </c>
      <c r="E1095" t="s">
        <v>52</v>
      </c>
      <c r="F1095">
        <v>7098131</v>
      </c>
      <c r="G1095" t="s">
        <v>75</v>
      </c>
      <c r="H1095" t="s">
        <v>43</v>
      </c>
      <c r="I1095" t="s">
        <v>44</v>
      </c>
      <c r="J1095" t="s">
        <v>50</v>
      </c>
      <c r="K1095" t="s">
        <v>3</v>
      </c>
      <c r="L1095" t="s">
        <v>51</v>
      </c>
      <c r="M1095" t="s">
        <v>1835</v>
      </c>
      <c r="N1095" t="s">
        <v>1836</v>
      </c>
      <c r="O1095" t="s">
        <v>97</v>
      </c>
      <c r="P1095" t="s">
        <v>1292</v>
      </c>
      <c r="Q1095" t="s">
        <v>46</v>
      </c>
      <c r="R1095" t="s">
        <v>47</v>
      </c>
      <c r="S1095" t="s">
        <v>46</v>
      </c>
      <c r="T1095" t="s">
        <v>46</v>
      </c>
      <c r="U1095" s="4">
        <v>10748.42</v>
      </c>
      <c r="V1095" t="str">
        <f t="shared" si="17"/>
        <v>C047</v>
      </c>
      <c r="W1095" t="str">
        <f>VLOOKUP(K1095,[1]Info!A$1:B$21,2,0)</f>
        <v>Carregadeira</v>
      </c>
      <c r="X1095" t="str">
        <f>IF(M1095="109595132","Material de Limpeza-Não Avaliar",IF(AND(K1095="F20",M1095&lt;&gt;109595132),IF(RIGHT(F1095,2)="70","Infraestrutura de Planta","Prédios e Instalações"),IF(K1095="FPC",VLOOKUP(F1095,[1]Info!$E$2:$F$11,2,0),IF(K1095="FGP",VLOOKUP(F1095,[1]Info!$E$9:$F$10,2,0),IF(K1095="F10",VLOOKUP(F1095,[1]Info!$E$2:$F$3,2,0),VLOOKUP(K1095,[1]Info!$A$1:$B$21,2,0))))))</f>
        <v>Carregadeira Plantas</v>
      </c>
    </row>
    <row r="1096" spans="1:24" x14ac:dyDescent="0.35">
      <c r="A1096" t="s">
        <v>41</v>
      </c>
      <c r="B1096" t="s">
        <v>73</v>
      </c>
      <c r="C1096" t="s">
        <v>74</v>
      </c>
      <c r="D1096" t="s">
        <v>94</v>
      </c>
      <c r="E1096" t="s">
        <v>52</v>
      </c>
      <c r="F1096">
        <v>7098131</v>
      </c>
      <c r="G1096" t="s">
        <v>75</v>
      </c>
      <c r="H1096" t="s">
        <v>43</v>
      </c>
      <c r="I1096" t="s">
        <v>44</v>
      </c>
      <c r="J1096" t="s">
        <v>50</v>
      </c>
      <c r="K1096" t="s">
        <v>3</v>
      </c>
      <c r="L1096" t="s">
        <v>51</v>
      </c>
      <c r="M1096" t="s">
        <v>1768</v>
      </c>
      <c r="N1096" t="s">
        <v>1769</v>
      </c>
      <c r="O1096" t="s">
        <v>257</v>
      </c>
      <c r="P1096" t="s">
        <v>1292</v>
      </c>
      <c r="Q1096" t="s">
        <v>46</v>
      </c>
      <c r="R1096" t="s">
        <v>47</v>
      </c>
      <c r="S1096" t="s">
        <v>46</v>
      </c>
      <c r="T1096" t="s">
        <v>46</v>
      </c>
      <c r="U1096" s="4">
        <v>4913.34</v>
      </c>
      <c r="V1096" t="str">
        <f t="shared" si="17"/>
        <v>C050</v>
      </c>
      <c r="W1096" t="str">
        <f>VLOOKUP(K1096,[1]Info!A$1:B$21,2,0)</f>
        <v>Carregadeira</v>
      </c>
      <c r="X1096" t="str">
        <f>IF(M1096="109595132","Material de Limpeza-Não Avaliar",IF(AND(K1096="F20",M1096&lt;&gt;109595132),IF(RIGHT(F1096,2)="70","Infraestrutura de Planta","Prédios e Instalações"),IF(K1096="FPC",VLOOKUP(F1096,[1]Info!$E$2:$F$11,2,0),IF(K1096="FGP",VLOOKUP(F1096,[1]Info!$E$9:$F$10,2,0),IF(K1096="F10",VLOOKUP(F1096,[1]Info!$E$2:$F$3,2,0),VLOOKUP(K1096,[1]Info!$A$1:$B$21,2,0))))))</f>
        <v>Carregadeira Plantas</v>
      </c>
    </row>
    <row r="1097" spans="1:24" x14ac:dyDescent="0.35">
      <c r="A1097" t="s">
        <v>41</v>
      </c>
      <c r="B1097" t="s">
        <v>73</v>
      </c>
      <c r="C1097" t="s">
        <v>74</v>
      </c>
      <c r="D1097" t="s">
        <v>94</v>
      </c>
      <c r="E1097" t="s">
        <v>52</v>
      </c>
      <c r="F1097">
        <v>7098131</v>
      </c>
      <c r="G1097" t="s">
        <v>75</v>
      </c>
      <c r="H1097" t="s">
        <v>43</v>
      </c>
      <c r="I1097" t="s">
        <v>44</v>
      </c>
      <c r="J1097" t="s">
        <v>50</v>
      </c>
      <c r="K1097" t="s">
        <v>3</v>
      </c>
      <c r="L1097" t="s">
        <v>51</v>
      </c>
      <c r="M1097" t="s">
        <v>1837</v>
      </c>
      <c r="N1097" t="s">
        <v>1838</v>
      </c>
      <c r="O1097" t="s">
        <v>1839</v>
      </c>
      <c r="P1097" t="s">
        <v>1292</v>
      </c>
      <c r="Q1097" t="s">
        <v>46</v>
      </c>
      <c r="R1097" t="s">
        <v>47</v>
      </c>
      <c r="S1097" t="s">
        <v>46</v>
      </c>
      <c r="T1097" t="s">
        <v>46</v>
      </c>
      <c r="U1097" s="4">
        <v>59.22</v>
      </c>
      <c r="V1097" t="str">
        <f t="shared" si="17"/>
        <v>IC31</v>
      </c>
      <c r="W1097" t="str">
        <f>VLOOKUP(K1097,[1]Info!A$1:B$21,2,0)</f>
        <v>Carregadeira</v>
      </c>
      <c r="X1097" t="str">
        <f>IF(M1097="109595132","Material de Limpeza-Não Avaliar",IF(AND(K1097="F20",M1097&lt;&gt;109595132),IF(RIGHT(F1097,2)="70","Infraestrutura de Planta","Prédios e Instalações"),IF(K1097="FPC",VLOOKUP(F1097,[1]Info!$E$2:$F$11,2,0),IF(K1097="FGP",VLOOKUP(F1097,[1]Info!$E$9:$F$10,2,0),IF(K1097="F10",VLOOKUP(F1097,[1]Info!$E$2:$F$3,2,0),VLOOKUP(K1097,[1]Info!$A$1:$B$21,2,0))))))</f>
        <v>Carregadeira Plantas</v>
      </c>
    </row>
    <row r="1098" spans="1:24" x14ac:dyDescent="0.35">
      <c r="A1098" t="s">
        <v>41</v>
      </c>
      <c r="B1098" t="s">
        <v>73</v>
      </c>
      <c r="C1098" t="s">
        <v>74</v>
      </c>
      <c r="D1098" t="s">
        <v>94</v>
      </c>
      <c r="E1098" t="s">
        <v>52</v>
      </c>
      <c r="F1098">
        <v>7098131</v>
      </c>
      <c r="G1098" t="s">
        <v>75</v>
      </c>
      <c r="H1098" t="s">
        <v>43</v>
      </c>
      <c r="I1098" t="s">
        <v>44</v>
      </c>
      <c r="J1098" t="s">
        <v>50</v>
      </c>
      <c r="K1098" t="s">
        <v>3</v>
      </c>
      <c r="L1098" t="s">
        <v>51</v>
      </c>
      <c r="M1098" t="s">
        <v>1840</v>
      </c>
      <c r="N1098" t="s">
        <v>1841</v>
      </c>
      <c r="O1098" t="s">
        <v>1596</v>
      </c>
      <c r="P1098" t="s">
        <v>1292</v>
      </c>
      <c r="Q1098" t="s">
        <v>46</v>
      </c>
      <c r="R1098" t="s">
        <v>47</v>
      </c>
      <c r="S1098" t="s">
        <v>46</v>
      </c>
      <c r="T1098" t="s">
        <v>46</v>
      </c>
      <c r="U1098" s="4">
        <v>116.63</v>
      </c>
      <c r="V1098" t="str">
        <f t="shared" si="17"/>
        <v>C052</v>
      </c>
      <c r="W1098" t="str">
        <f>VLOOKUP(K1098,[1]Info!A$1:B$21,2,0)</f>
        <v>Carregadeira</v>
      </c>
      <c r="X1098" t="str">
        <f>IF(M1098="109595132","Material de Limpeza-Não Avaliar",IF(AND(K1098="F20",M1098&lt;&gt;109595132),IF(RIGHT(F1098,2)="70","Infraestrutura de Planta","Prédios e Instalações"),IF(K1098="FPC",VLOOKUP(F1098,[1]Info!$E$2:$F$11,2,0),IF(K1098="FGP",VLOOKUP(F1098,[1]Info!$E$9:$F$10,2,0),IF(K1098="F10",VLOOKUP(F1098,[1]Info!$E$2:$F$3,2,0),VLOOKUP(K1098,[1]Info!$A$1:$B$21,2,0))))))</f>
        <v>Carregadeira Plantas</v>
      </c>
    </row>
    <row r="1099" spans="1:24" x14ac:dyDescent="0.35">
      <c r="A1099" t="s">
        <v>41</v>
      </c>
      <c r="B1099" t="s">
        <v>73</v>
      </c>
      <c r="C1099" t="s">
        <v>74</v>
      </c>
      <c r="D1099" t="s">
        <v>94</v>
      </c>
      <c r="E1099" t="s">
        <v>52</v>
      </c>
      <c r="F1099">
        <v>7098131</v>
      </c>
      <c r="G1099" t="s">
        <v>75</v>
      </c>
      <c r="H1099" t="s">
        <v>43</v>
      </c>
      <c r="I1099" t="s">
        <v>44</v>
      </c>
      <c r="J1099" t="s">
        <v>50</v>
      </c>
      <c r="K1099" t="s">
        <v>3</v>
      </c>
      <c r="L1099" t="s">
        <v>51</v>
      </c>
      <c r="M1099" t="s">
        <v>1185</v>
      </c>
      <c r="N1099" t="s">
        <v>1186</v>
      </c>
      <c r="O1099" t="s">
        <v>1187</v>
      </c>
      <c r="P1099" t="s">
        <v>383</v>
      </c>
      <c r="Q1099" t="s">
        <v>154</v>
      </c>
      <c r="R1099" t="s">
        <v>155</v>
      </c>
      <c r="S1099" t="s">
        <v>46</v>
      </c>
      <c r="T1099" t="s">
        <v>46</v>
      </c>
      <c r="U1099" s="4">
        <v>81.22</v>
      </c>
      <c r="V1099" t="str">
        <f t="shared" si="17"/>
        <v>-005</v>
      </c>
      <c r="W1099" t="str">
        <f>VLOOKUP(K1099,[1]Info!A$1:B$21,2,0)</f>
        <v>Carregadeira</v>
      </c>
      <c r="X1099" t="str">
        <f>IF(M1099="109595132","Material de Limpeza-Não Avaliar",IF(AND(K1099="F20",M1099&lt;&gt;109595132),IF(RIGHT(F1099,2)="70","Infraestrutura de Planta","Prédios e Instalações"),IF(K1099="FPC",VLOOKUP(F1099,[1]Info!$E$2:$F$11,2,0),IF(K1099="FGP",VLOOKUP(F1099,[1]Info!$E$9:$F$10,2,0),IF(K1099="F10",VLOOKUP(F1099,[1]Info!$E$2:$F$3,2,0),VLOOKUP(K1099,[1]Info!$A$1:$B$21,2,0))))))</f>
        <v>Carregadeira Plantas</v>
      </c>
    </row>
    <row r="1100" spans="1:24" x14ac:dyDescent="0.35">
      <c r="A1100" t="s">
        <v>41</v>
      </c>
      <c r="B1100" t="s">
        <v>73</v>
      </c>
      <c r="C1100" t="s">
        <v>74</v>
      </c>
      <c r="D1100" t="s">
        <v>94</v>
      </c>
      <c r="E1100" t="s">
        <v>52</v>
      </c>
      <c r="F1100">
        <v>7098131</v>
      </c>
      <c r="G1100" t="s">
        <v>75</v>
      </c>
      <c r="H1100" t="s">
        <v>43</v>
      </c>
      <c r="I1100" t="s">
        <v>44</v>
      </c>
      <c r="J1100" t="s">
        <v>50</v>
      </c>
      <c r="K1100" t="s">
        <v>3</v>
      </c>
      <c r="L1100" t="s">
        <v>51</v>
      </c>
      <c r="M1100" t="s">
        <v>1185</v>
      </c>
      <c r="N1100" t="s">
        <v>1186</v>
      </c>
      <c r="O1100" t="s">
        <v>1187</v>
      </c>
      <c r="P1100" t="s">
        <v>383</v>
      </c>
      <c r="Q1100" t="s">
        <v>156</v>
      </c>
      <c r="R1100" t="s">
        <v>157</v>
      </c>
      <c r="S1100" t="s">
        <v>46</v>
      </c>
      <c r="T1100" t="s">
        <v>46</v>
      </c>
      <c r="U1100" s="4">
        <v>83.35</v>
      </c>
      <c r="V1100" t="str">
        <f t="shared" si="17"/>
        <v>-005</v>
      </c>
      <c r="W1100" t="str">
        <f>VLOOKUP(K1100,[1]Info!A$1:B$21,2,0)</f>
        <v>Carregadeira</v>
      </c>
      <c r="X1100" t="str">
        <f>IF(M1100="109595132","Material de Limpeza-Não Avaliar",IF(AND(K1100="F20",M1100&lt;&gt;109595132),IF(RIGHT(F1100,2)="70","Infraestrutura de Planta","Prédios e Instalações"),IF(K1100="FPC",VLOOKUP(F1100,[1]Info!$E$2:$F$11,2,0),IF(K1100="FGP",VLOOKUP(F1100,[1]Info!$E$9:$F$10,2,0),IF(K1100="F10",VLOOKUP(F1100,[1]Info!$E$2:$F$3,2,0),VLOOKUP(K1100,[1]Info!$A$1:$B$21,2,0))))))</f>
        <v>Carregadeira Plantas</v>
      </c>
    </row>
    <row r="1101" spans="1:24" x14ac:dyDescent="0.35">
      <c r="A1101" t="s">
        <v>41</v>
      </c>
      <c r="B1101" t="s">
        <v>73</v>
      </c>
      <c r="C1101" t="s">
        <v>74</v>
      </c>
      <c r="D1101" t="s">
        <v>94</v>
      </c>
      <c r="E1101" t="s">
        <v>52</v>
      </c>
      <c r="F1101">
        <v>7098131</v>
      </c>
      <c r="G1101" t="s">
        <v>75</v>
      </c>
      <c r="H1101" t="s">
        <v>43</v>
      </c>
      <c r="I1101" t="s">
        <v>44</v>
      </c>
      <c r="J1101" t="s">
        <v>50</v>
      </c>
      <c r="K1101" t="s">
        <v>3</v>
      </c>
      <c r="L1101" t="s">
        <v>51</v>
      </c>
      <c r="M1101" t="s">
        <v>1842</v>
      </c>
      <c r="N1101" t="s">
        <v>1843</v>
      </c>
      <c r="O1101" t="s">
        <v>942</v>
      </c>
      <c r="P1101" t="s">
        <v>1292</v>
      </c>
      <c r="Q1101" t="s">
        <v>46</v>
      </c>
      <c r="R1101" t="s">
        <v>47</v>
      </c>
      <c r="S1101" t="s">
        <v>46</v>
      </c>
      <c r="T1101" t="s">
        <v>46</v>
      </c>
      <c r="U1101" s="4">
        <v>3050.1</v>
      </c>
      <c r="V1101" t="str">
        <f t="shared" si="17"/>
        <v>IG65</v>
      </c>
      <c r="W1101" t="str">
        <f>VLOOKUP(K1101,[1]Info!A$1:B$21,2,0)</f>
        <v>Carregadeira</v>
      </c>
      <c r="X1101" t="str">
        <f>IF(M1101="109595132","Material de Limpeza-Não Avaliar",IF(AND(K1101="F20",M1101&lt;&gt;109595132),IF(RIGHT(F1101,2)="70","Infraestrutura de Planta","Prédios e Instalações"),IF(K1101="FPC",VLOOKUP(F1101,[1]Info!$E$2:$F$11,2,0),IF(K1101="FGP",VLOOKUP(F1101,[1]Info!$E$9:$F$10,2,0),IF(K1101="F10",VLOOKUP(F1101,[1]Info!$E$2:$F$3,2,0),VLOOKUP(K1101,[1]Info!$A$1:$B$21,2,0))))))</f>
        <v>Carregadeira Plantas</v>
      </c>
    </row>
    <row r="1102" spans="1:24" x14ac:dyDescent="0.35">
      <c r="A1102" t="s">
        <v>41</v>
      </c>
      <c r="B1102" t="s">
        <v>73</v>
      </c>
      <c r="C1102" t="s">
        <v>74</v>
      </c>
      <c r="D1102" t="s">
        <v>94</v>
      </c>
      <c r="E1102" t="s">
        <v>52</v>
      </c>
      <c r="F1102">
        <v>7098131</v>
      </c>
      <c r="G1102" t="s">
        <v>75</v>
      </c>
      <c r="H1102" t="s">
        <v>43</v>
      </c>
      <c r="I1102" t="s">
        <v>44</v>
      </c>
      <c r="J1102" t="s">
        <v>50</v>
      </c>
      <c r="K1102" t="s">
        <v>3</v>
      </c>
      <c r="L1102" t="s">
        <v>51</v>
      </c>
      <c r="M1102" t="s">
        <v>1064</v>
      </c>
      <c r="N1102" t="s">
        <v>1065</v>
      </c>
      <c r="O1102" t="s">
        <v>1066</v>
      </c>
      <c r="P1102" t="s">
        <v>383</v>
      </c>
      <c r="Q1102" t="s">
        <v>297</v>
      </c>
      <c r="R1102" t="s">
        <v>298</v>
      </c>
      <c r="S1102" t="s">
        <v>46</v>
      </c>
      <c r="T1102" t="s">
        <v>46</v>
      </c>
      <c r="U1102" s="4">
        <v>720.46</v>
      </c>
      <c r="V1102" t="str">
        <f t="shared" si="17"/>
        <v>-005</v>
      </c>
      <c r="W1102" t="str">
        <f>VLOOKUP(K1102,[1]Info!A$1:B$21,2,0)</f>
        <v>Carregadeira</v>
      </c>
      <c r="X1102" t="str">
        <f>IF(M1102="109595132","Material de Limpeza-Não Avaliar",IF(AND(K1102="F20",M1102&lt;&gt;109595132),IF(RIGHT(F1102,2)="70","Infraestrutura de Planta","Prédios e Instalações"),IF(K1102="FPC",VLOOKUP(F1102,[1]Info!$E$2:$F$11,2,0),IF(K1102="FGP",VLOOKUP(F1102,[1]Info!$E$9:$F$10,2,0),IF(K1102="F10",VLOOKUP(F1102,[1]Info!$E$2:$F$3,2,0),VLOOKUP(K1102,[1]Info!$A$1:$B$21,2,0))))))</f>
        <v>Carregadeira Plantas</v>
      </c>
    </row>
    <row r="1103" spans="1:24" x14ac:dyDescent="0.35">
      <c r="A1103" t="s">
        <v>41</v>
      </c>
      <c r="B1103" t="s">
        <v>73</v>
      </c>
      <c r="C1103" t="s">
        <v>74</v>
      </c>
      <c r="D1103" t="s">
        <v>94</v>
      </c>
      <c r="E1103" t="s">
        <v>52</v>
      </c>
      <c r="F1103">
        <v>7098131</v>
      </c>
      <c r="G1103" t="s">
        <v>75</v>
      </c>
      <c r="H1103" t="s">
        <v>43</v>
      </c>
      <c r="I1103" t="s">
        <v>44</v>
      </c>
      <c r="J1103" t="s">
        <v>50</v>
      </c>
      <c r="K1103" t="s">
        <v>3</v>
      </c>
      <c r="L1103" t="s">
        <v>51</v>
      </c>
      <c r="M1103" t="s">
        <v>1844</v>
      </c>
      <c r="N1103" t="s">
        <v>1845</v>
      </c>
      <c r="O1103" t="s">
        <v>945</v>
      </c>
      <c r="P1103" t="s">
        <v>1292</v>
      </c>
      <c r="Q1103" t="s">
        <v>46</v>
      </c>
      <c r="R1103" t="s">
        <v>47</v>
      </c>
      <c r="S1103" t="s">
        <v>46</v>
      </c>
      <c r="T1103" t="s">
        <v>46</v>
      </c>
      <c r="U1103" s="4">
        <v>7051.46</v>
      </c>
      <c r="V1103" t="str">
        <f t="shared" si="17"/>
        <v>C035</v>
      </c>
      <c r="W1103" t="str">
        <f>VLOOKUP(K1103,[1]Info!A$1:B$21,2,0)</f>
        <v>Carregadeira</v>
      </c>
      <c r="X1103" t="str">
        <f>IF(M1103="109595132","Material de Limpeza-Não Avaliar",IF(AND(K1103="F20",M1103&lt;&gt;109595132),IF(RIGHT(F1103,2)="70","Infraestrutura de Planta","Prédios e Instalações"),IF(K1103="FPC",VLOOKUP(F1103,[1]Info!$E$2:$F$11,2,0),IF(K1103="FGP",VLOOKUP(F1103,[1]Info!$E$9:$F$10,2,0),IF(K1103="F10",VLOOKUP(F1103,[1]Info!$E$2:$F$3,2,0),VLOOKUP(K1103,[1]Info!$A$1:$B$21,2,0))))))</f>
        <v>Carregadeira Plantas</v>
      </c>
    </row>
    <row r="1104" spans="1:24" x14ac:dyDescent="0.35">
      <c r="A1104" t="s">
        <v>41</v>
      </c>
      <c r="B1104" t="s">
        <v>73</v>
      </c>
      <c r="C1104" t="s">
        <v>74</v>
      </c>
      <c r="D1104" t="s">
        <v>94</v>
      </c>
      <c r="E1104" t="s">
        <v>52</v>
      </c>
      <c r="F1104">
        <v>7098131</v>
      </c>
      <c r="G1104" t="s">
        <v>75</v>
      </c>
      <c r="H1104" t="s">
        <v>43</v>
      </c>
      <c r="I1104" t="s">
        <v>44</v>
      </c>
      <c r="J1104" t="s">
        <v>50</v>
      </c>
      <c r="K1104" t="s">
        <v>3</v>
      </c>
      <c r="L1104" t="s">
        <v>51</v>
      </c>
      <c r="M1104" t="s">
        <v>1846</v>
      </c>
      <c r="N1104" t="s">
        <v>1847</v>
      </c>
      <c r="O1104" t="s">
        <v>121</v>
      </c>
      <c r="P1104" t="s">
        <v>1292</v>
      </c>
      <c r="Q1104" t="s">
        <v>46</v>
      </c>
      <c r="R1104" t="s">
        <v>47</v>
      </c>
      <c r="S1104" t="s">
        <v>46</v>
      </c>
      <c r="T1104" t="s">
        <v>46</v>
      </c>
      <c r="U1104" s="4">
        <v>3910.7</v>
      </c>
      <c r="V1104" t="str">
        <f t="shared" si="17"/>
        <v>C044</v>
      </c>
      <c r="W1104" t="str">
        <f>VLOOKUP(K1104,[1]Info!A$1:B$21,2,0)</f>
        <v>Carregadeira</v>
      </c>
      <c r="X1104" t="str">
        <f>IF(M1104="109595132","Material de Limpeza-Não Avaliar",IF(AND(K1104="F20",M1104&lt;&gt;109595132),IF(RIGHT(F1104,2)="70","Infraestrutura de Planta","Prédios e Instalações"),IF(K1104="FPC",VLOOKUP(F1104,[1]Info!$E$2:$F$11,2,0),IF(K1104="FGP",VLOOKUP(F1104,[1]Info!$E$9:$F$10,2,0),IF(K1104="F10",VLOOKUP(F1104,[1]Info!$E$2:$F$3,2,0),VLOOKUP(K1104,[1]Info!$A$1:$B$21,2,0))))))</f>
        <v>Carregadeira Plantas</v>
      </c>
    </row>
    <row r="1105" spans="1:24" x14ac:dyDescent="0.35">
      <c r="A1105" t="s">
        <v>41</v>
      </c>
      <c r="B1105" t="s">
        <v>73</v>
      </c>
      <c r="C1105" t="s">
        <v>74</v>
      </c>
      <c r="D1105" t="s">
        <v>94</v>
      </c>
      <c r="E1105" t="s">
        <v>52</v>
      </c>
      <c r="F1105">
        <v>7098131</v>
      </c>
      <c r="G1105" t="s">
        <v>75</v>
      </c>
      <c r="H1105" t="s">
        <v>43</v>
      </c>
      <c r="I1105" t="s">
        <v>44</v>
      </c>
      <c r="J1105" t="s">
        <v>50</v>
      </c>
      <c r="K1105" t="s">
        <v>3</v>
      </c>
      <c r="L1105" t="s">
        <v>51</v>
      </c>
      <c r="M1105" t="s">
        <v>1188</v>
      </c>
      <c r="N1105" t="s">
        <v>1189</v>
      </c>
      <c r="O1105" t="s">
        <v>1015</v>
      </c>
      <c r="P1105" t="s">
        <v>383</v>
      </c>
      <c r="Q1105" t="s">
        <v>154</v>
      </c>
      <c r="R1105" t="s">
        <v>155</v>
      </c>
      <c r="S1105" t="s">
        <v>46</v>
      </c>
      <c r="T1105" t="s">
        <v>46</v>
      </c>
      <c r="U1105" s="4">
        <v>81.22</v>
      </c>
      <c r="V1105" t="str">
        <f t="shared" si="17"/>
        <v>-C01</v>
      </c>
      <c r="W1105" t="str">
        <f>VLOOKUP(K1105,[1]Info!A$1:B$21,2,0)</f>
        <v>Carregadeira</v>
      </c>
      <c r="X1105" t="str">
        <f>IF(M1105="109595132","Material de Limpeza-Não Avaliar",IF(AND(K1105="F20",M1105&lt;&gt;109595132),IF(RIGHT(F1105,2)="70","Infraestrutura de Planta","Prédios e Instalações"),IF(K1105="FPC",VLOOKUP(F1105,[1]Info!$E$2:$F$11,2,0),IF(K1105="FGP",VLOOKUP(F1105,[1]Info!$E$9:$F$10,2,0),IF(K1105="F10",VLOOKUP(F1105,[1]Info!$E$2:$F$3,2,0),VLOOKUP(K1105,[1]Info!$A$1:$B$21,2,0))))))</f>
        <v>Carregadeira Plantas</v>
      </c>
    </row>
    <row r="1106" spans="1:24" x14ac:dyDescent="0.35">
      <c r="A1106" t="s">
        <v>41</v>
      </c>
      <c r="B1106" t="s">
        <v>73</v>
      </c>
      <c r="C1106" t="s">
        <v>74</v>
      </c>
      <c r="D1106" t="s">
        <v>94</v>
      </c>
      <c r="E1106" t="s">
        <v>52</v>
      </c>
      <c r="F1106">
        <v>7098131</v>
      </c>
      <c r="G1106" t="s">
        <v>75</v>
      </c>
      <c r="H1106" t="s">
        <v>43</v>
      </c>
      <c r="I1106" t="s">
        <v>44</v>
      </c>
      <c r="J1106" t="s">
        <v>50</v>
      </c>
      <c r="K1106" t="s">
        <v>3</v>
      </c>
      <c r="L1106" t="s">
        <v>51</v>
      </c>
      <c r="M1106" t="s">
        <v>1188</v>
      </c>
      <c r="N1106" t="s">
        <v>1189</v>
      </c>
      <c r="O1106" t="s">
        <v>1015</v>
      </c>
      <c r="P1106" t="s">
        <v>383</v>
      </c>
      <c r="Q1106" t="s">
        <v>156</v>
      </c>
      <c r="R1106" t="s">
        <v>157</v>
      </c>
      <c r="S1106" t="s">
        <v>46</v>
      </c>
      <c r="T1106" t="s">
        <v>46</v>
      </c>
      <c r="U1106" s="4">
        <v>83.35</v>
      </c>
      <c r="V1106" t="str">
        <f t="shared" si="17"/>
        <v>-C01</v>
      </c>
      <c r="W1106" t="str">
        <f>VLOOKUP(K1106,[1]Info!A$1:B$21,2,0)</f>
        <v>Carregadeira</v>
      </c>
      <c r="X1106" t="str">
        <f>IF(M1106="109595132","Material de Limpeza-Não Avaliar",IF(AND(K1106="F20",M1106&lt;&gt;109595132),IF(RIGHT(F1106,2)="70","Infraestrutura de Planta","Prédios e Instalações"),IF(K1106="FPC",VLOOKUP(F1106,[1]Info!$E$2:$F$11,2,0),IF(K1106="FGP",VLOOKUP(F1106,[1]Info!$E$9:$F$10,2,0),IF(K1106="F10",VLOOKUP(F1106,[1]Info!$E$2:$F$3,2,0),VLOOKUP(K1106,[1]Info!$A$1:$B$21,2,0))))))</f>
        <v>Carregadeira Plantas</v>
      </c>
    </row>
    <row r="1107" spans="1:24" x14ac:dyDescent="0.35">
      <c r="A1107" t="s">
        <v>41</v>
      </c>
      <c r="B1107" t="s">
        <v>73</v>
      </c>
      <c r="C1107" t="s">
        <v>74</v>
      </c>
      <c r="D1107" t="s">
        <v>94</v>
      </c>
      <c r="E1107" t="s">
        <v>52</v>
      </c>
      <c r="F1107">
        <v>7098131</v>
      </c>
      <c r="G1107" t="s">
        <v>75</v>
      </c>
      <c r="H1107" t="s">
        <v>43</v>
      </c>
      <c r="I1107" t="s">
        <v>44</v>
      </c>
      <c r="J1107" t="s">
        <v>50</v>
      </c>
      <c r="K1107" t="s">
        <v>3</v>
      </c>
      <c r="L1107" t="s">
        <v>51</v>
      </c>
      <c r="M1107" t="s">
        <v>1848</v>
      </c>
      <c r="N1107" t="s">
        <v>1849</v>
      </c>
      <c r="O1107" t="s">
        <v>1176</v>
      </c>
      <c r="P1107" t="s">
        <v>1292</v>
      </c>
      <c r="Q1107" t="s">
        <v>46</v>
      </c>
      <c r="R1107" t="s">
        <v>47</v>
      </c>
      <c r="S1107" t="s">
        <v>46</v>
      </c>
      <c r="T1107" t="s">
        <v>46</v>
      </c>
      <c r="U1107" s="4">
        <v>5822.14</v>
      </c>
      <c r="V1107" t="str">
        <f t="shared" si="17"/>
        <v>C049</v>
      </c>
      <c r="W1107" t="str">
        <f>VLOOKUP(K1107,[1]Info!A$1:B$21,2,0)</f>
        <v>Carregadeira</v>
      </c>
      <c r="X1107" t="str">
        <f>IF(M1107="109595132","Material de Limpeza-Não Avaliar",IF(AND(K1107="F20",M1107&lt;&gt;109595132),IF(RIGHT(F1107,2)="70","Infraestrutura de Planta","Prédios e Instalações"),IF(K1107="FPC",VLOOKUP(F1107,[1]Info!$E$2:$F$11,2,0),IF(K1107="FGP",VLOOKUP(F1107,[1]Info!$E$9:$F$10,2,0),IF(K1107="F10",VLOOKUP(F1107,[1]Info!$E$2:$F$3,2,0),VLOOKUP(K1107,[1]Info!$A$1:$B$21,2,0))))))</f>
        <v>Carregadeira Plantas</v>
      </c>
    </row>
    <row r="1108" spans="1:24" x14ac:dyDescent="0.35">
      <c r="A1108" t="s">
        <v>41</v>
      </c>
      <c r="B1108" t="s">
        <v>73</v>
      </c>
      <c r="C1108" t="s">
        <v>74</v>
      </c>
      <c r="D1108" t="s">
        <v>94</v>
      </c>
      <c r="E1108" t="s">
        <v>52</v>
      </c>
      <c r="F1108">
        <v>7098131</v>
      </c>
      <c r="G1108" t="s">
        <v>75</v>
      </c>
      <c r="H1108" t="s">
        <v>43</v>
      </c>
      <c r="I1108" t="s">
        <v>44</v>
      </c>
      <c r="J1108" t="s">
        <v>50</v>
      </c>
      <c r="K1108" t="s">
        <v>3</v>
      </c>
      <c r="L1108" t="s">
        <v>51</v>
      </c>
      <c r="M1108" t="s">
        <v>1850</v>
      </c>
      <c r="N1108" t="s">
        <v>1851</v>
      </c>
      <c r="O1108" t="s">
        <v>204</v>
      </c>
      <c r="P1108" t="s">
        <v>1292</v>
      </c>
      <c r="Q1108" t="s">
        <v>46</v>
      </c>
      <c r="R1108" t="s">
        <v>47</v>
      </c>
      <c r="S1108" t="s">
        <v>46</v>
      </c>
      <c r="T1108" t="s">
        <v>46</v>
      </c>
      <c r="U1108" s="4">
        <v>1000.48</v>
      </c>
      <c r="V1108" t="str">
        <f t="shared" si="17"/>
        <v>C038</v>
      </c>
      <c r="W1108" t="str">
        <f>VLOOKUP(K1108,[1]Info!A$1:B$21,2,0)</f>
        <v>Carregadeira</v>
      </c>
      <c r="X1108" t="str">
        <f>IF(M1108="109595132","Material de Limpeza-Não Avaliar",IF(AND(K1108="F20",M1108&lt;&gt;109595132),IF(RIGHT(F1108,2)="70","Infraestrutura de Planta","Prédios e Instalações"),IF(K1108="FPC",VLOOKUP(F1108,[1]Info!$E$2:$F$11,2,0),IF(K1108="FGP",VLOOKUP(F1108,[1]Info!$E$9:$F$10,2,0),IF(K1108="F10",VLOOKUP(F1108,[1]Info!$E$2:$F$3,2,0),VLOOKUP(K1108,[1]Info!$A$1:$B$21,2,0))))))</f>
        <v>Carregadeira Plantas</v>
      </c>
    </row>
    <row r="1109" spans="1:24" x14ac:dyDescent="0.35">
      <c r="A1109" t="s">
        <v>41</v>
      </c>
      <c r="B1109" t="s">
        <v>73</v>
      </c>
      <c r="C1109" t="s">
        <v>74</v>
      </c>
      <c r="D1109" t="s">
        <v>94</v>
      </c>
      <c r="E1109" t="s">
        <v>52</v>
      </c>
      <c r="F1109">
        <v>7098131</v>
      </c>
      <c r="G1109" t="s">
        <v>75</v>
      </c>
      <c r="H1109" t="s">
        <v>43</v>
      </c>
      <c r="I1109" t="s">
        <v>44</v>
      </c>
      <c r="J1109" t="s">
        <v>50</v>
      </c>
      <c r="K1109" t="s">
        <v>3</v>
      </c>
      <c r="L1109" t="s">
        <v>51</v>
      </c>
      <c r="M1109" t="s">
        <v>1190</v>
      </c>
      <c r="N1109" t="s">
        <v>1191</v>
      </c>
      <c r="O1109" t="s">
        <v>1192</v>
      </c>
      <c r="P1109" t="s">
        <v>383</v>
      </c>
      <c r="Q1109" t="s">
        <v>1118</v>
      </c>
      <c r="R1109" t="s">
        <v>1119</v>
      </c>
      <c r="S1109" t="s">
        <v>46</v>
      </c>
      <c r="T1109" t="s">
        <v>46</v>
      </c>
      <c r="U1109" s="4">
        <v>323.23</v>
      </c>
      <c r="V1109" t="str">
        <f t="shared" si="17"/>
        <v>0070</v>
      </c>
      <c r="W1109" t="str">
        <f>VLOOKUP(K1109,[1]Info!A$1:B$21,2,0)</f>
        <v>Carregadeira</v>
      </c>
      <c r="X1109" t="str">
        <f>IF(M1109="109595132","Material de Limpeza-Não Avaliar",IF(AND(K1109="F20",M1109&lt;&gt;109595132),IF(RIGHT(F1109,2)="70","Infraestrutura de Planta","Prédios e Instalações"),IF(K1109="FPC",VLOOKUP(F1109,[1]Info!$E$2:$F$11,2,0),IF(K1109="FGP",VLOOKUP(F1109,[1]Info!$E$9:$F$10,2,0),IF(K1109="F10",VLOOKUP(F1109,[1]Info!$E$2:$F$3,2,0),VLOOKUP(K1109,[1]Info!$A$1:$B$21,2,0))))))</f>
        <v>Carregadeira Plantas</v>
      </c>
    </row>
    <row r="1110" spans="1:24" x14ac:dyDescent="0.35">
      <c r="A1110" t="s">
        <v>41</v>
      </c>
      <c r="B1110" t="s">
        <v>73</v>
      </c>
      <c r="C1110" t="s">
        <v>74</v>
      </c>
      <c r="D1110" t="s">
        <v>94</v>
      </c>
      <c r="E1110" t="s">
        <v>52</v>
      </c>
      <c r="F1110">
        <v>7098131</v>
      </c>
      <c r="G1110" t="s">
        <v>75</v>
      </c>
      <c r="H1110" t="s">
        <v>43</v>
      </c>
      <c r="I1110" t="s">
        <v>44</v>
      </c>
      <c r="J1110" t="s">
        <v>50</v>
      </c>
      <c r="K1110" t="s">
        <v>411</v>
      </c>
      <c r="L1110" t="s">
        <v>51</v>
      </c>
      <c r="M1110" t="s">
        <v>1022</v>
      </c>
      <c r="N1110" t="s">
        <v>1023</v>
      </c>
      <c r="O1110" t="s">
        <v>886</v>
      </c>
      <c r="P1110" t="s">
        <v>383</v>
      </c>
      <c r="Q1110" t="s">
        <v>336</v>
      </c>
      <c r="R1110" t="s">
        <v>337</v>
      </c>
      <c r="S1110" t="s">
        <v>46</v>
      </c>
      <c r="T1110" t="s">
        <v>46</v>
      </c>
      <c r="U1110" s="4">
        <v>1986.08</v>
      </c>
      <c r="V1110" t="str">
        <f t="shared" si="17"/>
        <v>TP30</v>
      </c>
      <c r="W1110" t="str">
        <f>VLOOKUP(K1110,[1]Info!A$1:B$21,2,0)</f>
        <v>Caminhão Pipa</v>
      </c>
      <c r="X1110" t="str">
        <f>IF(M1110="109595132","Material de Limpeza-Não Avaliar",IF(AND(K1110="F20",M1110&lt;&gt;109595132),IF(RIGHT(F1110,2)="70","Infraestrutura de Planta","Prédios e Instalações"),IF(K1110="FPC",VLOOKUP(F1110,[1]Info!$E$2:$F$11,2,0),IF(K1110="FGP",VLOOKUP(F1110,[1]Info!$E$9:$F$10,2,0),IF(K1110="F10",VLOOKUP(F1110,[1]Info!$E$2:$F$3,2,0),VLOOKUP(K1110,[1]Info!$A$1:$B$21,2,0))))))</f>
        <v>Caminhão Pipa</v>
      </c>
    </row>
    <row r="1111" spans="1:24" x14ac:dyDescent="0.35">
      <c r="A1111" t="s">
        <v>41</v>
      </c>
      <c r="B1111" t="s">
        <v>73</v>
      </c>
      <c r="C1111" t="s">
        <v>74</v>
      </c>
      <c r="D1111" t="s">
        <v>94</v>
      </c>
      <c r="E1111" t="s">
        <v>52</v>
      </c>
      <c r="F1111">
        <v>7093370</v>
      </c>
      <c r="G1111" t="s">
        <v>151</v>
      </c>
      <c r="H1111" t="s">
        <v>43</v>
      </c>
      <c r="I1111" t="s">
        <v>44</v>
      </c>
      <c r="J1111" t="s">
        <v>152</v>
      </c>
      <c r="K1111" t="s">
        <v>7</v>
      </c>
      <c r="L1111" t="s">
        <v>148</v>
      </c>
      <c r="M1111" t="s">
        <v>1852</v>
      </c>
      <c r="N1111" t="s">
        <v>1853</v>
      </c>
      <c r="O1111" t="s">
        <v>153</v>
      </c>
      <c r="P1111" t="s">
        <v>1292</v>
      </c>
      <c r="Q1111" t="s">
        <v>46</v>
      </c>
      <c r="R1111" t="s">
        <v>47</v>
      </c>
      <c r="S1111" t="s">
        <v>46</v>
      </c>
      <c r="T1111" t="s">
        <v>46</v>
      </c>
      <c r="U1111" s="4">
        <v>45.87</v>
      </c>
      <c r="V1111" t="str">
        <f t="shared" si="17"/>
        <v>FR19</v>
      </c>
      <c r="W1111" t="str">
        <f>VLOOKUP(K1111,[1]Info!A$1:B$21,2,0)</f>
        <v>Fornos Retangulares - Engenharia e Obras</v>
      </c>
      <c r="X1111" t="str">
        <f>IF(M1111="109595132","Material de Limpeza-Não Avaliar",IF(AND(K1111="F20",M1111&lt;&gt;109595132),IF(RIGHT(F1111,2)="70","Infraestrutura de Planta","Prédios e Instalações"),IF(K1111="FPC",VLOOKUP(F1111,[1]Info!$E$2:$F$11,2,0),IF(K1111="FGP",VLOOKUP(F1111,[1]Info!$E$9:$F$10,2,0),IF(K1111="F10",VLOOKUP(F1111,[1]Info!$E$2:$F$3,2,0),VLOOKUP(K1111,[1]Info!$A$1:$B$21,2,0))))))</f>
        <v>Fornos Retangulares - Engenharia e Obras</v>
      </c>
    </row>
    <row r="1112" spans="1:24" x14ac:dyDescent="0.35">
      <c r="A1112" t="s">
        <v>41</v>
      </c>
      <c r="B1112" t="s">
        <v>73</v>
      </c>
      <c r="C1112" t="s">
        <v>74</v>
      </c>
      <c r="D1112" t="s">
        <v>94</v>
      </c>
      <c r="E1112" t="s">
        <v>52</v>
      </c>
      <c r="F1112">
        <v>7093370</v>
      </c>
      <c r="G1112" t="s">
        <v>151</v>
      </c>
      <c r="H1112" t="s">
        <v>43</v>
      </c>
      <c r="I1112" t="s">
        <v>44</v>
      </c>
      <c r="J1112" t="s">
        <v>152</v>
      </c>
      <c r="K1112" t="s">
        <v>7</v>
      </c>
      <c r="L1112" t="s">
        <v>148</v>
      </c>
      <c r="M1112" t="s">
        <v>1055</v>
      </c>
      <c r="N1112" t="s">
        <v>1056</v>
      </c>
      <c r="O1112" t="s">
        <v>1057</v>
      </c>
      <c r="P1112" t="s">
        <v>383</v>
      </c>
      <c r="Q1112" t="s">
        <v>1193</v>
      </c>
      <c r="R1112" t="s">
        <v>1194</v>
      </c>
      <c r="S1112" t="s">
        <v>46</v>
      </c>
      <c r="T1112" t="s">
        <v>46</v>
      </c>
      <c r="U1112" s="4">
        <v>48.79</v>
      </c>
      <c r="V1112" t="str">
        <f t="shared" si="17"/>
        <v>-030</v>
      </c>
      <c r="W1112" t="str">
        <f>VLOOKUP(K1112,[1]Info!A$1:B$21,2,0)</f>
        <v>Fornos Retangulares - Engenharia e Obras</v>
      </c>
      <c r="X1112" t="str">
        <f>IF(M1112="109595132","Material de Limpeza-Não Avaliar",IF(AND(K1112="F20",M1112&lt;&gt;109595132),IF(RIGHT(F1112,2)="70","Infraestrutura de Planta","Prédios e Instalações"),IF(K1112="FPC",VLOOKUP(F1112,[1]Info!$E$2:$F$11,2,0),IF(K1112="FGP",VLOOKUP(F1112,[1]Info!$E$9:$F$10,2,0),IF(K1112="F10",VLOOKUP(F1112,[1]Info!$E$2:$F$3,2,0),VLOOKUP(K1112,[1]Info!$A$1:$B$21,2,0))))))</f>
        <v>Fornos Retangulares - Engenharia e Obras</v>
      </c>
    </row>
    <row r="1113" spans="1:24" x14ac:dyDescent="0.35">
      <c r="A1113" t="s">
        <v>41</v>
      </c>
      <c r="B1113" t="s">
        <v>73</v>
      </c>
      <c r="C1113" t="s">
        <v>74</v>
      </c>
      <c r="D1113" t="s">
        <v>94</v>
      </c>
      <c r="E1113" t="s">
        <v>52</v>
      </c>
      <c r="F1113">
        <v>7093370</v>
      </c>
      <c r="G1113" t="s">
        <v>151</v>
      </c>
      <c r="H1113" t="s">
        <v>43</v>
      </c>
      <c r="I1113" t="s">
        <v>44</v>
      </c>
      <c r="J1113" t="s">
        <v>152</v>
      </c>
      <c r="K1113" t="s">
        <v>7</v>
      </c>
      <c r="L1113" t="s">
        <v>148</v>
      </c>
      <c r="M1113" t="s">
        <v>1055</v>
      </c>
      <c r="N1113" t="s">
        <v>1056</v>
      </c>
      <c r="O1113" t="s">
        <v>1057</v>
      </c>
      <c r="P1113" t="s">
        <v>383</v>
      </c>
      <c r="Q1113" t="s">
        <v>1195</v>
      </c>
      <c r="R1113" t="s">
        <v>1196</v>
      </c>
      <c r="S1113" t="s">
        <v>46</v>
      </c>
      <c r="T1113" t="s">
        <v>46</v>
      </c>
      <c r="U1113" s="4">
        <v>61.49</v>
      </c>
      <c r="V1113" t="str">
        <f t="shared" si="17"/>
        <v>-030</v>
      </c>
      <c r="W1113" t="str">
        <f>VLOOKUP(K1113,[1]Info!A$1:B$21,2,0)</f>
        <v>Fornos Retangulares - Engenharia e Obras</v>
      </c>
      <c r="X1113" t="str">
        <f>IF(M1113="109595132","Material de Limpeza-Não Avaliar",IF(AND(K1113="F20",M1113&lt;&gt;109595132),IF(RIGHT(F1113,2)="70","Infraestrutura de Planta","Prédios e Instalações"),IF(K1113="FPC",VLOOKUP(F1113,[1]Info!$E$2:$F$11,2,0),IF(K1113="FGP",VLOOKUP(F1113,[1]Info!$E$9:$F$10,2,0),IF(K1113="F10",VLOOKUP(F1113,[1]Info!$E$2:$F$3,2,0),VLOOKUP(K1113,[1]Info!$A$1:$B$21,2,0))))))</f>
        <v>Fornos Retangulares - Engenharia e Obras</v>
      </c>
    </row>
    <row r="1114" spans="1:24" x14ac:dyDescent="0.35">
      <c r="A1114" t="s">
        <v>41</v>
      </c>
      <c r="B1114" t="s">
        <v>73</v>
      </c>
      <c r="C1114" t="s">
        <v>74</v>
      </c>
      <c r="D1114" t="s">
        <v>94</v>
      </c>
      <c r="E1114" t="s">
        <v>52</v>
      </c>
      <c r="F1114">
        <v>7093370</v>
      </c>
      <c r="G1114" t="s">
        <v>151</v>
      </c>
      <c r="H1114" t="s">
        <v>43</v>
      </c>
      <c r="I1114" t="s">
        <v>44</v>
      </c>
      <c r="J1114" t="s">
        <v>152</v>
      </c>
      <c r="K1114" t="s">
        <v>7</v>
      </c>
      <c r="L1114" t="s">
        <v>148</v>
      </c>
      <c r="M1114" t="s">
        <v>1078</v>
      </c>
      <c r="N1114" t="s">
        <v>1079</v>
      </c>
      <c r="O1114" t="s">
        <v>1080</v>
      </c>
      <c r="P1114" t="s">
        <v>383</v>
      </c>
      <c r="Q1114" t="s">
        <v>1193</v>
      </c>
      <c r="R1114" t="s">
        <v>1194</v>
      </c>
      <c r="S1114" t="s">
        <v>46</v>
      </c>
      <c r="T1114" t="s">
        <v>46</v>
      </c>
      <c r="U1114" s="4">
        <v>24.4</v>
      </c>
      <c r="V1114" t="str">
        <f t="shared" si="17"/>
        <v>-030</v>
      </c>
      <c r="W1114" t="str">
        <f>VLOOKUP(K1114,[1]Info!A$1:B$21,2,0)</f>
        <v>Fornos Retangulares - Engenharia e Obras</v>
      </c>
      <c r="X1114" t="str">
        <f>IF(M1114="109595132","Material de Limpeza-Não Avaliar",IF(AND(K1114="F20",M1114&lt;&gt;109595132),IF(RIGHT(F1114,2)="70","Infraestrutura de Planta","Prédios e Instalações"),IF(K1114="FPC",VLOOKUP(F1114,[1]Info!$E$2:$F$11,2,0),IF(K1114="FGP",VLOOKUP(F1114,[1]Info!$E$9:$F$10,2,0),IF(K1114="F10",VLOOKUP(F1114,[1]Info!$E$2:$F$3,2,0),VLOOKUP(K1114,[1]Info!$A$1:$B$21,2,0))))))</f>
        <v>Fornos Retangulares - Engenharia e Obras</v>
      </c>
    </row>
    <row r="1115" spans="1:24" x14ac:dyDescent="0.35">
      <c r="A1115" t="s">
        <v>41</v>
      </c>
      <c r="B1115" t="s">
        <v>73</v>
      </c>
      <c r="C1115" t="s">
        <v>74</v>
      </c>
      <c r="D1115" t="s">
        <v>94</v>
      </c>
      <c r="E1115" t="s">
        <v>52</v>
      </c>
      <c r="F1115">
        <v>7093370</v>
      </c>
      <c r="G1115" t="s">
        <v>151</v>
      </c>
      <c r="H1115" t="s">
        <v>43</v>
      </c>
      <c r="I1115" t="s">
        <v>44</v>
      </c>
      <c r="J1115" t="s">
        <v>152</v>
      </c>
      <c r="K1115" t="s">
        <v>7</v>
      </c>
      <c r="L1115" t="s">
        <v>148</v>
      </c>
      <c r="M1115" t="s">
        <v>1078</v>
      </c>
      <c r="N1115" t="s">
        <v>1079</v>
      </c>
      <c r="O1115" t="s">
        <v>1080</v>
      </c>
      <c r="P1115" t="s">
        <v>383</v>
      </c>
      <c r="Q1115" t="s">
        <v>1195</v>
      </c>
      <c r="R1115" t="s">
        <v>1196</v>
      </c>
      <c r="S1115" t="s">
        <v>46</v>
      </c>
      <c r="T1115" t="s">
        <v>46</v>
      </c>
      <c r="U1115" s="4">
        <v>61.49</v>
      </c>
      <c r="V1115" t="str">
        <f t="shared" si="17"/>
        <v>-030</v>
      </c>
      <c r="W1115" t="str">
        <f>VLOOKUP(K1115,[1]Info!A$1:B$21,2,0)</f>
        <v>Fornos Retangulares - Engenharia e Obras</v>
      </c>
      <c r="X1115" t="str">
        <f>IF(M1115="109595132","Material de Limpeza-Não Avaliar",IF(AND(K1115="F20",M1115&lt;&gt;109595132),IF(RIGHT(F1115,2)="70","Infraestrutura de Planta","Prédios e Instalações"),IF(K1115="FPC",VLOOKUP(F1115,[1]Info!$E$2:$F$11,2,0),IF(K1115="FGP",VLOOKUP(F1115,[1]Info!$E$9:$F$10,2,0),IF(K1115="F10",VLOOKUP(F1115,[1]Info!$E$2:$F$3,2,0),VLOOKUP(K1115,[1]Info!$A$1:$B$21,2,0))))))</f>
        <v>Fornos Retangulares - Engenharia e Obras</v>
      </c>
    </row>
    <row r="1116" spans="1:24" x14ac:dyDescent="0.35">
      <c r="A1116" t="s">
        <v>41</v>
      </c>
      <c r="B1116" t="s">
        <v>73</v>
      </c>
      <c r="C1116" t="s">
        <v>74</v>
      </c>
      <c r="D1116" t="s">
        <v>94</v>
      </c>
      <c r="E1116" t="s">
        <v>52</v>
      </c>
      <c r="F1116">
        <v>7093370</v>
      </c>
      <c r="G1116" t="s">
        <v>151</v>
      </c>
      <c r="H1116" t="s">
        <v>43</v>
      </c>
      <c r="I1116" t="s">
        <v>44</v>
      </c>
      <c r="J1116" t="s">
        <v>152</v>
      </c>
      <c r="K1116" t="s">
        <v>7</v>
      </c>
      <c r="L1116" t="s">
        <v>148</v>
      </c>
      <c r="M1116" t="s">
        <v>1083</v>
      </c>
      <c r="N1116" t="s">
        <v>1084</v>
      </c>
      <c r="O1116" t="s">
        <v>1085</v>
      </c>
      <c r="P1116" t="s">
        <v>383</v>
      </c>
      <c r="Q1116" t="s">
        <v>1193</v>
      </c>
      <c r="R1116" t="s">
        <v>1194</v>
      </c>
      <c r="S1116" t="s">
        <v>46</v>
      </c>
      <c r="T1116" t="s">
        <v>46</v>
      </c>
      <c r="U1116" s="4">
        <v>24.4</v>
      </c>
      <c r="V1116" t="str">
        <f t="shared" si="17"/>
        <v>-035</v>
      </c>
      <c r="W1116" t="str">
        <f>VLOOKUP(K1116,[1]Info!A$1:B$21,2,0)</f>
        <v>Fornos Retangulares - Engenharia e Obras</v>
      </c>
      <c r="X1116" t="str">
        <f>IF(M1116="109595132","Material de Limpeza-Não Avaliar",IF(AND(K1116="F20",M1116&lt;&gt;109595132),IF(RIGHT(F1116,2)="70","Infraestrutura de Planta","Prédios e Instalações"),IF(K1116="FPC",VLOOKUP(F1116,[1]Info!$E$2:$F$11,2,0),IF(K1116="FGP",VLOOKUP(F1116,[1]Info!$E$9:$F$10,2,0),IF(K1116="F10",VLOOKUP(F1116,[1]Info!$E$2:$F$3,2,0),VLOOKUP(K1116,[1]Info!$A$1:$B$21,2,0))))))</f>
        <v>Fornos Retangulares - Engenharia e Obras</v>
      </c>
    </row>
    <row r="1117" spans="1:24" x14ac:dyDescent="0.35">
      <c r="A1117" t="s">
        <v>41</v>
      </c>
      <c r="B1117" t="s">
        <v>73</v>
      </c>
      <c r="C1117" t="s">
        <v>74</v>
      </c>
      <c r="D1117" t="s">
        <v>94</v>
      </c>
      <c r="E1117" t="s">
        <v>52</v>
      </c>
      <c r="F1117">
        <v>7093370</v>
      </c>
      <c r="G1117" t="s">
        <v>151</v>
      </c>
      <c r="H1117" t="s">
        <v>43</v>
      </c>
      <c r="I1117" t="s">
        <v>44</v>
      </c>
      <c r="J1117" t="s">
        <v>152</v>
      </c>
      <c r="K1117" t="s">
        <v>7</v>
      </c>
      <c r="L1117" t="s">
        <v>148</v>
      </c>
      <c r="M1117" t="s">
        <v>1083</v>
      </c>
      <c r="N1117" t="s">
        <v>1084</v>
      </c>
      <c r="O1117" t="s">
        <v>1085</v>
      </c>
      <c r="P1117" t="s">
        <v>383</v>
      </c>
      <c r="Q1117" t="s">
        <v>1195</v>
      </c>
      <c r="R1117" t="s">
        <v>1196</v>
      </c>
      <c r="S1117" t="s">
        <v>46</v>
      </c>
      <c r="T1117" t="s">
        <v>46</v>
      </c>
      <c r="U1117" s="4">
        <v>61.49</v>
      </c>
      <c r="V1117" t="str">
        <f t="shared" si="17"/>
        <v>-035</v>
      </c>
      <c r="W1117" t="str">
        <f>VLOOKUP(K1117,[1]Info!A$1:B$21,2,0)</f>
        <v>Fornos Retangulares - Engenharia e Obras</v>
      </c>
      <c r="X1117" t="str">
        <f>IF(M1117="109595132","Material de Limpeza-Não Avaliar",IF(AND(K1117="F20",M1117&lt;&gt;109595132),IF(RIGHT(F1117,2)="70","Infraestrutura de Planta","Prédios e Instalações"),IF(K1117="FPC",VLOOKUP(F1117,[1]Info!$E$2:$F$11,2,0),IF(K1117="FGP",VLOOKUP(F1117,[1]Info!$E$9:$F$10,2,0),IF(K1117="F10",VLOOKUP(F1117,[1]Info!$E$2:$F$3,2,0),VLOOKUP(K1117,[1]Info!$A$1:$B$21,2,0))))))</f>
        <v>Fornos Retangulares - Engenharia e Obras</v>
      </c>
    </row>
    <row r="1118" spans="1:24" x14ac:dyDescent="0.35">
      <c r="A1118" t="s">
        <v>41</v>
      </c>
      <c r="B1118" t="s">
        <v>73</v>
      </c>
      <c r="C1118" t="s">
        <v>74</v>
      </c>
      <c r="D1118" t="s">
        <v>94</v>
      </c>
      <c r="E1118" t="s">
        <v>52</v>
      </c>
      <c r="F1118">
        <v>7093370</v>
      </c>
      <c r="G1118" t="s">
        <v>151</v>
      </c>
      <c r="H1118" t="s">
        <v>43</v>
      </c>
      <c r="I1118" t="s">
        <v>44</v>
      </c>
      <c r="J1118" t="s">
        <v>152</v>
      </c>
      <c r="K1118" t="s">
        <v>7</v>
      </c>
      <c r="L1118" t="s">
        <v>148</v>
      </c>
      <c r="M1118" t="s">
        <v>1086</v>
      </c>
      <c r="N1118" t="s">
        <v>1087</v>
      </c>
      <c r="O1118" t="s">
        <v>1088</v>
      </c>
      <c r="P1118" t="s">
        <v>383</v>
      </c>
      <c r="Q1118" t="s">
        <v>1193</v>
      </c>
      <c r="R1118" t="s">
        <v>1194</v>
      </c>
      <c r="S1118" t="s">
        <v>46</v>
      </c>
      <c r="T1118" t="s">
        <v>46</v>
      </c>
      <c r="U1118" s="4">
        <v>48.79</v>
      </c>
      <c r="V1118" t="str">
        <f t="shared" si="17"/>
        <v>-030</v>
      </c>
      <c r="W1118" t="str">
        <f>VLOOKUP(K1118,[1]Info!A$1:B$21,2,0)</f>
        <v>Fornos Retangulares - Engenharia e Obras</v>
      </c>
      <c r="X1118" t="str">
        <f>IF(M1118="109595132","Material de Limpeza-Não Avaliar",IF(AND(K1118="F20",M1118&lt;&gt;109595132),IF(RIGHT(F1118,2)="70","Infraestrutura de Planta","Prédios e Instalações"),IF(K1118="FPC",VLOOKUP(F1118,[1]Info!$E$2:$F$11,2,0),IF(K1118="FGP",VLOOKUP(F1118,[1]Info!$E$9:$F$10,2,0),IF(K1118="F10",VLOOKUP(F1118,[1]Info!$E$2:$F$3,2,0),VLOOKUP(K1118,[1]Info!$A$1:$B$21,2,0))))))</f>
        <v>Fornos Retangulares - Engenharia e Obras</v>
      </c>
    </row>
    <row r="1119" spans="1:24" x14ac:dyDescent="0.35">
      <c r="A1119" t="s">
        <v>41</v>
      </c>
      <c r="B1119" t="s">
        <v>73</v>
      </c>
      <c r="C1119" t="s">
        <v>74</v>
      </c>
      <c r="D1119" t="s">
        <v>94</v>
      </c>
      <c r="E1119" t="s">
        <v>52</v>
      </c>
      <c r="F1119">
        <v>7093370</v>
      </c>
      <c r="G1119" t="s">
        <v>151</v>
      </c>
      <c r="H1119" t="s">
        <v>43</v>
      </c>
      <c r="I1119" t="s">
        <v>44</v>
      </c>
      <c r="J1119" t="s">
        <v>152</v>
      </c>
      <c r="K1119" t="s">
        <v>7</v>
      </c>
      <c r="L1119" t="s">
        <v>148</v>
      </c>
      <c r="M1119" t="s">
        <v>1086</v>
      </c>
      <c r="N1119" t="s">
        <v>1087</v>
      </c>
      <c r="O1119" t="s">
        <v>1088</v>
      </c>
      <c r="P1119" t="s">
        <v>383</v>
      </c>
      <c r="Q1119" t="s">
        <v>1195</v>
      </c>
      <c r="R1119" t="s">
        <v>1196</v>
      </c>
      <c r="S1119" t="s">
        <v>46</v>
      </c>
      <c r="T1119" t="s">
        <v>46</v>
      </c>
      <c r="U1119" s="4">
        <v>61.49</v>
      </c>
      <c r="V1119" t="str">
        <f t="shared" si="17"/>
        <v>-030</v>
      </c>
      <c r="W1119" t="str">
        <f>VLOOKUP(K1119,[1]Info!A$1:B$21,2,0)</f>
        <v>Fornos Retangulares - Engenharia e Obras</v>
      </c>
      <c r="X1119" t="str">
        <f>IF(M1119="109595132","Material de Limpeza-Não Avaliar",IF(AND(K1119="F20",M1119&lt;&gt;109595132),IF(RIGHT(F1119,2)="70","Infraestrutura de Planta","Prédios e Instalações"),IF(K1119="FPC",VLOOKUP(F1119,[1]Info!$E$2:$F$11,2,0),IF(K1119="FGP",VLOOKUP(F1119,[1]Info!$E$9:$F$10,2,0),IF(K1119="F10",VLOOKUP(F1119,[1]Info!$E$2:$F$3,2,0),VLOOKUP(K1119,[1]Info!$A$1:$B$21,2,0))))))</f>
        <v>Fornos Retangulares - Engenharia e Obras</v>
      </c>
    </row>
    <row r="1120" spans="1:24" x14ac:dyDescent="0.35">
      <c r="A1120" t="s">
        <v>41</v>
      </c>
      <c r="B1120" t="s">
        <v>73</v>
      </c>
      <c r="C1120" t="s">
        <v>74</v>
      </c>
      <c r="D1120" t="s">
        <v>94</v>
      </c>
      <c r="E1120" t="s">
        <v>52</v>
      </c>
      <c r="F1120">
        <v>7092370</v>
      </c>
      <c r="G1120" t="s">
        <v>292</v>
      </c>
      <c r="H1120" t="s">
        <v>43</v>
      </c>
      <c r="I1120" t="s">
        <v>44</v>
      </c>
      <c r="J1120" t="s">
        <v>208</v>
      </c>
      <c r="K1120" t="s">
        <v>6</v>
      </c>
      <c r="L1120" t="s">
        <v>51</v>
      </c>
      <c r="M1120" t="s">
        <v>294</v>
      </c>
      <c r="N1120" t="s">
        <v>295</v>
      </c>
      <c r="O1120" t="s">
        <v>296</v>
      </c>
      <c r="P1120" t="s">
        <v>383</v>
      </c>
      <c r="Q1120" t="s">
        <v>1195</v>
      </c>
      <c r="R1120" t="s">
        <v>1196</v>
      </c>
      <c r="S1120" t="s">
        <v>46</v>
      </c>
      <c r="T1120" t="s">
        <v>46</v>
      </c>
      <c r="U1120" s="4">
        <v>122.99</v>
      </c>
      <c r="V1120" t="str">
        <f t="shared" si="17"/>
        <v>-005</v>
      </c>
      <c r="W1120" t="str">
        <f>VLOOKUP(K1120,[1]Info!A$1:B$21,2,0)</f>
        <v>Equipamentos Carbonização</v>
      </c>
      <c r="X1120" t="str">
        <f>IF(M1120="109595132","Material de Limpeza-Não Avaliar",IF(AND(K1120="F20",M1120&lt;&gt;109595132),IF(RIGHT(F1120,2)="70","Infraestrutura de Planta","Prédios e Instalações"),IF(K1120="FPC",VLOOKUP(F1120,[1]Info!$E$2:$F$11,2,0),IF(K1120="FGP",VLOOKUP(F1120,[1]Info!$E$9:$F$10,2,0),IF(K1120="F10",VLOOKUP(F1120,[1]Info!$E$2:$F$3,2,0),VLOOKUP(K1120,[1]Info!$A$1:$B$21,2,0))))))</f>
        <v>Equipamentos Carbonização</v>
      </c>
    </row>
    <row r="1121" spans="1:24" x14ac:dyDescent="0.35">
      <c r="A1121" t="s">
        <v>41</v>
      </c>
      <c r="B1121" t="s">
        <v>73</v>
      </c>
      <c r="C1121" t="s">
        <v>74</v>
      </c>
      <c r="D1121" t="s">
        <v>94</v>
      </c>
      <c r="E1121" t="s">
        <v>52</v>
      </c>
      <c r="F1121">
        <v>7091870</v>
      </c>
      <c r="G1121" t="s">
        <v>162</v>
      </c>
      <c r="H1121" t="s">
        <v>43</v>
      </c>
      <c r="I1121" t="s">
        <v>44</v>
      </c>
      <c r="J1121" t="s">
        <v>163</v>
      </c>
      <c r="K1121" t="s">
        <v>7</v>
      </c>
      <c r="L1121" t="s">
        <v>148</v>
      </c>
      <c r="M1121" t="s">
        <v>1042</v>
      </c>
      <c r="N1121" t="s">
        <v>1043</v>
      </c>
      <c r="O1121" t="s">
        <v>164</v>
      </c>
      <c r="P1121" t="s">
        <v>383</v>
      </c>
      <c r="Q1121" t="s">
        <v>1193</v>
      </c>
      <c r="R1121" t="s">
        <v>1194</v>
      </c>
      <c r="S1121" t="s">
        <v>46</v>
      </c>
      <c r="T1121" t="s">
        <v>46</v>
      </c>
      <c r="U1121" s="4">
        <v>243.95</v>
      </c>
      <c r="V1121" t="str">
        <f t="shared" si="17"/>
        <v>FR39</v>
      </c>
      <c r="W1121" t="str">
        <f>VLOOKUP(K1121,[1]Info!A$1:B$21,2,0)</f>
        <v>Fornos Retangulares - Engenharia e Obras</v>
      </c>
      <c r="X1121" t="str">
        <f>IF(M1121="109595132","Material de Limpeza-Não Avaliar",IF(AND(K1121="F20",M1121&lt;&gt;109595132),IF(RIGHT(F1121,2)="70","Infraestrutura de Planta","Prédios e Instalações"),IF(K1121="FPC",VLOOKUP(F1121,[1]Info!$E$2:$F$11,2,0),IF(K1121="FGP",VLOOKUP(F1121,[1]Info!$E$9:$F$10,2,0),IF(K1121="F10",VLOOKUP(F1121,[1]Info!$E$2:$F$3,2,0),VLOOKUP(K1121,[1]Info!$A$1:$B$21,2,0))))))</f>
        <v>Fornos Retangulares - Engenharia e Obras</v>
      </c>
    </row>
    <row r="1122" spans="1:24" x14ac:dyDescent="0.35">
      <c r="A1122" t="s">
        <v>41</v>
      </c>
      <c r="B1122" t="s">
        <v>73</v>
      </c>
      <c r="C1122" t="s">
        <v>74</v>
      </c>
      <c r="D1122" t="s">
        <v>94</v>
      </c>
      <c r="E1122" t="s">
        <v>52</v>
      </c>
      <c r="F1122">
        <v>7091870</v>
      </c>
      <c r="G1122" t="s">
        <v>162</v>
      </c>
      <c r="H1122" t="s">
        <v>43</v>
      </c>
      <c r="I1122" t="s">
        <v>44</v>
      </c>
      <c r="J1122" t="s">
        <v>163</v>
      </c>
      <c r="K1122" t="s">
        <v>7</v>
      </c>
      <c r="L1122" t="s">
        <v>148</v>
      </c>
      <c r="M1122" t="s">
        <v>1042</v>
      </c>
      <c r="N1122" t="s">
        <v>1043</v>
      </c>
      <c r="O1122" t="s">
        <v>164</v>
      </c>
      <c r="P1122" t="s">
        <v>383</v>
      </c>
      <c r="Q1122" t="s">
        <v>1195</v>
      </c>
      <c r="R1122" t="s">
        <v>1196</v>
      </c>
      <c r="S1122" t="s">
        <v>46</v>
      </c>
      <c r="T1122" t="s">
        <v>46</v>
      </c>
      <c r="U1122" s="4">
        <v>307.45999999999998</v>
      </c>
      <c r="V1122" t="str">
        <f t="shared" si="17"/>
        <v>FR39</v>
      </c>
      <c r="W1122" t="str">
        <f>VLOOKUP(K1122,[1]Info!A$1:B$21,2,0)</f>
        <v>Fornos Retangulares - Engenharia e Obras</v>
      </c>
      <c r="X1122" t="str">
        <f>IF(M1122="109595132","Material de Limpeza-Não Avaliar",IF(AND(K1122="F20",M1122&lt;&gt;109595132),IF(RIGHT(F1122,2)="70","Infraestrutura de Planta","Prédios e Instalações"),IF(K1122="FPC",VLOOKUP(F1122,[1]Info!$E$2:$F$11,2,0),IF(K1122="FGP",VLOOKUP(F1122,[1]Info!$E$9:$F$10,2,0),IF(K1122="F10",VLOOKUP(F1122,[1]Info!$E$2:$F$3,2,0),VLOOKUP(K1122,[1]Info!$A$1:$B$21,2,0))))))</f>
        <v>Fornos Retangulares - Engenharia e Obras</v>
      </c>
    </row>
    <row r="1123" spans="1:24" x14ac:dyDescent="0.35">
      <c r="A1123" t="s">
        <v>41</v>
      </c>
      <c r="B1123" t="s">
        <v>73</v>
      </c>
      <c r="C1123" t="s">
        <v>74</v>
      </c>
      <c r="D1123" t="s">
        <v>94</v>
      </c>
      <c r="E1123" t="s">
        <v>52</v>
      </c>
      <c r="F1123">
        <v>7091870</v>
      </c>
      <c r="G1123" t="s">
        <v>162</v>
      </c>
      <c r="H1123" t="s">
        <v>43</v>
      </c>
      <c r="I1123" t="s">
        <v>44</v>
      </c>
      <c r="J1123" t="s">
        <v>163</v>
      </c>
      <c r="K1123" t="s">
        <v>6</v>
      </c>
      <c r="L1123" t="s">
        <v>62</v>
      </c>
      <c r="M1123" t="s">
        <v>1854</v>
      </c>
      <c r="N1123" t="s">
        <v>1855</v>
      </c>
      <c r="O1123" t="s">
        <v>1856</v>
      </c>
      <c r="P1123" t="s">
        <v>1292</v>
      </c>
      <c r="Q1123" t="s">
        <v>46</v>
      </c>
      <c r="R1123" t="s">
        <v>47</v>
      </c>
      <c r="S1123" t="s">
        <v>46</v>
      </c>
      <c r="T1123" t="s">
        <v>46</v>
      </c>
      <c r="U1123" s="4">
        <v>210</v>
      </c>
      <c r="V1123" t="str">
        <f t="shared" si="17"/>
        <v>BCOR</v>
      </c>
      <c r="W1123" t="str">
        <f>VLOOKUP(K1123,[1]Info!A$1:B$21,2,0)</f>
        <v>Equipamentos Carbonização</v>
      </c>
      <c r="X1123" t="str">
        <f>IF(M1123="109595132","Material de Limpeza-Não Avaliar",IF(AND(K1123="F20",M1123&lt;&gt;109595132),IF(RIGHT(F1123,2)="70","Infraestrutura de Planta","Prédios e Instalações"),IF(K1123="FPC",VLOOKUP(F1123,[1]Info!$E$2:$F$11,2,0),IF(K1123="FGP",VLOOKUP(F1123,[1]Info!$E$9:$F$10,2,0),IF(K1123="F10",VLOOKUP(F1123,[1]Info!$E$2:$F$3,2,0),VLOOKUP(K1123,[1]Info!$A$1:$B$21,2,0))))))</f>
        <v>Equipamentos Carbonização</v>
      </c>
    </row>
    <row r="1124" spans="1:24" x14ac:dyDescent="0.35">
      <c r="A1124" t="s">
        <v>41</v>
      </c>
      <c r="B1124" t="s">
        <v>73</v>
      </c>
      <c r="C1124" t="s">
        <v>74</v>
      </c>
      <c r="D1124" t="s">
        <v>94</v>
      </c>
      <c r="E1124" t="s">
        <v>52</v>
      </c>
      <c r="F1124">
        <v>7091770</v>
      </c>
      <c r="G1124" t="s">
        <v>77</v>
      </c>
      <c r="H1124" t="s">
        <v>43</v>
      </c>
      <c r="I1124" t="s">
        <v>44</v>
      </c>
      <c r="J1124" t="s">
        <v>78</v>
      </c>
      <c r="K1124" t="s">
        <v>0</v>
      </c>
      <c r="L1124" t="s">
        <v>59</v>
      </c>
      <c r="M1124" t="s">
        <v>1857</v>
      </c>
      <c r="N1124" t="s">
        <v>1858</v>
      </c>
      <c r="O1124" t="s">
        <v>1211</v>
      </c>
      <c r="P1124" t="s">
        <v>1292</v>
      </c>
      <c r="Q1124" t="s">
        <v>46</v>
      </c>
      <c r="R1124" t="s">
        <v>47</v>
      </c>
      <c r="S1124" t="s">
        <v>46</v>
      </c>
      <c r="T1124" t="s">
        <v>46</v>
      </c>
      <c r="U1124" s="4">
        <v>1870.26</v>
      </c>
      <c r="V1124" t="str">
        <f t="shared" si="17"/>
        <v>-095</v>
      </c>
      <c r="W1124" t="str">
        <f>VLOOKUP(K1124,[1]Info!A$1:B$21,2,0)</f>
        <v>Carboval</v>
      </c>
      <c r="X1124" t="str">
        <f>IF(M1124="109595132","Material de Limpeza-Não Avaliar",IF(AND(K1124="F20",M1124&lt;&gt;109595132),IF(RIGHT(F1124,2)="70","Infraestrutura de Planta","Prédios e Instalações"),IF(K1124="FPC",VLOOKUP(F1124,[1]Info!$E$2:$F$11,2,0),IF(K1124="FGP",VLOOKUP(F1124,[1]Info!$E$9:$F$10,2,0),IF(K1124="F10",VLOOKUP(F1124,[1]Info!$E$2:$F$3,2,0),VLOOKUP(K1124,[1]Info!$A$1:$B$21,2,0))))))</f>
        <v>Carboval Diamante</v>
      </c>
    </row>
    <row r="1125" spans="1:24" x14ac:dyDescent="0.35">
      <c r="A1125" t="s">
        <v>41</v>
      </c>
      <c r="B1125" t="s">
        <v>73</v>
      </c>
      <c r="C1125" t="s">
        <v>74</v>
      </c>
      <c r="D1125" t="s">
        <v>94</v>
      </c>
      <c r="E1125" t="s">
        <v>52</v>
      </c>
      <c r="F1125">
        <v>7091770</v>
      </c>
      <c r="G1125" t="s">
        <v>77</v>
      </c>
      <c r="H1125" t="s">
        <v>43</v>
      </c>
      <c r="I1125" t="s">
        <v>44</v>
      </c>
      <c r="J1125" t="s">
        <v>78</v>
      </c>
      <c r="K1125" t="s">
        <v>0</v>
      </c>
      <c r="L1125" t="s">
        <v>59</v>
      </c>
      <c r="M1125" t="s">
        <v>1197</v>
      </c>
      <c r="N1125" t="s">
        <v>1198</v>
      </c>
      <c r="O1125" t="s">
        <v>1199</v>
      </c>
      <c r="P1125" t="s">
        <v>383</v>
      </c>
      <c r="Q1125" t="s">
        <v>799</v>
      </c>
      <c r="R1125" t="s">
        <v>800</v>
      </c>
      <c r="S1125" t="s">
        <v>46</v>
      </c>
      <c r="T1125" t="s">
        <v>46</v>
      </c>
      <c r="U1125" s="4">
        <v>25.05</v>
      </c>
      <c r="V1125" t="str">
        <f t="shared" si="17"/>
        <v>-095</v>
      </c>
      <c r="W1125" t="str">
        <f>VLOOKUP(K1125,[1]Info!A$1:B$21,2,0)</f>
        <v>Carboval</v>
      </c>
      <c r="X1125" t="str">
        <f>IF(M1125="109595132","Material de Limpeza-Não Avaliar",IF(AND(K1125="F20",M1125&lt;&gt;109595132),IF(RIGHT(F1125,2)="70","Infraestrutura de Planta","Prédios e Instalações"),IF(K1125="FPC",VLOOKUP(F1125,[1]Info!$E$2:$F$11,2,0),IF(K1125="FGP",VLOOKUP(F1125,[1]Info!$E$9:$F$10,2,0),IF(K1125="F10",VLOOKUP(F1125,[1]Info!$E$2:$F$3,2,0),VLOOKUP(K1125,[1]Info!$A$1:$B$21,2,0))))))</f>
        <v>Carboval Diamante</v>
      </c>
    </row>
    <row r="1126" spans="1:24" x14ac:dyDescent="0.35">
      <c r="A1126" t="s">
        <v>41</v>
      </c>
      <c r="B1126" t="s">
        <v>73</v>
      </c>
      <c r="C1126" t="s">
        <v>74</v>
      </c>
      <c r="D1126" t="s">
        <v>94</v>
      </c>
      <c r="E1126" t="s">
        <v>52</v>
      </c>
      <c r="F1126">
        <v>7091770</v>
      </c>
      <c r="G1126" t="s">
        <v>77</v>
      </c>
      <c r="H1126" t="s">
        <v>43</v>
      </c>
      <c r="I1126" t="s">
        <v>44</v>
      </c>
      <c r="J1126" t="s">
        <v>78</v>
      </c>
      <c r="K1126" t="s">
        <v>0</v>
      </c>
      <c r="L1126" t="s">
        <v>59</v>
      </c>
      <c r="M1126" t="s">
        <v>1197</v>
      </c>
      <c r="N1126" t="s">
        <v>1198</v>
      </c>
      <c r="O1126" t="s">
        <v>1199</v>
      </c>
      <c r="P1126" t="s">
        <v>383</v>
      </c>
      <c r="Q1126" t="s">
        <v>810</v>
      </c>
      <c r="R1126" t="s">
        <v>811</v>
      </c>
      <c r="S1126" t="s">
        <v>46</v>
      </c>
      <c r="T1126" t="s">
        <v>46</v>
      </c>
      <c r="U1126" s="4">
        <v>12859.95</v>
      </c>
      <c r="V1126" t="str">
        <f t="shared" si="17"/>
        <v>-095</v>
      </c>
      <c r="W1126" t="str">
        <f>VLOOKUP(K1126,[1]Info!A$1:B$21,2,0)</f>
        <v>Carboval</v>
      </c>
      <c r="X1126" t="str">
        <f>IF(M1126="109595132","Material de Limpeza-Não Avaliar",IF(AND(K1126="F20",M1126&lt;&gt;109595132),IF(RIGHT(F1126,2)="70","Infraestrutura de Planta","Prédios e Instalações"),IF(K1126="FPC",VLOOKUP(F1126,[1]Info!$E$2:$F$11,2,0),IF(K1126="FGP",VLOOKUP(F1126,[1]Info!$E$9:$F$10,2,0),IF(K1126="F10",VLOOKUP(F1126,[1]Info!$E$2:$F$3,2,0),VLOOKUP(K1126,[1]Info!$A$1:$B$21,2,0))))))</f>
        <v>Carboval Diamante</v>
      </c>
    </row>
    <row r="1127" spans="1:24" x14ac:dyDescent="0.35">
      <c r="A1127" t="s">
        <v>41</v>
      </c>
      <c r="B1127" t="s">
        <v>73</v>
      </c>
      <c r="C1127" t="s">
        <v>74</v>
      </c>
      <c r="D1127" t="s">
        <v>94</v>
      </c>
      <c r="E1127" t="s">
        <v>52</v>
      </c>
      <c r="F1127">
        <v>7091770</v>
      </c>
      <c r="G1127" t="s">
        <v>77</v>
      </c>
      <c r="H1127" t="s">
        <v>43</v>
      </c>
      <c r="I1127" t="s">
        <v>44</v>
      </c>
      <c r="J1127" t="s">
        <v>78</v>
      </c>
      <c r="K1127" t="s">
        <v>0</v>
      </c>
      <c r="L1127" t="s">
        <v>59</v>
      </c>
      <c r="M1127" t="s">
        <v>1197</v>
      </c>
      <c r="N1127" t="s">
        <v>1198</v>
      </c>
      <c r="O1127" t="s">
        <v>1199</v>
      </c>
      <c r="P1127" t="s">
        <v>383</v>
      </c>
      <c r="Q1127" t="s">
        <v>1200</v>
      </c>
      <c r="R1127" t="s">
        <v>1201</v>
      </c>
      <c r="S1127" t="s">
        <v>46</v>
      </c>
      <c r="T1127" t="s">
        <v>46</v>
      </c>
      <c r="U1127" s="4">
        <v>7493.51</v>
      </c>
      <c r="V1127" t="str">
        <f t="shared" si="17"/>
        <v>-095</v>
      </c>
      <c r="W1127" t="str">
        <f>VLOOKUP(K1127,[1]Info!A$1:B$21,2,0)</f>
        <v>Carboval</v>
      </c>
      <c r="X1127" t="str">
        <f>IF(M1127="109595132","Material de Limpeza-Não Avaliar",IF(AND(K1127="F20",M1127&lt;&gt;109595132),IF(RIGHT(F1127,2)="70","Infraestrutura de Planta","Prédios e Instalações"),IF(K1127="FPC",VLOOKUP(F1127,[1]Info!$E$2:$F$11,2,0),IF(K1127="FGP",VLOOKUP(F1127,[1]Info!$E$9:$F$10,2,0),IF(K1127="F10",VLOOKUP(F1127,[1]Info!$E$2:$F$3,2,0),VLOOKUP(K1127,[1]Info!$A$1:$B$21,2,0))))))</f>
        <v>Carboval Diamante</v>
      </c>
    </row>
    <row r="1128" spans="1:24" x14ac:dyDescent="0.35">
      <c r="A1128" t="s">
        <v>41</v>
      </c>
      <c r="B1128" t="s">
        <v>73</v>
      </c>
      <c r="C1128" t="s">
        <v>74</v>
      </c>
      <c r="D1128" t="s">
        <v>94</v>
      </c>
      <c r="E1128" t="s">
        <v>52</v>
      </c>
      <c r="F1128">
        <v>7091770</v>
      </c>
      <c r="G1128" t="s">
        <v>77</v>
      </c>
      <c r="H1128" t="s">
        <v>43</v>
      </c>
      <c r="I1128" t="s">
        <v>44</v>
      </c>
      <c r="J1128" t="s">
        <v>78</v>
      </c>
      <c r="K1128" t="s">
        <v>0</v>
      </c>
      <c r="L1128" t="s">
        <v>59</v>
      </c>
      <c r="M1128" t="s">
        <v>1197</v>
      </c>
      <c r="N1128" t="s">
        <v>1198</v>
      </c>
      <c r="O1128" t="s">
        <v>1199</v>
      </c>
      <c r="P1128" t="s">
        <v>383</v>
      </c>
      <c r="Q1128" t="s">
        <v>1202</v>
      </c>
      <c r="R1128" t="s">
        <v>1203</v>
      </c>
      <c r="S1128" t="s">
        <v>46</v>
      </c>
      <c r="T1128" t="s">
        <v>46</v>
      </c>
      <c r="U1128" s="4">
        <v>1248.92</v>
      </c>
      <c r="V1128" t="str">
        <f t="shared" si="17"/>
        <v>-095</v>
      </c>
      <c r="W1128" t="str">
        <f>VLOOKUP(K1128,[1]Info!A$1:B$21,2,0)</f>
        <v>Carboval</v>
      </c>
      <c r="X1128" t="str">
        <f>IF(M1128="109595132","Material de Limpeza-Não Avaliar",IF(AND(K1128="F20",M1128&lt;&gt;109595132),IF(RIGHT(F1128,2)="70","Infraestrutura de Planta","Prédios e Instalações"),IF(K1128="FPC",VLOOKUP(F1128,[1]Info!$E$2:$F$11,2,0),IF(K1128="FGP",VLOOKUP(F1128,[1]Info!$E$9:$F$10,2,0),IF(K1128="F10",VLOOKUP(F1128,[1]Info!$E$2:$F$3,2,0),VLOOKUP(K1128,[1]Info!$A$1:$B$21,2,0))))))</f>
        <v>Carboval Diamante</v>
      </c>
    </row>
    <row r="1129" spans="1:24" x14ac:dyDescent="0.35">
      <c r="A1129" t="s">
        <v>41</v>
      </c>
      <c r="B1129" t="s">
        <v>73</v>
      </c>
      <c r="C1129" t="s">
        <v>74</v>
      </c>
      <c r="D1129" t="s">
        <v>94</v>
      </c>
      <c r="E1129" t="s">
        <v>52</v>
      </c>
      <c r="F1129">
        <v>7091770</v>
      </c>
      <c r="G1129" t="s">
        <v>77</v>
      </c>
      <c r="H1129" t="s">
        <v>43</v>
      </c>
      <c r="I1129" t="s">
        <v>44</v>
      </c>
      <c r="J1129" t="s">
        <v>78</v>
      </c>
      <c r="K1129" t="s">
        <v>0</v>
      </c>
      <c r="L1129" t="s">
        <v>59</v>
      </c>
      <c r="M1129" t="s">
        <v>1197</v>
      </c>
      <c r="N1129" t="s">
        <v>1198</v>
      </c>
      <c r="O1129" t="s">
        <v>1199</v>
      </c>
      <c r="P1129" t="s">
        <v>383</v>
      </c>
      <c r="Q1129" t="s">
        <v>1204</v>
      </c>
      <c r="R1129" t="s">
        <v>1205</v>
      </c>
      <c r="S1129" t="s">
        <v>46</v>
      </c>
      <c r="T1129" t="s">
        <v>46</v>
      </c>
      <c r="U1129" s="4">
        <v>1248.92</v>
      </c>
      <c r="V1129" t="str">
        <f t="shared" si="17"/>
        <v>-095</v>
      </c>
      <c r="W1129" t="str">
        <f>VLOOKUP(K1129,[1]Info!A$1:B$21,2,0)</f>
        <v>Carboval</v>
      </c>
      <c r="X1129" t="str">
        <f>IF(M1129="109595132","Material de Limpeza-Não Avaliar",IF(AND(K1129="F20",M1129&lt;&gt;109595132),IF(RIGHT(F1129,2)="70","Infraestrutura de Planta","Prédios e Instalações"),IF(K1129="FPC",VLOOKUP(F1129,[1]Info!$E$2:$F$11,2,0),IF(K1129="FGP",VLOOKUP(F1129,[1]Info!$E$9:$F$10,2,0),IF(K1129="F10",VLOOKUP(F1129,[1]Info!$E$2:$F$3,2,0),VLOOKUP(K1129,[1]Info!$A$1:$B$21,2,0))))))</f>
        <v>Carboval Diamante</v>
      </c>
    </row>
    <row r="1130" spans="1:24" x14ac:dyDescent="0.35">
      <c r="A1130" t="s">
        <v>41</v>
      </c>
      <c r="B1130" t="s">
        <v>73</v>
      </c>
      <c r="C1130" t="s">
        <v>74</v>
      </c>
      <c r="D1130" t="s">
        <v>94</v>
      </c>
      <c r="E1130" t="s">
        <v>52</v>
      </c>
      <c r="F1130">
        <v>7091770</v>
      </c>
      <c r="G1130" t="s">
        <v>77</v>
      </c>
      <c r="H1130" t="s">
        <v>43</v>
      </c>
      <c r="I1130" t="s">
        <v>44</v>
      </c>
      <c r="J1130" t="s">
        <v>78</v>
      </c>
      <c r="K1130" t="s">
        <v>0</v>
      </c>
      <c r="L1130" t="s">
        <v>59</v>
      </c>
      <c r="M1130" t="s">
        <v>1206</v>
      </c>
      <c r="N1130" t="s">
        <v>1207</v>
      </c>
      <c r="O1130" t="s">
        <v>1208</v>
      </c>
      <c r="P1130" t="s">
        <v>383</v>
      </c>
      <c r="Q1130" t="s">
        <v>799</v>
      </c>
      <c r="R1130" t="s">
        <v>800</v>
      </c>
      <c r="S1130" t="s">
        <v>46</v>
      </c>
      <c r="T1130" t="s">
        <v>46</v>
      </c>
      <c r="U1130" s="4">
        <v>25.05</v>
      </c>
      <c r="V1130" t="str">
        <f t="shared" si="17"/>
        <v>-095</v>
      </c>
      <c r="W1130" t="str">
        <f>VLOOKUP(K1130,[1]Info!A$1:B$21,2,0)</f>
        <v>Carboval</v>
      </c>
      <c r="X1130" t="str">
        <f>IF(M1130="109595132","Material de Limpeza-Não Avaliar",IF(AND(K1130="F20",M1130&lt;&gt;109595132),IF(RIGHT(F1130,2)="70","Infraestrutura de Planta","Prédios e Instalações"),IF(K1130="FPC",VLOOKUP(F1130,[1]Info!$E$2:$F$11,2,0),IF(K1130="FGP",VLOOKUP(F1130,[1]Info!$E$9:$F$10,2,0),IF(K1130="F10",VLOOKUP(F1130,[1]Info!$E$2:$F$3,2,0),VLOOKUP(K1130,[1]Info!$A$1:$B$21,2,0))))))</f>
        <v>Carboval Diamante</v>
      </c>
    </row>
    <row r="1131" spans="1:24" x14ac:dyDescent="0.35">
      <c r="A1131" t="s">
        <v>41</v>
      </c>
      <c r="B1131" t="s">
        <v>73</v>
      </c>
      <c r="C1131" t="s">
        <v>74</v>
      </c>
      <c r="D1131" t="s">
        <v>94</v>
      </c>
      <c r="E1131" t="s">
        <v>52</v>
      </c>
      <c r="F1131">
        <v>7091770</v>
      </c>
      <c r="G1131" t="s">
        <v>77</v>
      </c>
      <c r="H1131" t="s">
        <v>43</v>
      </c>
      <c r="I1131" t="s">
        <v>44</v>
      </c>
      <c r="J1131" t="s">
        <v>78</v>
      </c>
      <c r="K1131" t="s">
        <v>0</v>
      </c>
      <c r="L1131" t="s">
        <v>59</v>
      </c>
      <c r="M1131" t="s">
        <v>365</v>
      </c>
      <c r="N1131" t="s">
        <v>366</v>
      </c>
      <c r="O1131" t="s">
        <v>367</v>
      </c>
      <c r="P1131" t="s">
        <v>1292</v>
      </c>
      <c r="Q1131" t="s">
        <v>46</v>
      </c>
      <c r="R1131" t="s">
        <v>47</v>
      </c>
      <c r="S1131" t="s">
        <v>46</v>
      </c>
      <c r="T1131" t="s">
        <v>46</v>
      </c>
      <c r="U1131" s="4">
        <v>2273</v>
      </c>
      <c r="V1131" t="str">
        <f t="shared" si="17"/>
        <v>-025</v>
      </c>
      <c r="W1131" t="str">
        <f>VLOOKUP(K1131,[1]Info!A$1:B$21,2,0)</f>
        <v>Carboval</v>
      </c>
      <c r="X1131" t="str">
        <f>IF(M1131="109595132","Material de Limpeza-Não Avaliar",IF(AND(K1131="F20",M1131&lt;&gt;109595132),IF(RIGHT(F1131,2)="70","Infraestrutura de Planta","Prédios e Instalações"),IF(K1131="FPC",VLOOKUP(F1131,[1]Info!$E$2:$F$11,2,0),IF(K1131="FGP",VLOOKUP(F1131,[1]Info!$E$9:$F$10,2,0),IF(K1131="F10",VLOOKUP(F1131,[1]Info!$E$2:$F$3,2,0),VLOOKUP(K1131,[1]Info!$A$1:$B$21,2,0))))))</f>
        <v>Carboval Diamante</v>
      </c>
    </row>
    <row r="1132" spans="1:24" x14ac:dyDescent="0.35">
      <c r="A1132" t="s">
        <v>41</v>
      </c>
      <c r="B1132" t="s">
        <v>73</v>
      </c>
      <c r="C1132" t="s">
        <v>74</v>
      </c>
      <c r="D1132" t="s">
        <v>94</v>
      </c>
      <c r="E1132" t="s">
        <v>52</v>
      </c>
      <c r="F1132">
        <v>7091770</v>
      </c>
      <c r="G1132" t="s">
        <v>77</v>
      </c>
      <c r="H1132" t="s">
        <v>43</v>
      </c>
      <c r="I1132" t="s">
        <v>44</v>
      </c>
      <c r="J1132" t="s">
        <v>78</v>
      </c>
      <c r="K1132" t="s">
        <v>0</v>
      </c>
      <c r="L1132" t="s">
        <v>59</v>
      </c>
      <c r="M1132" t="s">
        <v>1209</v>
      </c>
      <c r="N1132" t="s">
        <v>1210</v>
      </c>
      <c r="O1132" t="s">
        <v>1211</v>
      </c>
      <c r="P1132" t="s">
        <v>383</v>
      </c>
      <c r="Q1132" t="s">
        <v>810</v>
      </c>
      <c r="R1132" t="s">
        <v>811</v>
      </c>
      <c r="S1132" t="s">
        <v>46</v>
      </c>
      <c r="T1132" t="s">
        <v>46</v>
      </c>
      <c r="U1132" s="4">
        <v>6426.63</v>
      </c>
      <c r="V1132" t="str">
        <f t="shared" si="17"/>
        <v>-095</v>
      </c>
      <c r="W1132" t="str">
        <f>VLOOKUP(K1132,[1]Info!A$1:B$21,2,0)</f>
        <v>Carboval</v>
      </c>
      <c r="X1132" t="str">
        <f>IF(M1132="109595132","Material de Limpeza-Não Avaliar",IF(AND(K1132="F20",M1132&lt;&gt;109595132),IF(RIGHT(F1132,2)="70","Infraestrutura de Planta","Prédios e Instalações"),IF(K1132="FPC",VLOOKUP(F1132,[1]Info!$E$2:$F$11,2,0),IF(K1132="FGP",VLOOKUP(F1132,[1]Info!$E$9:$F$10,2,0),IF(K1132="F10",VLOOKUP(F1132,[1]Info!$E$2:$F$3,2,0),VLOOKUP(K1132,[1]Info!$A$1:$B$21,2,0))))))</f>
        <v>Carboval Diamante</v>
      </c>
    </row>
    <row r="1133" spans="1:24" x14ac:dyDescent="0.35">
      <c r="A1133" t="s">
        <v>41</v>
      </c>
      <c r="B1133" t="s">
        <v>73</v>
      </c>
      <c r="C1133" t="s">
        <v>74</v>
      </c>
      <c r="D1133" t="s">
        <v>94</v>
      </c>
      <c r="E1133" t="s">
        <v>52</v>
      </c>
      <c r="F1133">
        <v>7091770</v>
      </c>
      <c r="G1133" t="s">
        <v>77</v>
      </c>
      <c r="H1133" t="s">
        <v>43</v>
      </c>
      <c r="I1133" t="s">
        <v>44</v>
      </c>
      <c r="J1133" t="s">
        <v>78</v>
      </c>
      <c r="K1133" t="s">
        <v>0</v>
      </c>
      <c r="L1133" t="s">
        <v>59</v>
      </c>
      <c r="M1133" t="s">
        <v>1209</v>
      </c>
      <c r="N1133" t="s">
        <v>1210</v>
      </c>
      <c r="O1133" t="s">
        <v>1211</v>
      </c>
      <c r="P1133" t="s">
        <v>383</v>
      </c>
      <c r="Q1133" t="s">
        <v>1200</v>
      </c>
      <c r="R1133" t="s">
        <v>1201</v>
      </c>
      <c r="S1133" t="s">
        <v>46</v>
      </c>
      <c r="T1133" t="s">
        <v>46</v>
      </c>
      <c r="U1133" s="4">
        <v>7493.52</v>
      </c>
      <c r="V1133" t="str">
        <f t="shared" si="17"/>
        <v>-095</v>
      </c>
      <c r="W1133" t="str">
        <f>VLOOKUP(K1133,[1]Info!A$1:B$21,2,0)</f>
        <v>Carboval</v>
      </c>
      <c r="X1133" t="str">
        <f>IF(M1133="109595132","Material de Limpeza-Não Avaliar",IF(AND(K1133="F20",M1133&lt;&gt;109595132),IF(RIGHT(F1133,2)="70","Infraestrutura de Planta","Prédios e Instalações"),IF(K1133="FPC",VLOOKUP(F1133,[1]Info!$E$2:$F$11,2,0),IF(K1133="FGP",VLOOKUP(F1133,[1]Info!$E$9:$F$10,2,0),IF(K1133="F10",VLOOKUP(F1133,[1]Info!$E$2:$F$3,2,0),VLOOKUP(K1133,[1]Info!$A$1:$B$21,2,0))))))</f>
        <v>Carboval Diamante</v>
      </c>
    </row>
    <row r="1134" spans="1:24" x14ac:dyDescent="0.35">
      <c r="A1134" t="s">
        <v>41</v>
      </c>
      <c r="B1134" t="s">
        <v>73</v>
      </c>
      <c r="C1134" t="s">
        <v>74</v>
      </c>
      <c r="D1134" t="s">
        <v>94</v>
      </c>
      <c r="E1134" t="s">
        <v>52</v>
      </c>
      <c r="F1134">
        <v>7091770</v>
      </c>
      <c r="G1134" t="s">
        <v>77</v>
      </c>
      <c r="H1134" t="s">
        <v>43</v>
      </c>
      <c r="I1134" t="s">
        <v>44</v>
      </c>
      <c r="J1134" t="s">
        <v>78</v>
      </c>
      <c r="K1134" t="s">
        <v>0</v>
      </c>
      <c r="L1134" t="s">
        <v>59</v>
      </c>
      <c r="M1134" t="s">
        <v>1209</v>
      </c>
      <c r="N1134" t="s">
        <v>1210</v>
      </c>
      <c r="O1134" t="s">
        <v>1211</v>
      </c>
      <c r="P1134" t="s">
        <v>383</v>
      </c>
      <c r="Q1134" t="s">
        <v>1202</v>
      </c>
      <c r="R1134" t="s">
        <v>1203</v>
      </c>
      <c r="S1134" t="s">
        <v>46</v>
      </c>
      <c r="T1134" t="s">
        <v>46</v>
      </c>
      <c r="U1134" s="4">
        <v>1248.93</v>
      </c>
      <c r="V1134" t="str">
        <f t="shared" si="17"/>
        <v>-095</v>
      </c>
      <c r="W1134" t="str">
        <f>VLOOKUP(K1134,[1]Info!A$1:B$21,2,0)</f>
        <v>Carboval</v>
      </c>
      <c r="X1134" t="str">
        <f>IF(M1134="109595132","Material de Limpeza-Não Avaliar",IF(AND(K1134="F20",M1134&lt;&gt;109595132),IF(RIGHT(F1134,2)="70","Infraestrutura de Planta","Prédios e Instalações"),IF(K1134="FPC",VLOOKUP(F1134,[1]Info!$E$2:$F$11,2,0),IF(K1134="FGP",VLOOKUP(F1134,[1]Info!$E$9:$F$10,2,0),IF(K1134="F10",VLOOKUP(F1134,[1]Info!$E$2:$F$3,2,0),VLOOKUP(K1134,[1]Info!$A$1:$B$21,2,0))))))</f>
        <v>Carboval Diamante</v>
      </c>
    </row>
    <row r="1135" spans="1:24" x14ac:dyDescent="0.35">
      <c r="A1135" t="s">
        <v>41</v>
      </c>
      <c r="B1135" t="s">
        <v>73</v>
      </c>
      <c r="C1135" t="s">
        <v>74</v>
      </c>
      <c r="D1135" t="s">
        <v>94</v>
      </c>
      <c r="E1135" t="s">
        <v>52</v>
      </c>
      <c r="F1135">
        <v>7091770</v>
      </c>
      <c r="G1135" t="s">
        <v>77</v>
      </c>
      <c r="H1135" t="s">
        <v>43</v>
      </c>
      <c r="I1135" t="s">
        <v>44</v>
      </c>
      <c r="J1135" t="s">
        <v>78</v>
      </c>
      <c r="K1135" t="s">
        <v>0</v>
      </c>
      <c r="L1135" t="s">
        <v>59</v>
      </c>
      <c r="M1135" t="s">
        <v>1209</v>
      </c>
      <c r="N1135" t="s">
        <v>1210</v>
      </c>
      <c r="O1135" t="s">
        <v>1211</v>
      </c>
      <c r="P1135" t="s">
        <v>383</v>
      </c>
      <c r="Q1135" t="s">
        <v>1204</v>
      </c>
      <c r="R1135" t="s">
        <v>1205</v>
      </c>
      <c r="S1135" t="s">
        <v>46</v>
      </c>
      <c r="T1135" t="s">
        <v>46</v>
      </c>
      <c r="U1135" s="4">
        <v>1248.93</v>
      </c>
      <c r="V1135" t="str">
        <f t="shared" si="17"/>
        <v>-095</v>
      </c>
      <c r="W1135" t="str">
        <f>VLOOKUP(K1135,[1]Info!A$1:B$21,2,0)</f>
        <v>Carboval</v>
      </c>
      <c r="X1135" t="str">
        <f>IF(M1135="109595132","Material de Limpeza-Não Avaliar",IF(AND(K1135="F20",M1135&lt;&gt;109595132),IF(RIGHT(F1135,2)="70","Infraestrutura de Planta","Prédios e Instalações"),IF(K1135="FPC",VLOOKUP(F1135,[1]Info!$E$2:$F$11,2,0),IF(K1135="FGP",VLOOKUP(F1135,[1]Info!$E$9:$F$10,2,0),IF(K1135="F10",VLOOKUP(F1135,[1]Info!$E$2:$F$3,2,0),VLOOKUP(K1135,[1]Info!$A$1:$B$21,2,0))))))</f>
        <v>Carboval Diamante</v>
      </c>
    </row>
    <row r="1136" spans="1:24" x14ac:dyDescent="0.35">
      <c r="A1136" t="s">
        <v>41</v>
      </c>
      <c r="B1136" t="s">
        <v>73</v>
      </c>
      <c r="C1136" t="s">
        <v>74</v>
      </c>
      <c r="D1136" t="s">
        <v>94</v>
      </c>
      <c r="E1136" t="s">
        <v>52</v>
      </c>
      <c r="F1136">
        <v>7091770</v>
      </c>
      <c r="G1136" t="s">
        <v>77</v>
      </c>
      <c r="H1136" t="s">
        <v>43</v>
      </c>
      <c r="I1136" t="s">
        <v>44</v>
      </c>
      <c r="J1136" t="s">
        <v>78</v>
      </c>
      <c r="K1136" t="s">
        <v>0</v>
      </c>
      <c r="L1136" t="s">
        <v>59</v>
      </c>
      <c r="M1136" t="s">
        <v>1212</v>
      </c>
      <c r="N1136" t="s">
        <v>1213</v>
      </c>
      <c r="O1136" t="s">
        <v>1208</v>
      </c>
      <c r="P1136" t="s">
        <v>383</v>
      </c>
      <c r="Q1136" t="s">
        <v>1200</v>
      </c>
      <c r="R1136" t="s">
        <v>1201</v>
      </c>
      <c r="S1136" t="s">
        <v>46</v>
      </c>
      <c r="T1136" t="s">
        <v>46</v>
      </c>
      <c r="U1136" s="4">
        <v>7493.51</v>
      </c>
      <c r="V1136" t="str">
        <f t="shared" si="17"/>
        <v>-095</v>
      </c>
      <c r="W1136" t="str">
        <f>VLOOKUP(K1136,[1]Info!A$1:B$21,2,0)</f>
        <v>Carboval</v>
      </c>
      <c r="X1136" t="str">
        <f>IF(M1136="109595132","Material de Limpeza-Não Avaliar",IF(AND(K1136="F20",M1136&lt;&gt;109595132),IF(RIGHT(F1136,2)="70","Infraestrutura de Planta","Prédios e Instalações"),IF(K1136="FPC",VLOOKUP(F1136,[1]Info!$E$2:$F$11,2,0),IF(K1136="FGP",VLOOKUP(F1136,[1]Info!$E$9:$F$10,2,0),IF(K1136="F10",VLOOKUP(F1136,[1]Info!$E$2:$F$3,2,0),VLOOKUP(K1136,[1]Info!$A$1:$B$21,2,0))))))</f>
        <v>Carboval Diamante</v>
      </c>
    </row>
    <row r="1137" spans="1:24" x14ac:dyDescent="0.35">
      <c r="A1137" t="s">
        <v>41</v>
      </c>
      <c r="B1137" t="s">
        <v>73</v>
      </c>
      <c r="C1137" t="s">
        <v>74</v>
      </c>
      <c r="D1137" t="s">
        <v>94</v>
      </c>
      <c r="E1137" t="s">
        <v>52</v>
      </c>
      <c r="F1137">
        <v>7091770</v>
      </c>
      <c r="G1137" t="s">
        <v>77</v>
      </c>
      <c r="H1137" t="s">
        <v>43</v>
      </c>
      <c r="I1137" t="s">
        <v>44</v>
      </c>
      <c r="J1137" t="s">
        <v>78</v>
      </c>
      <c r="K1137" t="s">
        <v>0</v>
      </c>
      <c r="L1137" t="s">
        <v>59</v>
      </c>
      <c r="M1137" t="s">
        <v>1212</v>
      </c>
      <c r="N1137" t="s">
        <v>1213</v>
      </c>
      <c r="O1137" t="s">
        <v>1208</v>
      </c>
      <c r="P1137" t="s">
        <v>383</v>
      </c>
      <c r="Q1137" t="s">
        <v>1202</v>
      </c>
      <c r="R1137" t="s">
        <v>1203</v>
      </c>
      <c r="S1137" t="s">
        <v>46</v>
      </c>
      <c r="T1137" t="s">
        <v>46</v>
      </c>
      <c r="U1137" s="4">
        <v>1248.92</v>
      </c>
      <c r="V1137" t="str">
        <f t="shared" si="17"/>
        <v>-095</v>
      </c>
      <c r="W1137" t="str">
        <f>VLOOKUP(K1137,[1]Info!A$1:B$21,2,0)</f>
        <v>Carboval</v>
      </c>
      <c r="X1137" t="str">
        <f>IF(M1137="109595132","Material de Limpeza-Não Avaliar",IF(AND(K1137="F20",M1137&lt;&gt;109595132),IF(RIGHT(F1137,2)="70","Infraestrutura de Planta","Prédios e Instalações"),IF(K1137="FPC",VLOOKUP(F1137,[1]Info!$E$2:$F$11,2,0),IF(K1137="FGP",VLOOKUP(F1137,[1]Info!$E$9:$F$10,2,0),IF(K1137="F10",VLOOKUP(F1137,[1]Info!$E$2:$F$3,2,0),VLOOKUP(K1137,[1]Info!$A$1:$B$21,2,0))))))</f>
        <v>Carboval Diamante</v>
      </c>
    </row>
    <row r="1138" spans="1:24" x14ac:dyDescent="0.35">
      <c r="A1138" t="s">
        <v>41</v>
      </c>
      <c r="B1138" t="s">
        <v>73</v>
      </c>
      <c r="C1138" t="s">
        <v>74</v>
      </c>
      <c r="D1138" t="s">
        <v>94</v>
      </c>
      <c r="E1138" t="s">
        <v>52</v>
      </c>
      <c r="F1138">
        <v>7091770</v>
      </c>
      <c r="G1138" t="s">
        <v>77</v>
      </c>
      <c r="H1138" t="s">
        <v>43</v>
      </c>
      <c r="I1138" t="s">
        <v>44</v>
      </c>
      <c r="J1138" t="s">
        <v>78</v>
      </c>
      <c r="K1138" t="s">
        <v>0</v>
      </c>
      <c r="L1138" t="s">
        <v>59</v>
      </c>
      <c r="M1138" t="s">
        <v>1212</v>
      </c>
      <c r="N1138" t="s">
        <v>1213</v>
      </c>
      <c r="O1138" t="s">
        <v>1208</v>
      </c>
      <c r="P1138" t="s">
        <v>383</v>
      </c>
      <c r="Q1138" t="s">
        <v>1204</v>
      </c>
      <c r="R1138" t="s">
        <v>1205</v>
      </c>
      <c r="S1138" t="s">
        <v>46</v>
      </c>
      <c r="T1138" t="s">
        <v>46</v>
      </c>
      <c r="U1138" s="4">
        <v>1248.92</v>
      </c>
      <c r="V1138" t="str">
        <f t="shared" si="17"/>
        <v>-095</v>
      </c>
      <c r="W1138" t="str">
        <f>VLOOKUP(K1138,[1]Info!A$1:B$21,2,0)</f>
        <v>Carboval</v>
      </c>
      <c r="X1138" t="str">
        <f>IF(M1138="109595132","Material de Limpeza-Não Avaliar",IF(AND(K1138="F20",M1138&lt;&gt;109595132),IF(RIGHT(F1138,2)="70","Infraestrutura de Planta","Prédios e Instalações"),IF(K1138="FPC",VLOOKUP(F1138,[1]Info!$E$2:$F$11,2,0),IF(K1138="FGP",VLOOKUP(F1138,[1]Info!$E$9:$F$10,2,0),IF(K1138="F10",VLOOKUP(F1138,[1]Info!$E$2:$F$3,2,0),VLOOKUP(K1138,[1]Info!$A$1:$B$21,2,0))))))</f>
        <v>Carboval Diamante</v>
      </c>
    </row>
    <row r="1139" spans="1:24" x14ac:dyDescent="0.35">
      <c r="A1139" t="s">
        <v>41</v>
      </c>
      <c r="B1139" t="s">
        <v>73</v>
      </c>
      <c r="C1139" t="s">
        <v>74</v>
      </c>
      <c r="D1139" t="s">
        <v>94</v>
      </c>
      <c r="E1139" t="s">
        <v>52</v>
      </c>
      <c r="F1139">
        <v>7091770</v>
      </c>
      <c r="G1139" t="s">
        <v>77</v>
      </c>
      <c r="H1139" t="s">
        <v>43</v>
      </c>
      <c r="I1139" t="s">
        <v>44</v>
      </c>
      <c r="J1139" t="s">
        <v>78</v>
      </c>
      <c r="K1139" t="s">
        <v>0</v>
      </c>
      <c r="L1139" t="s">
        <v>51</v>
      </c>
      <c r="M1139" t="s">
        <v>1859</v>
      </c>
      <c r="N1139" t="s">
        <v>1860</v>
      </c>
      <c r="O1139" t="s">
        <v>1861</v>
      </c>
      <c r="P1139" t="s">
        <v>1292</v>
      </c>
      <c r="Q1139" t="s">
        <v>46</v>
      </c>
      <c r="R1139" t="s">
        <v>47</v>
      </c>
      <c r="S1139" t="s">
        <v>46</v>
      </c>
      <c r="T1139" t="s">
        <v>46</v>
      </c>
      <c r="U1139" s="4">
        <v>2556.9</v>
      </c>
      <c r="V1139" t="str">
        <f t="shared" si="17"/>
        <v>0040</v>
      </c>
      <c r="W1139" t="str">
        <f>VLOOKUP(K1139,[1]Info!A$1:B$21,2,0)</f>
        <v>Carboval</v>
      </c>
      <c r="X1139" t="str">
        <f>IF(M1139="109595132","Material de Limpeza-Não Avaliar",IF(AND(K1139="F20",M1139&lt;&gt;109595132),IF(RIGHT(F1139,2)="70","Infraestrutura de Planta","Prédios e Instalações"),IF(K1139="FPC",VLOOKUP(F1139,[1]Info!$E$2:$F$11,2,0),IF(K1139="FGP",VLOOKUP(F1139,[1]Info!$E$9:$F$10,2,0),IF(K1139="F10",VLOOKUP(F1139,[1]Info!$E$2:$F$3,2,0),VLOOKUP(K1139,[1]Info!$A$1:$B$21,2,0))))))</f>
        <v>Carboval Diamante</v>
      </c>
    </row>
    <row r="1140" spans="1:24" x14ac:dyDescent="0.35">
      <c r="A1140" t="s">
        <v>41</v>
      </c>
      <c r="B1140" t="s">
        <v>73</v>
      </c>
      <c r="C1140" t="s">
        <v>74</v>
      </c>
      <c r="D1140" t="s">
        <v>94</v>
      </c>
      <c r="E1140" t="s">
        <v>52</v>
      </c>
      <c r="F1140">
        <v>7091770</v>
      </c>
      <c r="G1140" t="s">
        <v>77</v>
      </c>
      <c r="H1140" t="s">
        <v>43</v>
      </c>
      <c r="I1140" t="s">
        <v>44</v>
      </c>
      <c r="J1140" t="s">
        <v>78</v>
      </c>
      <c r="K1140" t="s">
        <v>0</v>
      </c>
      <c r="L1140" t="s">
        <v>51</v>
      </c>
      <c r="M1140" t="s">
        <v>1214</v>
      </c>
      <c r="N1140" t="s">
        <v>1215</v>
      </c>
      <c r="O1140" t="s">
        <v>1216</v>
      </c>
      <c r="P1140" t="s">
        <v>383</v>
      </c>
      <c r="Q1140" t="s">
        <v>1217</v>
      </c>
      <c r="R1140" t="s">
        <v>1218</v>
      </c>
      <c r="S1140" t="s">
        <v>46</v>
      </c>
      <c r="T1140" t="s">
        <v>46</v>
      </c>
      <c r="U1140" s="4">
        <v>17252.12</v>
      </c>
      <c r="V1140" t="str">
        <f t="shared" si="17"/>
        <v>0080</v>
      </c>
      <c r="W1140" t="str">
        <f>VLOOKUP(K1140,[1]Info!A$1:B$21,2,0)</f>
        <v>Carboval</v>
      </c>
      <c r="X1140" t="str">
        <f>IF(M1140="109595132","Material de Limpeza-Não Avaliar",IF(AND(K1140="F20",M1140&lt;&gt;109595132),IF(RIGHT(F1140,2)="70","Infraestrutura de Planta","Prédios e Instalações"),IF(K1140="FPC",VLOOKUP(F1140,[1]Info!$E$2:$F$11,2,0),IF(K1140="FGP",VLOOKUP(F1140,[1]Info!$E$9:$F$10,2,0),IF(K1140="F10",VLOOKUP(F1140,[1]Info!$E$2:$F$3,2,0),VLOOKUP(K1140,[1]Info!$A$1:$B$21,2,0))))))</f>
        <v>Carboval Diamante</v>
      </c>
    </row>
    <row r="1141" spans="1:24" x14ac:dyDescent="0.35">
      <c r="A1141" t="s">
        <v>41</v>
      </c>
      <c r="B1141" t="s">
        <v>73</v>
      </c>
      <c r="C1141" t="s">
        <v>74</v>
      </c>
      <c r="D1141" t="s">
        <v>94</v>
      </c>
      <c r="E1141" t="s">
        <v>52</v>
      </c>
      <c r="F1141">
        <v>7091770</v>
      </c>
      <c r="G1141" t="s">
        <v>77</v>
      </c>
      <c r="H1141" t="s">
        <v>43</v>
      </c>
      <c r="I1141" t="s">
        <v>44</v>
      </c>
      <c r="J1141" t="s">
        <v>78</v>
      </c>
      <c r="K1141" t="s">
        <v>0</v>
      </c>
      <c r="L1141" t="s">
        <v>51</v>
      </c>
      <c r="M1141" t="s">
        <v>1862</v>
      </c>
      <c r="N1141" t="s">
        <v>1863</v>
      </c>
      <c r="O1141" t="s">
        <v>338</v>
      </c>
      <c r="P1141" t="s">
        <v>1292</v>
      </c>
      <c r="Q1141" t="s">
        <v>46</v>
      </c>
      <c r="R1141" t="s">
        <v>47</v>
      </c>
      <c r="S1141" t="s">
        <v>46</v>
      </c>
      <c r="T1141" t="s">
        <v>46</v>
      </c>
      <c r="U1141" s="4">
        <v>1057.3399999999999</v>
      </c>
      <c r="V1141" t="str">
        <f t="shared" si="17"/>
        <v>0035</v>
      </c>
      <c r="W1141" t="str">
        <f>VLOOKUP(K1141,[1]Info!A$1:B$21,2,0)</f>
        <v>Carboval</v>
      </c>
      <c r="X1141" t="str">
        <f>IF(M1141="109595132","Material de Limpeza-Não Avaliar",IF(AND(K1141="F20",M1141&lt;&gt;109595132),IF(RIGHT(F1141,2)="70","Infraestrutura de Planta","Prédios e Instalações"),IF(K1141="FPC",VLOOKUP(F1141,[1]Info!$E$2:$F$11,2,0),IF(K1141="FGP",VLOOKUP(F1141,[1]Info!$E$9:$F$10,2,0),IF(K1141="F10",VLOOKUP(F1141,[1]Info!$E$2:$F$3,2,0),VLOOKUP(K1141,[1]Info!$A$1:$B$21,2,0))))))</f>
        <v>Carboval Diamante</v>
      </c>
    </row>
    <row r="1142" spans="1:24" x14ac:dyDescent="0.35">
      <c r="A1142" t="s">
        <v>41</v>
      </c>
      <c r="B1142" t="s">
        <v>73</v>
      </c>
      <c r="C1142" t="s">
        <v>74</v>
      </c>
      <c r="D1142" t="s">
        <v>94</v>
      </c>
      <c r="E1142" t="s">
        <v>52</v>
      </c>
      <c r="F1142">
        <v>7091770</v>
      </c>
      <c r="G1142" t="s">
        <v>77</v>
      </c>
      <c r="H1142" t="s">
        <v>43</v>
      </c>
      <c r="I1142" t="s">
        <v>44</v>
      </c>
      <c r="J1142" t="s">
        <v>78</v>
      </c>
      <c r="K1142" t="s">
        <v>0</v>
      </c>
      <c r="L1142" t="s">
        <v>51</v>
      </c>
      <c r="M1142" t="s">
        <v>1219</v>
      </c>
      <c r="N1142" t="s">
        <v>1220</v>
      </c>
      <c r="O1142" t="s">
        <v>1211</v>
      </c>
      <c r="P1142" t="s">
        <v>383</v>
      </c>
      <c r="Q1142" t="s">
        <v>810</v>
      </c>
      <c r="R1142" t="s">
        <v>811</v>
      </c>
      <c r="S1142" t="s">
        <v>46</v>
      </c>
      <c r="T1142" t="s">
        <v>46</v>
      </c>
      <c r="U1142" s="4">
        <v>6433.32</v>
      </c>
      <c r="V1142" t="str">
        <f t="shared" si="17"/>
        <v>-095</v>
      </c>
      <c r="W1142" t="str">
        <f>VLOOKUP(K1142,[1]Info!A$1:B$21,2,0)</f>
        <v>Carboval</v>
      </c>
      <c r="X1142" t="str">
        <f>IF(M1142="109595132","Material de Limpeza-Não Avaliar",IF(AND(K1142="F20",M1142&lt;&gt;109595132),IF(RIGHT(F1142,2)="70","Infraestrutura de Planta","Prédios e Instalações"),IF(K1142="FPC",VLOOKUP(F1142,[1]Info!$E$2:$F$11,2,0),IF(K1142="FGP",VLOOKUP(F1142,[1]Info!$E$9:$F$10,2,0),IF(K1142="F10",VLOOKUP(F1142,[1]Info!$E$2:$F$3,2,0),VLOOKUP(K1142,[1]Info!$A$1:$B$21,2,0))))))</f>
        <v>Carboval Diamante</v>
      </c>
    </row>
    <row r="1143" spans="1:24" x14ac:dyDescent="0.35">
      <c r="A1143" t="s">
        <v>41</v>
      </c>
      <c r="B1143" t="s">
        <v>73</v>
      </c>
      <c r="C1143" t="s">
        <v>74</v>
      </c>
      <c r="D1143" t="s">
        <v>94</v>
      </c>
      <c r="E1143" t="s">
        <v>52</v>
      </c>
      <c r="F1143">
        <v>7091770</v>
      </c>
      <c r="G1143" t="s">
        <v>77</v>
      </c>
      <c r="H1143" t="s">
        <v>43</v>
      </c>
      <c r="I1143" t="s">
        <v>44</v>
      </c>
      <c r="J1143" t="s">
        <v>78</v>
      </c>
      <c r="K1143" t="s">
        <v>0</v>
      </c>
      <c r="L1143" t="s">
        <v>51</v>
      </c>
      <c r="M1143" t="s">
        <v>1221</v>
      </c>
      <c r="N1143" t="s">
        <v>1222</v>
      </c>
      <c r="O1143" t="s">
        <v>1223</v>
      </c>
      <c r="P1143" t="s">
        <v>383</v>
      </c>
      <c r="Q1143" t="s">
        <v>1217</v>
      </c>
      <c r="R1143" t="s">
        <v>1218</v>
      </c>
      <c r="S1143" t="s">
        <v>46</v>
      </c>
      <c r="T1143" t="s">
        <v>46</v>
      </c>
      <c r="U1143" s="4">
        <v>17252.13</v>
      </c>
      <c r="V1143" t="str">
        <f t="shared" si="17"/>
        <v>0050</v>
      </c>
      <c r="W1143" t="str">
        <f>VLOOKUP(K1143,[1]Info!A$1:B$21,2,0)</f>
        <v>Carboval</v>
      </c>
      <c r="X1143" t="str">
        <f>IF(M1143="109595132","Material de Limpeza-Não Avaliar",IF(AND(K1143="F20",M1143&lt;&gt;109595132),IF(RIGHT(F1143,2)="70","Infraestrutura de Planta","Prédios e Instalações"),IF(K1143="FPC",VLOOKUP(F1143,[1]Info!$E$2:$F$11,2,0),IF(K1143="FGP",VLOOKUP(F1143,[1]Info!$E$9:$F$10,2,0),IF(K1143="F10",VLOOKUP(F1143,[1]Info!$E$2:$F$3,2,0),VLOOKUP(K1143,[1]Info!$A$1:$B$21,2,0))))))</f>
        <v>Carboval Diamante</v>
      </c>
    </row>
    <row r="1144" spans="1:24" x14ac:dyDescent="0.35">
      <c r="A1144" t="s">
        <v>41</v>
      </c>
      <c r="B1144" t="s">
        <v>73</v>
      </c>
      <c r="C1144" t="s">
        <v>74</v>
      </c>
      <c r="D1144" t="s">
        <v>94</v>
      </c>
      <c r="E1144" t="s">
        <v>52</v>
      </c>
      <c r="F1144">
        <v>7091770</v>
      </c>
      <c r="G1144" t="s">
        <v>77</v>
      </c>
      <c r="H1144" t="s">
        <v>43</v>
      </c>
      <c r="I1144" t="s">
        <v>44</v>
      </c>
      <c r="J1144" t="s">
        <v>78</v>
      </c>
      <c r="K1144" t="s">
        <v>0</v>
      </c>
      <c r="L1144" t="s">
        <v>51</v>
      </c>
      <c r="M1144" t="s">
        <v>230</v>
      </c>
      <c r="N1144" t="s">
        <v>231</v>
      </c>
      <c r="O1144" t="s">
        <v>232</v>
      </c>
      <c r="P1144" t="s">
        <v>1292</v>
      </c>
      <c r="Q1144" t="s">
        <v>46</v>
      </c>
      <c r="R1144" t="s">
        <v>47</v>
      </c>
      <c r="S1144" t="s">
        <v>46</v>
      </c>
      <c r="T1144" t="s">
        <v>46</v>
      </c>
      <c r="U1144" s="4">
        <v>8950</v>
      </c>
      <c r="V1144" t="str">
        <f t="shared" si="17"/>
        <v>-005</v>
      </c>
      <c r="W1144" t="str">
        <f>VLOOKUP(K1144,[1]Info!A$1:B$21,2,0)</f>
        <v>Carboval</v>
      </c>
      <c r="X1144" t="str">
        <f>IF(M1144="109595132","Material de Limpeza-Não Avaliar",IF(AND(K1144="F20",M1144&lt;&gt;109595132),IF(RIGHT(F1144,2)="70","Infraestrutura de Planta","Prédios e Instalações"),IF(K1144="FPC",VLOOKUP(F1144,[1]Info!$E$2:$F$11,2,0),IF(K1144="FGP",VLOOKUP(F1144,[1]Info!$E$9:$F$10,2,0),IF(K1144="F10",VLOOKUP(F1144,[1]Info!$E$2:$F$3,2,0),VLOOKUP(K1144,[1]Info!$A$1:$B$21,2,0))))))</f>
        <v>Carboval Diamante</v>
      </c>
    </row>
    <row r="1145" spans="1:24" x14ac:dyDescent="0.35">
      <c r="A1145" t="s">
        <v>41</v>
      </c>
      <c r="B1145" t="s">
        <v>73</v>
      </c>
      <c r="C1145" t="s">
        <v>74</v>
      </c>
      <c r="D1145" t="s">
        <v>94</v>
      </c>
      <c r="E1145" t="s">
        <v>52</v>
      </c>
      <c r="F1145">
        <v>7091370</v>
      </c>
      <c r="G1145" t="s">
        <v>242</v>
      </c>
      <c r="H1145" t="s">
        <v>43</v>
      </c>
      <c r="I1145" t="s">
        <v>44</v>
      </c>
      <c r="J1145" t="s">
        <v>50</v>
      </c>
      <c r="K1145" t="s">
        <v>6</v>
      </c>
      <c r="L1145" t="s">
        <v>62</v>
      </c>
      <c r="M1145" t="s">
        <v>1224</v>
      </c>
      <c r="N1145" t="s">
        <v>1225</v>
      </c>
      <c r="O1145" t="s">
        <v>1226</v>
      </c>
      <c r="P1145" t="s">
        <v>383</v>
      </c>
      <c r="Q1145" t="s">
        <v>1227</v>
      </c>
      <c r="R1145" t="s">
        <v>1228</v>
      </c>
      <c r="S1145" t="s">
        <v>46</v>
      </c>
      <c r="T1145" t="s">
        <v>46</v>
      </c>
      <c r="U1145" s="4">
        <v>63.92</v>
      </c>
      <c r="V1145" t="str">
        <f t="shared" si="17"/>
        <v>BPIN</v>
      </c>
      <c r="W1145" t="str">
        <f>VLOOKUP(K1145,[1]Info!A$1:B$21,2,0)</f>
        <v>Equipamentos Carbonização</v>
      </c>
      <c r="X1145" t="str">
        <f>IF(M1145="109595132","Material de Limpeza-Não Avaliar",IF(AND(K1145="F20",M1145&lt;&gt;109595132),IF(RIGHT(F1145,2)="70","Infraestrutura de Planta","Prédios e Instalações"),IF(K1145="FPC",VLOOKUP(F1145,[1]Info!$E$2:$F$11,2,0),IF(K1145="FGP",VLOOKUP(F1145,[1]Info!$E$9:$F$10,2,0),IF(K1145="F10",VLOOKUP(F1145,[1]Info!$E$2:$F$3,2,0),VLOOKUP(K1145,[1]Info!$A$1:$B$21,2,0))))))</f>
        <v>Equipamentos Carbonização</v>
      </c>
    </row>
    <row r="1146" spans="1:24" x14ac:dyDescent="0.35">
      <c r="A1146" t="s">
        <v>41</v>
      </c>
      <c r="B1146" t="s">
        <v>73</v>
      </c>
      <c r="C1146" t="s">
        <v>74</v>
      </c>
      <c r="D1146" t="s">
        <v>94</v>
      </c>
      <c r="E1146" t="s">
        <v>52</v>
      </c>
      <c r="F1146">
        <v>7091370</v>
      </c>
      <c r="G1146" t="s">
        <v>242</v>
      </c>
      <c r="H1146" t="s">
        <v>43</v>
      </c>
      <c r="I1146" t="s">
        <v>44</v>
      </c>
      <c r="J1146" t="s">
        <v>50</v>
      </c>
      <c r="K1146" t="s">
        <v>5</v>
      </c>
      <c r="L1146" t="s">
        <v>148</v>
      </c>
      <c r="M1146" t="s">
        <v>1100</v>
      </c>
      <c r="N1146" t="s">
        <v>1101</v>
      </c>
      <c r="O1146" t="s">
        <v>1102</v>
      </c>
      <c r="P1146" t="s">
        <v>383</v>
      </c>
      <c r="Q1146" t="s">
        <v>1193</v>
      </c>
      <c r="R1146" t="s">
        <v>1194</v>
      </c>
      <c r="S1146" t="s">
        <v>46</v>
      </c>
      <c r="T1146" t="s">
        <v>46</v>
      </c>
      <c r="U1146" s="4">
        <v>12.2</v>
      </c>
      <c r="V1146" t="str">
        <f t="shared" si="17"/>
        <v>-035</v>
      </c>
      <c r="W1146" t="str">
        <f>VLOOKUP(K1146,[1]Info!A$1:B$21,2,0)</f>
        <v>Fornos / Carbonização (Setup)</v>
      </c>
      <c r="X1146" t="str">
        <f>IF(M1146="109595132","Material de Limpeza-Não Avaliar",IF(AND(K1146="F20",M1146&lt;&gt;109595132),IF(RIGHT(F1146,2)="70","Infraestrutura de Planta","Prédios e Instalações"),IF(K1146="FPC",VLOOKUP(F1146,[1]Info!$E$2:$F$11,2,0),IF(K1146="FGP",VLOOKUP(F1146,[1]Info!$E$9:$F$10,2,0),IF(K1146="F10",VLOOKUP(F1146,[1]Info!$E$2:$F$3,2,0),VLOOKUP(K1146,[1]Info!$A$1:$B$21,2,0))))))</f>
        <v>Fornos / Carbonização (Setup)</v>
      </c>
    </row>
    <row r="1147" spans="1:24" x14ac:dyDescent="0.35">
      <c r="A1147" t="s">
        <v>41</v>
      </c>
      <c r="B1147" t="s">
        <v>73</v>
      </c>
      <c r="C1147" t="s">
        <v>74</v>
      </c>
      <c r="D1147" t="s">
        <v>94</v>
      </c>
      <c r="E1147" t="s">
        <v>52</v>
      </c>
      <c r="F1147">
        <v>7091370</v>
      </c>
      <c r="G1147" t="s">
        <v>242</v>
      </c>
      <c r="H1147" t="s">
        <v>43</v>
      </c>
      <c r="I1147" t="s">
        <v>44</v>
      </c>
      <c r="J1147" t="s">
        <v>50</v>
      </c>
      <c r="K1147" t="s">
        <v>5</v>
      </c>
      <c r="L1147" t="s">
        <v>148</v>
      </c>
      <c r="M1147" t="s">
        <v>1100</v>
      </c>
      <c r="N1147" t="s">
        <v>1101</v>
      </c>
      <c r="O1147" t="s">
        <v>1102</v>
      </c>
      <c r="P1147" t="s">
        <v>383</v>
      </c>
      <c r="Q1147" t="s">
        <v>1195</v>
      </c>
      <c r="R1147" t="s">
        <v>1196</v>
      </c>
      <c r="S1147" t="s">
        <v>46</v>
      </c>
      <c r="T1147" t="s">
        <v>46</v>
      </c>
      <c r="U1147" s="4">
        <v>61.49</v>
      </c>
      <c r="V1147" t="str">
        <f t="shared" si="17"/>
        <v>-035</v>
      </c>
      <c r="W1147" t="str">
        <f>VLOOKUP(K1147,[1]Info!A$1:B$21,2,0)</f>
        <v>Fornos / Carbonização (Setup)</v>
      </c>
      <c r="X1147" t="str">
        <f>IF(M1147="109595132","Material de Limpeza-Não Avaliar",IF(AND(K1147="F20",M1147&lt;&gt;109595132),IF(RIGHT(F1147,2)="70","Infraestrutura de Planta","Prédios e Instalações"),IF(K1147="FPC",VLOOKUP(F1147,[1]Info!$E$2:$F$11,2,0),IF(K1147="FGP",VLOOKUP(F1147,[1]Info!$E$9:$F$10,2,0),IF(K1147="F10",VLOOKUP(F1147,[1]Info!$E$2:$F$3,2,0),VLOOKUP(K1147,[1]Info!$A$1:$B$21,2,0))))))</f>
        <v>Fornos / Carbonização (Setup)</v>
      </c>
    </row>
    <row r="1148" spans="1:24" x14ac:dyDescent="0.35">
      <c r="A1148" t="s">
        <v>41</v>
      </c>
      <c r="B1148" t="s">
        <v>73</v>
      </c>
      <c r="C1148" t="s">
        <v>74</v>
      </c>
      <c r="D1148" t="s">
        <v>94</v>
      </c>
      <c r="E1148" t="s">
        <v>52</v>
      </c>
      <c r="F1148">
        <v>7091370</v>
      </c>
      <c r="G1148" t="s">
        <v>242</v>
      </c>
      <c r="H1148" t="s">
        <v>43</v>
      </c>
      <c r="I1148" t="s">
        <v>44</v>
      </c>
      <c r="J1148" t="s">
        <v>50</v>
      </c>
      <c r="K1148" t="s">
        <v>5</v>
      </c>
      <c r="L1148" t="s">
        <v>148</v>
      </c>
      <c r="M1148" t="s">
        <v>1103</v>
      </c>
      <c r="N1148" t="s">
        <v>1104</v>
      </c>
      <c r="O1148" t="s">
        <v>1105</v>
      </c>
      <c r="P1148" t="s">
        <v>383</v>
      </c>
      <c r="Q1148" t="s">
        <v>1193</v>
      </c>
      <c r="R1148" t="s">
        <v>1194</v>
      </c>
      <c r="S1148" t="s">
        <v>46</v>
      </c>
      <c r="T1148" t="s">
        <v>46</v>
      </c>
      <c r="U1148" s="4">
        <v>12.2</v>
      </c>
      <c r="V1148" t="str">
        <f t="shared" si="17"/>
        <v>-035</v>
      </c>
      <c r="W1148" t="str">
        <f>VLOOKUP(K1148,[1]Info!A$1:B$21,2,0)</f>
        <v>Fornos / Carbonização (Setup)</v>
      </c>
      <c r="X1148" t="str">
        <f>IF(M1148="109595132","Material de Limpeza-Não Avaliar",IF(AND(K1148="F20",M1148&lt;&gt;109595132),IF(RIGHT(F1148,2)="70","Infraestrutura de Planta","Prédios e Instalações"),IF(K1148="FPC",VLOOKUP(F1148,[1]Info!$E$2:$F$11,2,0),IF(K1148="FGP",VLOOKUP(F1148,[1]Info!$E$9:$F$10,2,0),IF(K1148="F10",VLOOKUP(F1148,[1]Info!$E$2:$F$3,2,0),VLOOKUP(K1148,[1]Info!$A$1:$B$21,2,0))))))</f>
        <v>Fornos / Carbonização (Setup)</v>
      </c>
    </row>
    <row r="1149" spans="1:24" x14ac:dyDescent="0.35">
      <c r="A1149" t="s">
        <v>41</v>
      </c>
      <c r="B1149" t="s">
        <v>73</v>
      </c>
      <c r="C1149" t="s">
        <v>74</v>
      </c>
      <c r="D1149" t="s">
        <v>94</v>
      </c>
      <c r="E1149" t="s">
        <v>52</v>
      </c>
      <c r="F1149">
        <v>7091370</v>
      </c>
      <c r="G1149" t="s">
        <v>242</v>
      </c>
      <c r="H1149" t="s">
        <v>43</v>
      </c>
      <c r="I1149" t="s">
        <v>44</v>
      </c>
      <c r="J1149" t="s">
        <v>50</v>
      </c>
      <c r="K1149" t="s">
        <v>5</v>
      </c>
      <c r="L1149" t="s">
        <v>148</v>
      </c>
      <c r="M1149" t="s">
        <v>1103</v>
      </c>
      <c r="N1149" t="s">
        <v>1104</v>
      </c>
      <c r="O1149" t="s">
        <v>1105</v>
      </c>
      <c r="P1149" t="s">
        <v>383</v>
      </c>
      <c r="Q1149" t="s">
        <v>1195</v>
      </c>
      <c r="R1149" t="s">
        <v>1196</v>
      </c>
      <c r="S1149" t="s">
        <v>46</v>
      </c>
      <c r="T1149" t="s">
        <v>46</v>
      </c>
      <c r="U1149" s="4">
        <v>61.49</v>
      </c>
      <c r="V1149" t="str">
        <f t="shared" si="17"/>
        <v>-035</v>
      </c>
      <c r="W1149" t="str">
        <f>VLOOKUP(K1149,[1]Info!A$1:B$21,2,0)</f>
        <v>Fornos / Carbonização (Setup)</v>
      </c>
      <c r="X1149" t="str">
        <f>IF(M1149="109595132","Material de Limpeza-Não Avaliar",IF(AND(K1149="F20",M1149&lt;&gt;109595132),IF(RIGHT(F1149,2)="70","Infraestrutura de Planta","Prédios e Instalações"),IF(K1149="FPC",VLOOKUP(F1149,[1]Info!$E$2:$F$11,2,0),IF(K1149="FGP",VLOOKUP(F1149,[1]Info!$E$9:$F$10,2,0),IF(K1149="F10",VLOOKUP(F1149,[1]Info!$E$2:$F$3,2,0),VLOOKUP(K1149,[1]Info!$A$1:$B$21,2,0))))))</f>
        <v>Fornos / Carbonização (Setup)</v>
      </c>
    </row>
    <row r="1150" spans="1:24" x14ac:dyDescent="0.35">
      <c r="A1150" t="s">
        <v>41</v>
      </c>
      <c r="B1150" t="s">
        <v>73</v>
      </c>
      <c r="C1150" t="s">
        <v>74</v>
      </c>
      <c r="D1150" t="s">
        <v>94</v>
      </c>
      <c r="E1150" t="s">
        <v>52</v>
      </c>
      <c r="F1150">
        <v>7091370</v>
      </c>
      <c r="G1150" t="s">
        <v>242</v>
      </c>
      <c r="H1150" t="s">
        <v>43</v>
      </c>
      <c r="I1150" t="s">
        <v>44</v>
      </c>
      <c r="J1150" t="s">
        <v>50</v>
      </c>
      <c r="K1150" t="s">
        <v>5</v>
      </c>
      <c r="L1150" t="s">
        <v>148</v>
      </c>
      <c r="M1150" t="s">
        <v>1106</v>
      </c>
      <c r="N1150" t="s">
        <v>1107</v>
      </c>
      <c r="O1150" t="s">
        <v>1108</v>
      </c>
      <c r="P1150" t="s">
        <v>383</v>
      </c>
      <c r="Q1150" t="s">
        <v>1193</v>
      </c>
      <c r="R1150" t="s">
        <v>1194</v>
      </c>
      <c r="S1150" t="s">
        <v>46</v>
      </c>
      <c r="T1150" t="s">
        <v>46</v>
      </c>
      <c r="U1150" s="4">
        <v>12.2</v>
      </c>
      <c r="V1150" t="str">
        <f t="shared" si="17"/>
        <v>-035</v>
      </c>
      <c r="W1150" t="str">
        <f>VLOOKUP(K1150,[1]Info!A$1:B$21,2,0)</f>
        <v>Fornos / Carbonização (Setup)</v>
      </c>
      <c r="X1150" t="str">
        <f>IF(M1150="109595132","Material de Limpeza-Não Avaliar",IF(AND(K1150="F20",M1150&lt;&gt;109595132),IF(RIGHT(F1150,2)="70","Infraestrutura de Planta","Prédios e Instalações"),IF(K1150="FPC",VLOOKUP(F1150,[1]Info!$E$2:$F$11,2,0),IF(K1150="FGP",VLOOKUP(F1150,[1]Info!$E$9:$F$10,2,0),IF(K1150="F10",VLOOKUP(F1150,[1]Info!$E$2:$F$3,2,0),VLOOKUP(K1150,[1]Info!$A$1:$B$21,2,0))))))</f>
        <v>Fornos / Carbonização (Setup)</v>
      </c>
    </row>
    <row r="1151" spans="1:24" x14ac:dyDescent="0.35">
      <c r="A1151" t="s">
        <v>41</v>
      </c>
      <c r="B1151" t="s">
        <v>73</v>
      </c>
      <c r="C1151" t="s">
        <v>74</v>
      </c>
      <c r="D1151" t="s">
        <v>94</v>
      </c>
      <c r="E1151" t="s">
        <v>52</v>
      </c>
      <c r="F1151">
        <v>7091370</v>
      </c>
      <c r="G1151" t="s">
        <v>242</v>
      </c>
      <c r="H1151" t="s">
        <v>43</v>
      </c>
      <c r="I1151" t="s">
        <v>44</v>
      </c>
      <c r="J1151" t="s">
        <v>50</v>
      </c>
      <c r="K1151" t="s">
        <v>5</v>
      </c>
      <c r="L1151" t="s">
        <v>148</v>
      </c>
      <c r="M1151" t="s">
        <v>1109</v>
      </c>
      <c r="N1151" t="s">
        <v>1110</v>
      </c>
      <c r="O1151" t="s">
        <v>1111</v>
      </c>
      <c r="P1151" t="s">
        <v>383</v>
      </c>
      <c r="Q1151" t="s">
        <v>1193</v>
      </c>
      <c r="R1151" t="s">
        <v>1194</v>
      </c>
      <c r="S1151" t="s">
        <v>46</v>
      </c>
      <c r="T1151" t="s">
        <v>46</v>
      </c>
      <c r="U1151" s="4">
        <v>12.2</v>
      </c>
      <c r="V1151" t="str">
        <f t="shared" si="17"/>
        <v>-035</v>
      </c>
      <c r="W1151" t="str">
        <f>VLOOKUP(K1151,[1]Info!A$1:B$21,2,0)</f>
        <v>Fornos / Carbonização (Setup)</v>
      </c>
      <c r="X1151" t="str">
        <f>IF(M1151="109595132","Material de Limpeza-Não Avaliar",IF(AND(K1151="F20",M1151&lt;&gt;109595132),IF(RIGHT(F1151,2)="70","Infraestrutura de Planta","Prédios e Instalações"),IF(K1151="FPC",VLOOKUP(F1151,[1]Info!$E$2:$F$11,2,0),IF(K1151="FGP",VLOOKUP(F1151,[1]Info!$E$9:$F$10,2,0),IF(K1151="F10",VLOOKUP(F1151,[1]Info!$E$2:$F$3,2,0),VLOOKUP(K1151,[1]Info!$A$1:$B$21,2,0))))))</f>
        <v>Fornos / Carbonização (Setup)</v>
      </c>
    </row>
    <row r="1152" spans="1:24" x14ac:dyDescent="0.35">
      <c r="A1152" t="s">
        <v>41</v>
      </c>
      <c r="B1152" t="s">
        <v>73</v>
      </c>
      <c r="C1152" t="s">
        <v>74</v>
      </c>
      <c r="D1152" t="s">
        <v>361</v>
      </c>
      <c r="E1152" t="s">
        <v>362</v>
      </c>
      <c r="F1152">
        <v>7093370</v>
      </c>
      <c r="G1152" t="s">
        <v>151</v>
      </c>
      <c r="H1152" t="s">
        <v>43</v>
      </c>
      <c r="I1152" t="s">
        <v>44</v>
      </c>
      <c r="J1152" t="s">
        <v>152</v>
      </c>
      <c r="K1152" t="s">
        <v>7</v>
      </c>
      <c r="L1152" t="s">
        <v>148</v>
      </c>
      <c r="M1152" t="s">
        <v>1067</v>
      </c>
      <c r="N1152" t="s">
        <v>355</v>
      </c>
      <c r="O1152" t="s">
        <v>153</v>
      </c>
      <c r="P1152" t="s">
        <v>383</v>
      </c>
      <c r="Q1152" t="s">
        <v>363</v>
      </c>
      <c r="R1152" t="s">
        <v>364</v>
      </c>
      <c r="S1152" t="s">
        <v>46</v>
      </c>
      <c r="T1152" t="s">
        <v>46</v>
      </c>
      <c r="U1152" s="4">
        <v>2272.83</v>
      </c>
      <c r="V1152" t="str">
        <f t="shared" si="17"/>
        <v>FR19</v>
      </c>
      <c r="W1152" t="str">
        <f>VLOOKUP(K1152,[1]Info!A$1:B$21,2,0)</f>
        <v>Fornos Retangulares - Engenharia e Obras</v>
      </c>
      <c r="X1152" t="str">
        <f>IF(M1152="109595132","Material de Limpeza-Não Avaliar",IF(AND(K1152="F20",M1152&lt;&gt;109595132),IF(RIGHT(F1152,2)="70","Infraestrutura de Planta","Prédios e Instalações"),IF(K1152="FPC",VLOOKUP(F1152,[1]Info!$E$2:$F$11,2,0),IF(K1152="FGP",VLOOKUP(F1152,[1]Info!$E$9:$F$10,2,0),IF(K1152="F10",VLOOKUP(F1152,[1]Info!$E$2:$F$3,2,0),VLOOKUP(K1152,[1]Info!$A$1:$B$21,2,0))))))</f>
        <v>Fornos Retangulares - Engenharia e Obras</v>
      </c>
    </row>
    <row r="1153" spans="1:24" x14ac:dyDescent="0.35">
      <c r="A1153" t="s">
        <v>41</v>
      </c>
      <c r="B1153" t="s">
        <v>73</v>
      </c>
      <c r="C1153" t="s">
        <v>74</v>
      </c>
      <c r="D1153" t="s">
        <v>361</v>
      </c>
      <c r="E1153" t="s">
        <v>362</v>
      </c>
      <c r="F1153">
        <v>7091370</v>
      </c>
      <c r="G1153" t="s">
        <v>242</v>
      </c>
      <c r="H1153" t="s">
        <v>43</v>
      </c>
      <c r="I1153" t="s">
        <v>44</v>
      </c>
      <c r="J1153" t="s">
        <v>50</v>
      </c>
      <c r="K1153" t="s">
        <v>7</v>
      </c>
      <c r="L1153" t="s">
        <v>148</v>
      </c>
      <c r="M1153" t="s">
        <v>1229</v>
      </c>
      <c r="N1153" t="s">
        <v>1230</v>
      </c>
      <c r="O1153" t="s">
        <v>1231</v>
      </c>
      <c r="P1153" t="s">
        <v>383</v>
      </c>
      <c r="Q1153" t="s">
        <v>363</v>
      </c>
      <c r="R1153" t="s">
        <v>364</v>
      </c>
      <c r="S1153" t="s">
        <v>46</v>
      </c>
      <c r="T1153" t="s">
        <v>46</v>
      </c>
      <c r="U1153" s="4">
        <v>1081.99</v>
      </c>
      <c r="V1153" t="str">
        <f t="shared" si="17"/>
        <v>FR19</v>
      </c>
      <c r="W1153" t="str">
        <f>VLOOKUP(K1153,[1]Info!A$1:B$21,2,0)</f>
        <v>Fornos Retangulares - Engenharia e Obras</v>
      </c>
      <c r="X1153" t="str">
        <f>IF(M1153="109595132","Material de Limpeza-Não Avaliar",IF(AND(K1153="F20",M1153&lt;&gt;109595132),IF(RIGHT(F1153,2)="70","Infraestrutura de Planta","Prédios e Instalações"),IF(K1153="FPC",VLOOKUP(F1153,[1]Info!$E$2:$F$11,2,0),IF(K1153="FGP",VLOOKUP(F1153,[1]Info!$E$9:$F$10,2,0),IF(K1153="F10",VLOOKUP(F1153,[1]Info!$E$2:$F$3,2,0),VLOOKUP(K1153,[1]Info!$A$1:$B$21,2,0))))))</f>
        <v>Fornos Retangulares - Engenharia e Obras</v>
      </c>
    </row>
    <row r="1154" spans="1:24" x14ac:dyDescent="0.35">
      <c r="A1154" t="s">
        <v>41</v>
      </c>
      <c r="B1154" t="s">
        <v>73</v>
      </c>
      <c r="C1154" t="s">
        <v>74</v>
      </c>
      <c r="D1154" t="s">
        <v>144</v>
      </c>
      <c r="E1154" t="s">
        <v>145</v>
      </c>
      <c r="F1154">
        <v>7091870</v>
      </c>
      <c r="G1154" t="s">
        <v>162</v>
      </c>
      <c r="H1154" t="s">
        <v>43</v>
      </c>
      <c r="I1154" t="s">
        <v>44</v>
      </c>
      <c r="J1154" t="s">
        <v>163</v>
      </c>
      <c r="K1154" t="s">
        <v>5</v>
      </c>
      <c r="L1154" t="s">
        <v>148</v>
      </c>
      <c r="M1154" t="s">
        <v>205</v>
      </c>
      <c r="N1154" t="s">
        <v>206</v>
      </c>
      <c r="O1154" t="s">
        <v>164</v>
      </c>
      <c r="P1154" t="s">
        <v>1292</v>
      </c>
      <c r="Q1154" t="s">
        <v>46</v>
      </c>
      <c r="R1154" t="s">
        <v>47</v>
      </c>
      <c r="S1154" t="s">
        <v>46</v>
      </c>
      <c r="T1154" t="s">
        <v>46</v>
      </c>
      <c r="U1154" s="4">
        <v>5802.19</v>
      </c>
      <c r="V1154" t="str">
        <f t="shared" si="17"/>
        <v>FR39</v>
      </c>
      <c r="W1154" t="str">
        <f>VLOOKUP(K1154,[1]Info!A$1:B$21,2,0)</f>
        <v>Fornos / Carbonização (Setup)</v>
      </c>
      <c r="X1154" t="str">
        <f>IF(M1154="109595132","Material de Limpeza-Não Avaliar",IF(AND(K1154="F20",M1154&lt;&gt;109595132),IF(RIGHT(F1154,2)="70","Infraestrutura de Planta","Prédios e Instalações"),IF(K1154="FPC",VLOOKUP(F1154,[1]Info!$E$2:$F$11,2,0),IF(K1154="FGP",VLOOKUP(F1154,[1]Info!$E$9:$F$10,2,0),IF(K1154="F10",VLOOKUP(F1154,[1]Info!$E$2:$F$3,2,0),VLOOKUP(K1154,[1]Info!$A$1:$B$21,2,0))))))</f>
        <v>Fornos / Carbonização (Setup)</v>
      </c>
    </row>
    <row r="1155" spans="1:24" x14ac:dyDescent="0.35">
      <c r="A1155" t="s">
        <v>41</v>
      </c>
      <c r="B1155" t="s">
        <v>73</v>
      </c>
      <c r="C1155" t="s">
        <v>74</v>
      </c>
      <c r="D1155" t="s">
        <v>144</v>
      </c>
      <c r="E1155" t="s">
        <v>145</v>
      </c>
      <c r="F1155">
        <v>7091670</v>
      </c>
      <c r="G1155" t="s">
        <v>1864</v>
      </c>
      <c r="H1155" t="s">
        <v>43</v>
      </c>
      <c r="I1155" t="s">
        <v>44</v>
      </c>
      <c r="J1155" t="s">
        <v>1573</v>
      </c>
      <c r="K1155" t="s">
        <v>1349</v>
      </c>
      <c r="L1155" t="s">
        <v>51</v>
      </c>
      <c r="M1155" t="s">
        <v>1865</v>
      </c>
      <c r="N1155" t="s">
        <v>1866</v>
      </c>
      <c r="O1155" t="s">
        <v>1867</v>
      </c>
      <c r="P1155" t="s">
        <v>1292</v>
      </c>
      <c r="Q1155" t="s">
        <v>46</v>
      </c>
      <c r="R1155" t="s">
        <v>47</v>
      </c>
      <c r="S1155" t="s">
        <v>46</v>
      </c>
      <c r="T1155" t="s">
        <v>46</v>
      </c>
      <c r="U1155" s="4">
        <v>227850.87</v>
      </c>
      <c r="V1155" t="str">
        <f t="shared" si="17"/>
        <v>C002</v>
      </c>
      <c r="W1155" t="str">
        <f>VLOOKUP(K1155,[1]Info!A$1:B$21,2,0)</f>
        <v>Vias</v>
      </c>
      <c r="X1155" t="str">
        <f>IF(M1155="109595132","Material de Limpeza-Não Avaliar",IF(AND(K1155="F20",M1155&lt;&gt;109595132),IF(RIGHT(F1155,2)="70","Infraestrutura de Planta","Prédios e Instalações"),IF(K1155="FPC",VLOOKUP(F1155,[1]Info!$E$2:$F$11,2,0),IF(K1155="FGP",VLOOKUP(F1155,[1]Info!$E$9:$F$10,2,0),IF(K1155="F10",VLOOKUP(F1155,[1]Info!$E$2:$F$3,2,0),VLOOKUP(K1155,[1]Info!$A$1:$B$21,2,0))))))</f>
        <v>Vias</v>
      </c>
    </row>
    <row r="1156" spans="1:24" x14ac:dyDescent="0.35">
      <c r="A1156" t="s">
        <v>41</v>
      </c>
      <c r="B1156" t="s">
        <v>73</v>
      </c>
      <c r="C1156" t="s">
        <v>74</v>
      </c>
      <c r="D1156" t="s">
        <v>144</v>
      </c>
      <c r="E1156" t="s">
        <v>145</v>
      </c>
      <c r="F1156">
        <v>7091570</v>
      </c>
      <c r="G1156" t="s">
        <v>1096</v>
      </c>
      <c r="H1156" t="s">
        <v>43</v>
      </c>
      <c r="I1156" t="s">
        <v>44</v>
      </c>
      <c r="J1156" t="s">
        <v>79</v>
      </c>
      <c r="K1156" t="s">
        <v>6</v>
      </c>
      <c r="L1156" t="s">
        <v>51</v>
      </c>
      <c r="M1156" t="s">
        <v>1097</v>
      </c>
      <c r="N1156" t="s">
        <v>1098</v>
      </c>
      <c r="O1156" t="s">
        <v>1099</v>
      </c>
      <c r="P1156" t="s">
        <v>383</v>
      </c>
      <c r="Q1156" t="s">
        <v>1232</v>
      </c>
      <c r="R1156" t="s">
        <v>1233</v>
      </c>
      <c r="S1156" t="s">
        <v>46</v>
      </c>
      <c r="T1156" t="s">
        <v>46</v>
      </c>
      <c r="U1156" s="4">
        <v>396</v>
      </c>
      <c r="V1156" t="str">
        <f t="shared" ref="V1156:V1219" si="18">RIGHT(O1156,4)</f>
        <v>-005</v>
      </c>
      <c r="W1156" t="str">
        <f>VLOOKUP(K1156,[1]Info!A$1:B$21,2,0)</f>
        <v>Equipamentos Carbonização</v>
      </c>
      <c r="X1156" t="str">
        <f>IF(M1156="109595132","Material de Limpeza-Não Avaliar",IF(AND(K1156="F20",M1156&lt;&gt;109595132),IF(RIGHT(F1156,2)="70","Infraestrutura de Planta","Prédios e Instalações"),IF(K1156="FPC",VLOOKUP(F1156,[1]Info!$E$2:$F$11,2,0),IF(K1156="FGP",VLOOKUP(F1156,[1]Info!$E$9:$F$10,2,0),IF(K1156="F10",VLOOKUP(F1156,[1]Info!$E$2:$F$3,2,0),VLOOKUP(K1156,[1]Info!$A$1:$B$21,2,0))))))</f>
        <v>Equipamentos Carbonização</v>
      </c>
    </row>
    <row r="1157" spans="1:24" x14ac:dyDescent="0.35">
      <c r="A1157" t="s">
        <v>41</v>
      </c>
      <c r="B1157" t="s">
        <v>73</v>
      </c>
      <c r="C1157" t="s">
        <v>74</v>
      </c>
      <c r="D1157" t="s">
        <v>144</v>
      </c>
      <c r="E1157" t="s">
        <v>145</v>
      </c>
      <c r="F1157">
        <v>7091570</v>
      </c>
      <c r="G1157" t="s">
        <v>1096</v>
      </c>
      <c r="H1157" t="s">
        <v>43</v>
      </c>
      <c r="I1157" t="s">
        <v>44</v>
      </c>
      <c r="J1157" t="s">
        <v>79</v>
      </c>
      <c r="K1157" t="s">
        <v>5</v>
      </c>
      <c r="L1157" t="s">
        <v>148</v>
      </c>
      <c r="M1157" t="s">
        <v>1868</v>
      </c>
      <c r="N1157" t="s">
        <v>1869</v>
      </c>
      <c r="O1157" t="s">
        <v>1572</v>
      </c>
      <c r="P1157" t="s">
        <v>1292</v>
      </c>
      <c r="Q1157" t="s">
        <v>46</v>
      </c>
      <c r="R1157" t="s">
        <v>47</v>
      </c>
      <c r="S1157" t="s">
        <v>46</v>
      </c>
      <c r="T1157" t="s">
        <v>46</v>
      </c>
      <c r="U1157" s="4">
        <v>8269.14</v>
      </c>
      <c r="V1157" t="str">
        <f t="shared" si="18"/>
        <v>FR39</v>
      </c>
      <c r="W1157" t="str">
        <f>VLOOKUP(K1157,[1]Info!A$1:B$21,2,0)</f>
        <v>Fornos / Carbonização (Setup)</v>
      </c>
      <c r="X1157" t="str">
        <f>IF(M1157="109595132","Material de Limpeza-Não Avaliar",IF(AND(K1157="F20",M1157&lt;&gt;109595132),IF(RIGHT(F1157,2)="70","Infraestrutura de Planta","Prédios e Instalações"),IF(K1157="FPC",VLOOKUP(F1157,[1]Info!$E$2:$F$11,2,0),IF(K1157="FGP",VLOOKUP(F1157,[1]Info!$E$9:$F$10,2,0),IF(K1157="F10",VLOOKUP(F1157,[1]Info!$E$2:$F$3,2,0),VLOOKUP(K1157,[1]Info!$A$1:$B$21,2,0))))))</f>
        <v>Fornos / Carbonização (Setup)</v>
      </c>
    </row>
    <row r="1158" spans="1:24" x14ac:dyDescent="0.35">
      <c r="A1158" t="s">
        <v>41</v>
      </c>
      <c r="B1158" t="s">
        <v>73</v>
      </c>
      <c r="C1158" t="s">
        <v>74</v>
      </c>
      <c r="D1158" t="s">
        <v>1870</v>
      </c>
      <c r="E1158" t="s">
        <v>1871</v>
      </c>
      <c r="F1158">
        <v>7094870</v>
      </c>
      <c r="G1158" t="s">
        <v>1872</v>
      </c>
      <c r="H1158" t="s">
        <v>43</v>
      </c>
      <c r="I1158" t="s">
        <v>44</v>
      </c>
      <c r="J1158" t="s">
        <v>79</v>
      </c>
      <c r="K1158" t="s">
        <v>8</v>
      </c>
      <c r="L1158" t="s">
        <v>51</v>
      </c>
      <c r="M1158" t="s">
        <v>1873</v>
      </c>
      <c r="N1158" t="s">
        <v>1874</v>
      </c>
      <c r="O1158" t="s">
        <v>1875</v>
      </c>
      <c r="P1158" t="s">
        <v>1292</v>
      </c>
      <c r="Q1158" t="s">
        <v>46</v>
      </c>
      <c r="R1158" t="s">
        <v>47</v>
      </c>
      <c r="S1158" t="s">
        <v>1876</v>
      </c>
      <c r="T1158" t="s">
        <v>1877</v>
      </c>
      <c r="U1158" s="4">
        <v>177892.85</v>
      </c>
      <c r="V1158" t="str">
        <f t="shared" si="18"/>
        <v>0020</v>
      </c>
      <c r="W1158" t="str">
        <f>VLOOKUP(K1158,[1]Info!A$1:B$21,2,0)</f>
        <v>Pátio</v>
      </c>
      <c r="X1158" t="str">
        <f>IF(M1158="109595132","Material de Limpeza-Não Avaliar",IF(AND(K1158="F20",M1158&lt;&gt;109595132),IF(RIGHT(F1158,2)="70","Infraestrutura de Planta","Prédios e Instalações"),IF(K1158="FPC",VLOOKUP(F1158,[1]Info!$E$2:$F$11,2,0),IF(K1158="FGP",VLOOKUP(F1158,[1]Info!$E$9:$F$10,2,0),IF(K1158="F10",VLOOKUP(F1158,[1]Info!$E$2:$F$3,2,0),VLOOKUP(K1158,[1]Info!$A$1:$B$21,2,0))))))</f>
        <v>Pátio</v>
      </c>
    </row>
    <row r="1159" spans="1:24" x14ac:dyDescent="0.35">
      <c r="A1159" t="s">
        <v>41</v>
      </c>
      <c r="B1159" t="s">
        <v>73</v>
      </c>
      <c r="C1159" t="s">
        <v>74</v>
      </c>
      <c r="D1159" t="s">
        <v>1870</v>
      </c>
      <c r="E1159" t="s">
        <v>1871</v>
      </c>
      <c r="F1159">
        <v>7091670</v>
      </c>
      <c r="G1159" t="s">
        <v>1864</v>
      </c>
      <c r="H1159" t="s">
        <v>43</v>
      </c>
      <c r="I1159" t="s">
        <v>44</v>
      </c>
      <c r="J1159" t="s">
        <v>1573</v>
      </c>
      <c r="K1159" t="s">
        <v>8</v>
      </c>
      <c r="L1159" t="s">
        <v>51</v>
      </c>
      <c r="M1159" t="s">
        <v>1878</v>
      </c>
      <c r="N1159" t="s">
        <v>1879</v>
      </c>
      <c r="O1159" t="s">
        <v>1880</v>
      </c>
      <c r="P1159" t="s">
        <v>1292</v>
      </c>
      <c r="Q1159" t="s">
        <v>46</v>
      </c>
      <c r="R1159" t="s">
        <v>47</v>
      </c>
      <c r="S1159" t="s">
        <v>1876</v>
      </c>
      <c r="T1159" t="s">
        <v>1877</v>
      </c>
      <c r="U1159" s="4">
        <v>93733.19</v>
      </c>
      <c r="V1159" t="str">
        <f t="shared" si="18"/>
        <v>0050</v>
      </c>
      <c r="W1159" t="str">
        <f>VLOOKUP(K1159,[1]Info!A$1:B$21,2,0)</f>
        <v>Pátio</v>
      </c>
      <c r="X1159" t="str">
        <f>IF(M1159="109595132","Material de Limpeza-Não Avaliar",IF(AND(K1159="F20",M1159&lt;&gt;109595132),IF(RIGHT(F1159,2)="70","Infraestrutura de Planta","Prédios e Instalações"),IF(K1159="FPC",VLOOKUP(F1159,[1]Info!$E$2:$F$11,2,0),IF(K1159="FGP",VLOOKUP(F1159,[1]Info!$E$9:$F$10,2,0),IF(K1159="F10",VLOOKUP(F1159,[1]Info!$E$2:$F$3,2,0),VLOOKUP(K1159,[1]Info!$A$1:$B$21,2,0))))))</f>
        <v>Pátio</v>
      </c>
    </row>
    <row r="1160" spans="1:24" x14ac:dyDescent="0.35">
      <c r="A1160" t="s">
        <v>41</v>
      </c>
      <c r="B1160" t="s">
        <v>73</v>
      </c>
      <c r="C1160" t="s">
        <v>74</v>
      </c>
      <c r="D1160" t="s">
        <v>100</v>
      </c>
      <c r="E1160" t="s">
        <v>65</v>
      </c>
      <c r="F1160">
        <v>7098134</v>
      </c>
      <c r="G1160" t="s">
        <v>851</v>
      </c>
      <c r="H1160" t="s">
        <v>43</v>
      </c>
      <c r="I1160" t="s">
        <v>44</v>
      </c>
      <c r="J1160" t="s">
        <v>50</v>
      </c>
      <c r="K1160" t="s">
        <v>3</v>
      </c>
      <c r="L1160" t="s">
        <v>51</v>
      </c>
      <c r="M1160" t="s">
        <v>1881</v>
      </c>
      <c r="N1160" t="s">
        <v>1882</v>
      </c>
      <c r="O1160" t="s">
        <v>1595</v>
      </c>
      <c r="P1160" t="s">
        <v>1292</v>
      </c>
      <c r="Q1160" t="s">
        <v>46</v>
      </c>
      <c r="R1160" t="s">
        <v>47</v>
      </c>
      <c r="S1160" t="s">
        <v>46</v>
      </c>
      <c r="T1160" t="s">
        <v>46</v>
      </c>
      <c r="U1160" s="4">
        <v>6837.89</v>
      </c>
      <c r="V1160" t="str">
        <f t="shared" si="18"/>
        <v>C017</v>
      </c>
      <c r="W1160" t="str">
        <f>VLOOKUP(K1160,[1]Info!A$1:B$21,2,0)</f>
        <v>Carregadeira</v>
      </c>
      <c r="X1160" t="str">
        <f>IF(M1160="109595132","Material de Limpeza-Não Avaliar",IF(AND(K1160="F20",M1160&lt;&gt;109595132),IF(RIGHT(F1160,2)="70","Infraestrutura de Planta","Prédios e Instalações"),IF(K1160="FPC",VLOOKUP(F1160,[1]Info!$E$2:$F$11,2,0),IF(K1160="FGP",VLOOKUP(F1160,[1]Info!$E$9:$F$10,2,0),IF(K1160="F10",VLOOKUP(F1160,[1]Info!$E$2:$F$3,2,0),VLOOKUP(K1160,[1]Info!$A$1:$B$21,2,0))))))</f>
        <v>Carregadeira Diamante</v>
      </c>
    </row>
    <row r="1161" spans="1:24" x14ac:dyDescent="0.35">
      <c r="A1161" t="s">
        <v>41</v>
      </c>
      <c r="B1161" t="s">
        <v>73</v>
      </c>
      <c r="C1161" t="s">
        <v>74</v>
      </c>
      <c r="D1161" t="s">
        <v>100</v>
      </c>
      <c r="E1161" t="s">
        <v>65</v>
      </c>
      <c r="F1161">
        <v>7098134</v>
      </c>
      <c r="G1161" t="s">
        <v>851</v>
      </c>
      <c r="H1161" t="s">
        <v>43</v>
      </c>
      <c r="I1161" t="s">
        <v>44</v>
      </c>
      <c r="J1161" t="s">
        <v>50</v>
      </c>
      <c r="K1161" t="s">
        <v>3</v>
      </c>
      <c r="L1161" t="s">
        <v>51</v>
      </c>
      <c r="M1161" t="s">
        <v>1883</v>
      </c>
      <c r="N1161" t="s">
        <v>1884</v>
      </c>
      <c r="O1161" t="s">
        <v>854</v>
      </c>
      <c r="P1161" t="s">
        <v>1292</v>
      </c>
      <c r="Q1161" t="s">
        <v>46</v>
      </c>
      <c r="R1161" t="s">
        <v>47</v>
      </c>
      <c r="S1161" t="s">
        <v>46</v>
      </c>
      <c r="T1161" t="s">
        <v>46</v>
      </c>
      <c r="U1161" s="4">
        <v>1959.28</v>
      </c>
      <c r="V1161" t="str">
        <f t="shared" si="18"/>
        <v>C020</v>
      </c>
      <c r="W1161" t="str">
        <f>VLOOKUP(K1161,[1]Info!A$1:B$21,2,0)</f>
        <v>Carregadeira</v>
      </c>
      <c r="X1161" t="str">
        <f>IF(M1161="109595132","Material de Limpeza-Não Avaliar",IF(AND(K1161="F20",M1161&lt;&gt;109595132),IF(RIGHT(F1161,2)="70","Infraestrutura de Planta","Prédios e Instalações"),IF(K1161="FPC",VLOOKUP(F1161,[1]Info!$E$2:$F$11,2,0),IF(K1161="FGP",VLOOKUP(F1161,[1]Info!$E$9:$F$10,2,0),IF(K1161="F10",VLOOKUP(F1161,[1]Info!$E$2:$F$3,2,0),VLOOKUP(K1161,[1]Info!$A$1:$B$21,2,0))))))</f>
        <v>Carregadeira Diamante</v>
      </c>
    </row>
    <row r="1162" spans="1:24" x14ac:dyDescent="0.35">
      <c r="A1162" t="s">
        <v>41</v>
      </c>
      <c r="B1162" t="s">
        <v>73</v>
      </c>
      <c r="C1162" t="s">
        <v>74</v>
      </c>
      <c r="D1162" t="s">
        <v>100</v>
      </c>
      <c r="E1162" t="s">
        <v>65</v>
      </c>
      <c r="F1162">
        <v>7098132</v>
      </c>
      <c r="G1162" t="s">
        <v>233</v>
      </c>
      <c r="H1162" t="s">
        <v>43</v>
      </c>
      <c r="I1162" t="s">
        <v>44</v>
      </c>
      <c r="J1162" t="s">
        <v>50</v>
      </c>
      <c r="K1162" t="s">
        <v>9</v>
      </c>
      <c r="L1162" t="s">
        <v>51</v>
      </c>
      <c r="M1162" t="s">
        <v>1885</v>
      </c>
      <c r="N1162" t="s">
        <v>1886</v>
      </c>
      <c r="O1162" t="s">
        <v>234</v>
      </c>
      <c r="P1162" t="s">
        <v>1292</v>
      </c>
      <c r="Q1162" t="s">
        <v>46</v>
      </c>
      <c r="R1162" t="s">
        <v>47</v>
      </c>
      <c r="S1162" t="s">
        <v>46</v>
      </c>
      <c r="T1162" t="s">
        <v>46</v>
      </c>
      <c r="U1162" s="4">
        <v>627.87</v>
      </c>
      <c r="V1162" t="str">
        <f t="shared" si="18"/>
        <v>CR01</v>
      </c>
      <c r="W1162" t="str">
        <f>VLOOKUP(K1162,[1]Info!A$1:B$21,2,0)</f>
        <v>Caminhão Barrelador</v>
      </c>
      <c r="X1162" t="str">
        <f>IF(M1162="109595132","Material de Limpeza-Não Avaliar",IF(AND(K1162="F20",M1162&lt;&gt;109595132),IF(RIGHT(F1162,2)="70","Infraestrutura de Planta","Prédios e Instalações"),IF(K1162="FPC",VLOOKUP(F1162,[1]Info!$E$2:$F$11,2,0),IF(K1162="FGP",VLOOKUP(F1162,[1]Info!$E$9:$F$10,2,0),IF(K1162="F10",VLOOKUP(F1162,[1]Info!$E$2:$F$3,2,0),VLOOKUP(K1162,[1]Info!$A$1:$B$21,2,0))))))</f>
        <v>Caminhão Barrelador</v>
      </c>
    </row>
    <row r="1163" spans="1:24" x14ac:dyDescent="0.35">
      <c r="A1163" t="s">
        <v>41</v>
      </c>
      <c r="B1163" t="s">
        <v>73</v>
      </c>
      <c r="C1163" t="s">
        <v>74</v>
      </c>
      <c r="D1163" t="s">
        <v>100</v>
      </c>
      <c r="E1163" t="s">
        <v>65</v>
      </c>
      <c r="F1163">
        <v>7098131</v>
      </c>
      <c r="G1163" t="s">
        <v>75</v>
      </c>
      <c r="H1163" t="s">
        <v>43</v>
      </c>
      <c r="I1163" t="s">
        <v>44</v>
      </c>
      <c r="J1163" t="s">
        <v>50</v>
      </c>
      <c r="K1163" t="s">
        <v>16</v>
      </c>
      <c r="L1163" t="s">
        <v>51</v>
      </c>
      <c r="M1163" t="s">
        <v>1887</v>
      </c>
      <c r="N1163" t="s">
        <v>1888</v>
      </c>
      <c r="O1163" t="s">
        <v>1155</v>
      </c>
      <c r="P1163" t="s">
        <v>1292</v>
      </c>
      <c r="Q1163" t="s">
        <v>46</v>
      </c>
      <c r="R1163" t="s">
        <v>47</v>
      </c>
      <c r="S1163" t="s">
        <v>46</v>
      </c>
      <c r="T1163" t="s">
        <v>46</v>
      </c>
      <c r="U1163" s="4">
        <v>558.11</v>
      </c>
      <c r="V1163" t="str">
        <f t="shared" si="18"/>
        <v>TP24</v>
      </c>
      <c r="W1163" t="str">
        <f>VLOOKUP(K1163,[1]Info!A$1:B$21,2,0)</f>
        <v>Trator Pneu</v>
      </c>
      <c r="X1163" t="str">
        <f>IF(M1163="109595132","Material de Limpeza-Não Avaliar",IF(AND(K1163="F20",M1163&lt;&gt;109595132),IF(RIGHT(F1163,2)="70","Infraestrutura de Planta","Prédios e Instalações"),IF(K1163="FPC",VLOOKUP(F1163,[1]Info!$E$2:$F$11,2,0),IF(K1163="FGP",VLOOKUP(F1163,[1]Info!$E$9:$F$10,2,0),IF(K1163="F10",VLOOKUP(F1163,[1]Info!$E$2:$F$3,2,0),VLOOKUP(K1163,[1]Info!$A$1:$B$21,2,0))))))</f>
        <v>Trator Pneu</v>
      </c>
    </row>
    <row r="1164" spans="1:24" x14ac:dyDescent="0.35">
      <c r="A1164" t="s">
        <v>41</v>
      </c>
      <c r="B1164" t="s">
        <v>73</v>
      </c>
      <c r="C1164" t="s">
        <v>74</v>
      </c>
      <c r="D1164" t="s">
        <v>100</v>
      </c>
      <c r="E1164" t="s">
        <v>65</v>
      </c>
      <c r="F1164">
        <v>7098131</v>
      </c>
      <c r="G1164" t="s">
        <v>75</v>
      </c>
      <c r="H1164" t="s">
        <v>43</v>
      </c>
      <c r="I1164" t="s">
        <v>44</v>
      </c>
      <c r="J1164" t="s">
        <v>50</v>
      </c>
      <c r="K1164" t="s">
        <v>16</v>
      </c>
      <c r="L1164" t="s">
        <v>51</v>
      </c>
      <c r="M1164" t="s">
        <v>1889</v>
      </c>
      <c r="N1164" t="s">
        <v>302</v>
      </c>
      <c r="O1164" t="s">
        <v>284</v>
      </c>
      <c r="P1164" t="s">
        <v>1292</v>
      </c>
      <c r="Q1164" t="s">
        <v>46</v>
      </c>
      <c r="R1164" t="s">
        <v>47</v>
      </c>
      <c r="S1164" t="s">
        <v>46</v>
      </c>
      <c r="T1164" t="s">
        <v>46</v>
      </c>
      <c r="U1164" s="4">
        <v>2371.9699999999998</v>
      </c>
      <c r="V1164" t="str">
        <f t="shared" si="18"/>
        <v>TP27</v>
      </c>
      <c r="W1164" t="str">
        <f>VLOOKUP(K1164,[1]Info!A$1:B$21,2,0)</f>
        <v>Trator Pneu</v>
      </c>
      <c r="X1164" t="str">
        <f>IF(M1164="109595132","Material de Limpeza-Não Avaliar",IF(AND(K1164="F20",M1164&lt;&gt;109595132),IF(RIGHT(F1164,2)="70","Infraestrutura de Planta","Prédios e Instalações"),IF(K1164="FPC",VLOOKUP(F1164,[1]Info!$E$2:$F$11,2,0),IF(K1164="FGP",VLOOKUP(F1164,[1]Info!$E$9:$F$10,2,0),IF(K1164="F10",VLOOKUP(F1164,[1]Info!$E$2:$F$3,2,0),VLOOKUP(K1164,[1]Info!$A$1:$B$21,2,0))))))</f>
        <v>Trator Pneu</v>
      </c>
    </row>
    <row r="1165" spans="1:24" x14ac:dyDescent="0.35">
      <c r="A1165" t="s">
        <v>41</v>
      </c>
      <c r="B1165" t="s">
        <v>73</v>
      </c>
      <c r="C1165" t="s">
        <v>74</v>
      </c>
      <c r="D1165" t="s">
        <v>100</v>
      </c>
      <c r="E1165" t="s">
        <v>65</v>
      </c>
      <c r="F1165">
        <v>7098131</v>
      </c>
      <c r="G1165" t="s">
        <v>75</v>
      </c>
      <c r="H1165" t="s">
        <v>43</v>
      </c>
      <c r="I1165" t="s">
        <v>44</v>
      </c>
      <c r="J1165" t="s">
        <v>50</v>
      </c>
      <c r="K1165" t="s">
        <v>16</v>
      </c>
      <c r="L1165" t="s">
        <v>51</v>
      </c>
      <c r="M1165" t="s">
        <v>1890</v>
      </c>
      <c r="N1165" t="s">
        <v>1891</v>
      </c>
      <c r="O1165" t="s">
        <v>1148</v>
      </c>
      <c r="P1165" t="s">
        <v>1292</v>
      </c>
      <c r="Q1165" t="s">
        <v>46</v>
      </c>
      <c r="R1165" t="s">
        <v>47</v>
      </c>
      <c r="S1165" t="s">
        <v>46</v>
      </c>
      <c r="T1165" t="s">
        <v>46</v>
      </c>
      <c r="U1165" s="4">
        <v>2155.1999999999998</v>
      </c>
      <c r="V1165" t="str">
        <f t="shared" si="18"/>
        <v>TP22</v>
      </c>
      <c r="W1165" t="str">
        <f>VLOOKUP(K1165,[1]Info!A$1:B$21,2,0)</f>
        <v>Trator Pneu</v>
      </c>
      <c r="X1165" t="str">
        <f>IF(M1165="109595132","Material de Limpeza-Não Avaliar",IF(AND(K1165="F20",M1165&lt;&gt;109595132),IF(RIGHT(F1165,2)="70","Infraestrutura de Planta","Prédios e Instalações"),IF(K1165="FPC",VLOOKUP(F1165,[1]Info!$E$2:$F$11,2,0),IF(K1165="FGP",VLOOKUP(F1165,[1]Info!$E$9:$F$10,2,0),IF(K1165="F10",VLOOKUP(F1165,[1]Info!$E$2:$F$3,2,0),VLOOKUP(K1165,[1]Info!$A$1:$B$21,2,0))))))</f>
        <v>Trator Pneu</v>
      </c>
    </row>
    <row r="1166" spans="1:24" x14ac:dyDescent="0.35">
      <c r="A1166" t="s">
        <v>41</v>
      </c>
      <c r="B1166" t="s">
        <v>73</v>
      </c>
      <c r="C1166" t="s">
        <v>74</v>
      </c>
      <c r="D1166" t="s">
        <v>100</v>
      </c>
      <c r="E1166" t="s">
        <v>65</v>
      </c>
      <c r="F1166">
        <v>7098131</v>
      </c>
      <c r="G1166" t="s">
        <v>75</v>
      </c>
      <c r="H1166" t="s">
        <v>43</v>
      </c>
      <c r="I1166" t="s">
        <v>44</v>
      </c>
      <c r="J1166" t="s">
        <v>50</v>
      </c>
      <c r="K1166" t="s">
        <v>16</v>
      </c>
      <c r="L1166" t="s">
        <v>51</v>
      </c>
      <c r="M1166" t="s">
        <v>1892</v>
      </c>
      <c r="N1166" t="s">
        <v>1893</v>
      </c>
      <c r="O1166" t="s">
        <v>277</v>
      </c>
      <c r="P1166" t="s">
        <v>1292</v>
      </c>
      <c r="Q1166" t="s">
        <v>46</v>
      </c>
      <c r="R1166" t="s">
        <v>47</v>
      </c>
      <c r="S1166" t="s">
        <v>46</v>
      </c>
      <c r="T1166" t="s">
        <v>46</v>
      </c>
      <c r="U1166" s="4">
        <v>4506.34</v>
      </c>
      <c r="V1166" t="str">
        <f t="shared" si="18"/>
        <v>TP23</v>
      </c>
      <c r="W1166" t="str">
        <f>VLOOKUP(K1166,[1]Info!A$1:B$21,2,0)</f>
        <v>Trator Pneu</v>
      </c>
      <c r="X1166" t="str">
        <f>IF(M1166="109595132","Material de Limpeza-Não Avaliar",IF(AND(K1166="F20",M1166&lt;&gt;109595132),IF(RIGHT(F1166,2)="70","Infraestrutura de Planta","Prédios e Instalações"),IF(K1166="FPC",VLOOKUP(F1166,[1]Info!$E$2:$F$11,2,0),IF(K1166="FGP",VLOOKUP(F1166,[1]Info!$E$9:$F$10,2,0),IF(K1166="F10",VLOOKUP(F1166,[1]Info!$E$2:$F$3,2,0),VLOOKUP(K1166,[1]Info!$A$1:$B$21,2,0))))))</f>
        <v>Trator Pneu</v>
      </c>
    </row>
    <row r="1167" spans="1:24" x14ac:dyDescent="0.35">
      <c r="A1167" t="s">
        <v>41</v>
      </c>
      <c r="B1167" t="s">
        <v>73</v>
      </c>
      <c r="C1167" t="s">
        <v>74</v>
      </c>
      <c r="D1167" t="s">
        <v>100</v>
      </c>
      <c r="E1167" t="s">
        <v>65</v>
      </c>
      <c r="F1167">
        <v>7098131</v>
      </c>
      <c r="G1167" t="s">
        <v>75</v>
      </c>
      <c r="H1167" t="s">
        <v>43</v>
      </c>
      <c r="I1167" t="s">
        <v>44</v>
      </c>
      <c r="J1167" t="s">
        <v>50</v>
      </c>
      <c r="K1167" t="s">
        <v>16</v>
      </c>
      <c r="L1167" t="s">
        <v>51</v>
      </c>
      <c r="M1167" t="s">
        <v>1894</v>
      </c>
      <c r="N1167" t="s">
        <v>1888</v>
      </c>
      <c r="O1167" t="s">
        <v>1155</v>
      </c>
      <c r="P1167" t="s">
        <v>1292</v>
      </c>
      <c r="Q1167" t="s">
        <v>46</v>
      </c>
      <c r="R1167" t="s">
        <v>47</v>
      </c>
      <c r="S1167" t="s">
        <v>46</v>
      </c>
      <c r="T1167" t="s">
        <v>46</v>
      </c>
      <c r="U1167" s="4">
        <v>10580.13</v>
      </c>
      <c r="V1167" t="str">
        <f t="shared" si="18"/>
        <v>TP24</v>
      </c>
      <c r="W1167" t="str">
        <f>VLOOKUP(K1167,[1]Info!A$1:B$21,2,0)</f>
        <v>Trator Pneu</v>
      </c>
      <c r="X1167" t="str">
        <f>IF(M1167="109595132","Material de Limpeza-Não Avaliar",IF(AND(K1167="F20",M1167&lt;&gt;109595132),IF(RIGHT(F1167,2)="70","Infraestrutura de Planta","Prédios e Instalações"),IF(K1167="FPC",VLOOKUP(F1167,[1]Info!$E$2:$F$11,2,0),IF(K1167="FGP",VLOOKUP(F1167,[1]Info!$E$9:$F$10,2,0),IF(K1167="F10",VLOOKUP(F1167,[1]Info!$E$2:$F$3,2,0),VLOOKUP(K1167,[1]Info!$A$1:$B$21,2,0))))))</f>
        <v>Trator Pneu</v>
      </c>
    </row>
    <row r="1168" spans="1:24" x14ac:dyDescent="0.35">
      <c r="A1168" t="s">
        <v>41</v>
      </c>
      <c r="B1168" t="s">
        <v>73</v>
      </c>
      <c r="C1168" t="s">
        <v>74</v>
      </c>
      <c r="D1168" t="s">
        <v>100</v>
      </c>
      <c r="E1168" t="s">
        <v>65</v>
      </c>
      <c r="F1168">
        <v>7098131</v>
      </c>
      <c r="G1168" t="s">
        <v>75</v>
      </c>
      <c r="H1168" t="s">
        <v>43</v>
      </c>
      <c r="I1168" t="s">
        <v>44</v>
      </c>
      <c r="J1168" t="s">
        <v>50</v>
      </c>
      <c r="K1168" t="s">
        <v>16</v>
      </c>
      <c r="L1168" t="s">
        <v>51</v>
      </c>
      <c r="M1168" t="s">
        <v>299</v>
      </c>
      <c r="N1168" t="s">
        <v>300</v>
      </c>
      <c r="O1168" t="s">
        <v>76</v>
      </c>
      <c r="P1168" t="s">
        <v>1292</v>
      </c>
      <c r="Q1168" t="s">
        <v>46</v>
      </c>
      <c r="R1168" t="s">
        <v>47</v>
      </c>
      <c r="S1168" t="s">
        <v>46</v>
      </c>
      <c r="T1168" t="s">
        <v>46</v>
      </c>
      <c r="U1168" s="4">
        <v>4956.99</v>
      </c>
      <c r="V1168" t="str">
        <f t="shared" si="18"/>
        <v>TP25</v>
      </c>
      <c r="W1168" t="str">
        <f>VLOOKUP(K1168,[1]Info!A$1:B$21,2,0)</f>
        <v>Trator Pneu</v>
      </c>
      <c r="X1168" t="str">
        <f>IF(M1168="109595132","Material de Limpeza-Não Avaliar",IF(AND(K1168="F20",M1168&lt;&gt;109595132),IF(RIGHT(F1168,2)="70","Infraestrutura de Planta","Prédios e Instalações"),IF(K1168="FPC",VLOOKUP(F1168,[1]Info!$E$2:$F$11,2,0),IF(K1168="FGP",VLOOKUP(F1168,[1]Info!$E$9:$F$10,2,0),IF(K1168="F10",VLOOKUP(F1168,[1]Info!$E$2:$F$3,2,0),VLOOKUP(K1168,[1]Info!$A$1:$B$21,2,0))))))</f>
        <v>Trator Pneu</v>
      </c>
    </row>
    <row r="1169" spans="1:24" x14ac:dyDescent="0.35">
      <c r="A1169" t="s">
        <v>41</v>
      </c>
      <c r="B1169" t="s">
        <v>73</v>
      </c>
      <c r="C1169" t="s">
        <v>74</v>
      </c>
      <c r="D1169" t="s">
        <v>100</v>
      </c>
      <c r="E1169" t="s">
        <v>65</v>
      </c>
      <c r="F1169">
        <v>7098131</v>
      </c>
      <c r="G1169" t="s">
        <v>75</v>
      </c>
      <c r="H1169" t="s">
        <v>43</v>
      </c>
      <c r="I1169" t="s">
        <v>44</v>
      </c>
      <c r="J1169" t="s">
        <v>50</v>
      </c>
      <c r="K1169" t="s">
        <v>16</v>
      </c>
      <c r="L1169" t="s">
        <v>51</v>
      </c>
      <c r="M1169" t="s">
        <v>1895</v>
      </c>
      <c r="N1169" t="s">
        <v>1896</v>
      </c>
      <c r="O1169" t="s">
        <v>910</v>
      </c>
      <c r="P1169" t="s">
        <v>1292</v>
      </c>
      <c r="Q1169" t="s">
        <v>46</v>
      </c>
      <c r="R1169" t="s">
        <v>47</v>
      </c>
      <c r="S1169" t="s">
        <v>46</v>
      </c>
      <c r="T1169" t="s">
        <v>46</v>
      </c>
      <c r="U1169" s="4">
        <v>7876.3</v>
      </c>
      <c r="V1169" t="str">
        <f t="shared" si="18"/>
        <v>TP26</v>
      </c>
      <c r="W1169" t="str">
        <f>VLOOKUP(K1169,[1]Info!A$1:B$21,2,0)</f>
        <v>Trator Pneu</v>
      </c>
      <c r="X1169" t="str">
        <f>IF(M1169="109595132","Material de Limpeza-Não Avaliar",IF(AND(K1169="F20",M1169&lt;&gt;109595132),IF(RIGHT(F1169,2)="70","Infraestrutura de Planta","Prédios e Instalações"),IF(K1169="FPC",VLOOKUP(F1169,[1]Info!$E$2:$F$11,2,0),IF(K1169="FGP",VLOOKUP(F1169,[1]Info!$E$9:$F$10,2,0),IF(K1169="F10",VLOOKUP(F1169,[1]Info!$E$2:$F$3,2,0),VLOOKUP(K1169,[1]Info!$A$1:$B$21,2,0))))))</f>
        <v>Trator Pneu</v>
      </c>
    </row>
    <row r="1170" spans="1:24" x14ac:dyDescent="0.35">
      <c r="A1170" t="s">
        <v>41</v>
      </c>
      <c r="B1170" t="s">
        <v>73</v>
      </c>
      <c r="C1170" t="s">
        <v>74</v>
      </c>
      <c r="D1170" t="s">
        <v>100</v>
      </c>
      <c r="E1170" t="s">
        <v>65</v>
      </c>
      <c r="F1170">
        <v>7098131</v>
      </c>
      <c r="G1170" t="s">
        <v>75</v>
      </c>
      <c r="H1170" t="s">
        <v>43</v>
      </c>
      <c r="I1170" t="s">
        <v>44</v>
      </c>
      <c r="J1170" t="s">
        <v>50</v>
      </c>
      <c r="K1170" t="s">
        <v>16</v>
      </c>
      <c r="L1170" t="s">
        <v>51</v>
      </c>
      <c r="M1170" t="s">
        <v>301</v>
      </c>
      <c r="N1170" t="s">
        <v>302</v>
      </c>
      <c r="O1170" t="s">
        <v>284</v>
      </c>
      <c r="P1170" t="s">
        <v>1292</v>
      </c>
      <c r="Q1170" t="s">
        <v>46</v>
      </c>
      <c r="R1170" t="s">
        <v>47</v>
      </c>
      <c r="S1170" t="s">
        <v>46</v>
      </c>
      <c r="T1170" t="s">
        <v>46</v>
      </c>
      <c r="U1170" s="4">
        <v>2238.34</v>
      </c>
      <c r="V1170" t="str">
        <f t="shared" si="18"/>
        <v>TP27</v>
      </c>
      <c r="W1170" t="str">
        <f>VLOOKUP(K1170,[1]Info!A$1:B$21,2,0)</f>
        <v>Trator Pneu</v>
      </c>
      <c r="X1170" t="str">
        <f>IF(M1170="109595132","Material de Limpeza-Não Avaliar",IF(AND(K1170="F20",M1170&lt;&gt;109595132),IF(RIGHT(F1170,2)="70","Infraestrutura de Planta","Prédios e Instalações"),IF(K1170="FPC",VLOOKUP(F1170,[1]Info!$E$2:$F$11,2,0),IF(K1170="FGP",VLOOKUP(F1170,[1]Info!$E$9:$F$10,2,0),IF(K1170="F10",VLOOKUP(F1170,[1]Info!$E$2:$F$3,2,0),VLOOKUP(K1170,[1]Info!$A$1:$B$21,2,0))))))</f>
        <v>Trator Pneu</v>
      </c>
    </row>
    <row r="1171" spans="1:24" x14ac:dyDescent="0.35">
      <c r="A1171" t="s">
        <v>41</v>
      </c>
      <c r="B1171" t="s">
        <v>73</v>
      </c>
      <c r="C1171" t="s">
        <v>74</v>
      </c>
      <c r="D1171" t="s">
        <v>100</v>
      </c>
      <c r="E1171" t="s">
        <v>65</v>
      </c>
      <c r="F1171">
        <v>7098131</v>
      </c>
      <c r="G1171" t="s">
        <v>75</v>
      </c>
      <c r="H1171" t="s">
        <v>43</v>
      </c>
      <c r="I1171" t="s">
        <v>44</v>
      </c>
      <c r="J1171" t="s">
        <v>50</v>
      </c>
      <c r="K1171" t="s">
        <v>16</v>
      </c>
      <c r="L1171" t="s">
        <v>51</v>
      </c>
      <c r="M1171" t="s">
        <v>1897</v>
      </c>
      <c r="N1171" t="s">
        <v>1898</v>
      </c>
      <c r="O1171" t="s">
        <v>285</v>
      </c>
      <c r="P1171" t="s">
        <v>1292</v>
      </c>
      <c r="Q1171" t="s">
        <v>46</v>
      </c>
      <c r="R1171" t="s">
        <v>47</v>
      </c>
      <c r="S1171" t="s">
        <v>46</v>
      </c>
      <c r="T1171" t="s">
        <v>46</v>
      </c>
      <c r="U1171" s="4">
        <v>587.78</v>
      </c>
      <c r="V1171" t="str">
        <f t="shared" si="18"/>
        <v>TP29</v>
      </c>
      <c r="W1171" t="str">
        <f>VLOOKUP(K1171,[1]Info!A$1:B$21,2,0)</f>
        <v>Trator Pneu</v>
      </c>
      <c r="X1171" t="str">
        <f>IF(M1171="109595132","Material de Limpeza-Não Avaliar",IF(AND(K1171="F20",M1171&lt;&gt;109595132),IF(RIGHT(F1171,2)="70","Infraestrutura de Planta","Prédios e Instalações"),IF(K1171="FPC",VLOOKUP(F1171,[1]Info!$E$2:$F$11,2,0),IF(K1171="FGP",VLOOKUP(F1171,[1]Info!$E$9:$F$10,2,0),IF(K1171="F10",VLOOKUP(F1171,[1]Info!$E$2:$F$3,2,0),VLOOKUP(K1171,[1]Info!$A$1:$B$21,2,0))))))</f>
        <v>Trator Pneu</v>
      </c>
    </row>
    <row r="1172" spans="1:24" x14ac:dyDescent="0.35">
      <c r="A1172" t="s">
        <v>41</v>
      </c>
      <c r="B1172" t="s">
        <v>73</v>
      </c>
      <c r="C1172" t="s">
        <v>74</v>
      </c>
      <c r="D1172" t="s">
        <v>100</v>
      </c>
      <c r="E1172" t="s">
        <v>65</v>
      </c>
      <c r="F1172">
        <v>7098131</v>
      </c>
      <c r="G1172" t="s">
        <v>75</v>
      </c>
      <c r="H1172" t="s">
        <v>43</v>
      </c>
      <c r="I1172" t="s">
        <v>44</v>
      </c>
      <c r="J1172" t="s">
        <v>50</v>
      </c>
      <c r="K1172" t="s">
        <v>16</v>
      </c>
      <c r="L1172" t="s">
        <v>51</v>
      </c>
      <c r="M1172" t="s">
        <v>1799</v>
      </c>
      <c r="N1172" t="s">
        <v>1800</v>
      </c>
      <c r="O1172" t="s">
        <v>864</v>
      </c>
      <c r="P1172" t="s">
        <v>1292</v>
      </c>
      <c r="Q1172" t="s">
        <v>46</v>
      </c>
      <c r="R1172" t="s">
        <v>47</v>
      </c>
      <c r="S1172" t="s">
        <v>46</v>
      </c>
      <c r="T1172" t="s">
        <v>46</v>
      </c>
      <c r="U1172" s="4">
        <v>1175.56</v>
      </c>
      <c r="V1172" t="str">
        <f t="shared" si="18"/>
        <v>TP31</v>
      </c>
      <c r="W1172" t="str">
        <f>VLOOKUP(K1172,[1]Info!A$1:B$21,2,0)</f>
        <v>Trator Pneu</v>
      </c>
      <c r="X1172" t="str">
        <f>IF(M1172="109595132","Material de Limpeza-Não Avaliar",IF(AND(K1172="F20",M1172&lt;&gt;109595132),IF(RIGHT(F1172,2)="70","Infraestrutura de Planta","Prédios e Instalações"),IF(K1172="FPC",VLOOKUP(F1172,[1]Info!$E$2:$F$11,2,0),IF(K1172="FGP",VLOOKUP(F1172,[1]Info!$E$9:$F$10,2,0),IF(K1172="F10",VLOOKUP(F1172,[1]Info!$E$2:$F$3,2,0),VLOOKUP(K1172,[1]Info!$A$1:$B$21,2,0))))))</f>
        <v>Trator Pneu</v>
      </c>
    </row>
    <row r="1173" spans="1:24" x14ac:dyDescent="0.35">
      <c r="A1173" t="s">
        <v>41</v>
      </c>
      <c r="B1173" t="s">
        <v>73</v>
      </c>
      <c r="C1173" t="s">
        <v>74</v>
      </c>
      <c r="D1173" t="s">
        <v>100</v>
      </c>
      <c r="E1173" t="s">
        <v>65</v>
      </c>
      <c r="F1173">
        <v>7098131</v>
      </c>
      <c r="G1173" t="s">
        <v>75</v>
      </c>
      <c r="H1173" t="s">
        <v>43</v>
      </c>
      <c r="I1173" t="s">
        <v>44</v>
      </c>
      <c r="J1173" t="s">
        <v>50</v>
      </c>
      <c r="K1173" t="s">
        <v>16</v>
      </c>
      <c r="L1173" t="s">
        <v>51</v>
      </c>
      <c r="M1173" t="s">
        <v>1899</v>
      </c>
      <c r="N1173" t="s">
        <v>1900</v>
      </c>
      <c r="O1173" t="s">
        <v>227</v>
      </c>
      <c r="P1173" t="s">
        <v>1292</v>
      </c>
      <c r="Q1173" t="s">
        <v>46</v>
      </c>
      <c r="R1173" t="s">
        <v>47</v>
      </c>
      <c r="S1173" t="s">
        <v>46</v>
      </c>
      <c r="T1173" t="s">
        <v>46</v>
      </c>
      <c r="U1173" s="4">
        <v>2057.25</v>
      </c>
      <c r="V1173" t="str">
        <f t="shared" si="18"/>
        <v>TP32</v>
      </c>
      <c r="W1173" t="str">
        <f>VLOOKUP(K1173,[1]Info!A$1:B$21,2,0)</f>
        <v>Trator Pneu</v>
      </c>
      <c r="X1173" t="str">
        <f>IF(M1173="109595132","Material de Limpeza-Não Avaliar",IF(AND(K1173="F20",M1173&lt;&gt;109595132),IF(RIGHT(F1173,2)="70","Infraestrutura de Planta","Prédios e Instalações"),IF(K1173="FPC",VLOOKUP(F1173,[1]Info!$E$2:$F$11,2,0),IF(K1173="FGP",VLOOKUP(F1173,[1]Info!$E$9:$F$10,2,0),IF(K1173="F10",VLOOKUP(F1173,[1]Info!$E$2:$F$3,2,0),VLOOKUP(K1173,[1]Info!$A$1:$B$21,2,0))))))</f>
        <v>Trator Pneu</v>
      </c>
    </row>
    <row r="1174" spans="1:24" x14ac:dyDescent="0.35">
      <c r="A1174" t="s">
        <v>41</v>
      </c>
      <c r="B1174" t="s">
        <v>73</v>
      </c>
      <c r="C1174" t="s">
        <v>74</v>
      </c>
      <c r="D1174" t="s">
        <v>100</v>
      </c>
      <c r="E1174" t="s">
        <v>65</v>
      </c>
      <c r="F1174">
        <v>7098131</v>
      </c>
      <c r="G1174" t="s">
        <v>75</v>
      </c>
      <c r="H1174" t="s">
        <v>43</v>
      </c>
      <c r="I1174" t="s">
        <v>44</v>
      </c>
      <c r="J1174" t="s">
        <v>50</v>
      </c>
      <c r="K1174" t="s">
        <v>16</v>
      </c>
      <c r="L1174" t="s">
        <v>51</v>
      </c>
      <c r="M1174" t="s">
        <v>1901</v>
      </c>
      <c r="N1174" t="s">
        <v>1902</v>
      </c>
      <c r="O1174" t="s">
        <v>1593</v>
      </c>
      <c r="P1174" t="s">
        <v>1292</v>
      </c>
      <c r="Q1174" t="s">
        <v>46</v>
      </c>
      <c r="R1174" t="s">
        <v>47</v>
      </c>
      <c r="S1174" t="s">
        <v>46</v>
      </c>
      <c r="T1174" t="s">
        <v>46</v>
      </c>
      <c r="U1174" s="4">
        <v>3918.56</v>
      </c>
      <c r="V1174" t="str">
        <f t="shared" si="18"/>
        <v>TP36</v>
      </c>
      <c r="W1174" t="str">
        <f>VLOOKUP(K1174,[1]Info!A$1:B$21,2,0)</f>
        <v>Trator Pneu</v>
      </c>
      <c r="X1174" t="str">
        <f>IF(M1174="109595132","Material de Limpeza-Não Avaliar",IF(AND(K1174="F20",M1174&lt;&gt;109595132),IF(RIGHT(F1174,2)="70","Infraestrutura de Planta","Prédios e Instalações"),IF(K1174="FPC",VLOOKUP(F1174,[1]Info!$E$2:$F$11,2,0),IF(K1174="FGP",VLOOKUP(F1174,[1]Info!$E$9:$F$10,2,0),IF(K1174="F10",VLOOKUP(F1174,[1]Info!$E$2:$F$3,2,0),VLOOKUP(K1174,[1]Info!$A$1:$B$21,2,0))))))</f>
        <v>Trator Pneu</v>
      </c>
    </row>
    <row r="1175" spans="1:24" x14ac:dyDescent="0.35">
      <c r="A1175" t="s">
        <v>41</v>
      </c>
      <c r="B1175" t="s">
        <v>73</v>
      </c>
      <c r="C1175" t="s">
        <v>74</v>
      </c>
      <c r="D1175" t="s">
        <v>100</v>
      </c>
      <c r="E1175" t="s">
        <v>65</v>
      </c>
      <c r="F1175">
        <v>7098131</v>
      </c>
      <c r="G1175" t="s">
        <v>75</v>
      </c>
      <c r="H1175" t="s">
        <v>43</v>
      </c>
      <c r="I1175" t="s">
        <v>44</v>
      </c>
      <c r="J1175" t="s">
        <v>50</v>
      </c>
      <c r="K1175" t="s">
        <v>16</v>
      </c>
      <c r="L1175" t="s">
        <v>51</v>
      </c>
      <c r="M1175" t="s">
        <v>1903</v>
      </c>
      <c r="N1175" t="s">
        <v>1904</v>
      </c>
      <c r="O1175" t="s">
        <v>1158</v>
      </c>
      <c r="P1175" t="s">
        <v>1292</v>
      </c>
      <c r="Q1175" t="s">
        <v>46</v>
      </c>
      <c r="R1175" t="s">
        <v>47</v>
      </c>
      <c r="S1175" t="s">
        <v>46</v>
      </c>
      <c r="T1175" t="s">
        <v>46</v>
      </c>
      <c r="U1175" s="4">
        <v>1959.28</v>
      </c>
      <c r="V1175" t="str">
        <f t="shared" si="18"/>
        <v>TP33</v>
      </c>
      <c r="W1175" t="str">
        <f>VLOOKUP(K1175,[1]Info!A$1:B$21,2,0)</f>
        <v>Trator Pneu</v>
      </c>
      <c r="X1175" t="str">
        <f>IF(M1175="109595132","Material de Limpeza-Não Avaliar",IF(AND(K1175="F20",M1175&lt;&gt;109595132),IF(RIGHT(F1175,2)="70","Infraestrutura de Planta","Prédios e Instalações"),IF(K1175="FPC",VLOOKUP(F1175,[1]Info!$E$2:$F$11,2,0),IF(K1175="FGP",VLOOKUP(F1175,[1]Info!$E$9:$F$10,2,0),IF(K1175="F10",VLOOKUP(F1175,[1]Info!$E$2:$F$3,2,0),VLOOKUP(K1175,[1]Info!$A$1:$B$21,2,0))))))</f>
        <v>Trator Pneu</v>
      </c>
    </row>
    <row r="1176" spans="1:24" x14ac:dyDescent="0.35">
      <c r="A1176" t="s">
        <v>41</v>
      </c>
      <c r="B1176" t="s">
        <v>73</v>
      </c>
      <c r="C1176" t="s">
        <v>74</v>
      </c>
      <c r="D1176" t="s">
        <v>100</v>
      </c>
      <c r="E1176" t="s">
        <v>65</v>
      </c>
      <c r="F1176">
        <v>7098131</v>
      </c>
      <c r="G1176" t="s">
        <v>75</v>
      </c>
      <c r="H1176" t="s">
        <v>43</v>
      </c>
      <c r="I1176" t="s">
        <v>44</v>
      </c>
      <c r="J1176" t="s">
        <v>50</v>
      </c>
      <c r="K1176" t="s">
        <v>16</v>
      </c>
      <c r="L1176" t="s">
        <v>51</v>
      </c>
      <c r="M1176" t="s">
        <v>1905</v>
      </c>
      <c r="N1176" t="s">
        <v>1906</v>
      </c>
      <c r="O1176" t="s">
        <v>1145</v>
      </c>
      <c r="P1176" t="s">
        <v>1292</v>
      </c>
      <c r="Q1176" t="s">
        <v>46</v>
      </c>
      <c r="R1176" t="s">
        <v>47</v>
      </c>
      <c r="S1176" t="s">
        <v>46</v>
      </c>
      <c r="T1176" t="s">
        <v>46</v>
      </c>
      <c r="U1176" s="4">
        <v>17437.599999999999</v>
      </c>
      <c r="V1176" t="str">
        <f t="shared" si="18"/>
        <v>TP34</v>
      </c>
      <c r="W1176" t="str">
        <f>VLOOKUP(K1176,[1]Info!A$1:B$21,2,0)</f>
        <v>Trator Pneu</v>
      </c>
      <c r="X1176" t="str">
        <f>IF(M1176="109595132","Material de Limpeza-Não Avaliar",IF(AND(K1176="F20",M1176&lt;&gt;109595132),IF(RIGHT(F1176,2)="70","Infraestrutura de Planta","Prédios e Instalações"),IF(K1176="FPC",VLOOKUP(F1176,[1]Info!$E$2:$F$11,2,0),IF(K1176="FGP",VLOOKUP(F1176,[1]Info!$E$9:$F$10,2,0),IF(K1176="F10",VLOOKUP(F1176,[1]Info!$E$2:$F$3,2,0),VLOOKUP(K1176,[1]Info!$A$1:$B$21,2,0))))))</f>
        <v>Trator Pneu</v>
      </c>
    </row>
    <row r="1177" spans="1:24" x14ac:dyDescent="0.35">
      <c r="A1177" t="s">
        <v>41</v>
      </c>
      <c r="B1177" t="s">
        <v>73</v>
      </c>
      <c r="C1177" t="s">
        <v>74</v>
      </c>
      <c r="D1177" t="s">
        <v>100</v>
      </c>
      <c r="E1177" t="s">
        <v>65</v>
      </c>
      <c r="F1177">
        <v>7098131</v>
      </c>
      <c r="G1177" t="s">
        <v>75</v>
      </c>
      <c r="H1177" t="s">
        <v>43</v>
      </c>
      <c r="I1177" t="s">
        <v>44</v>
      </c>
      <c r="J1177" t="s">
        <v>50</v>
      </c>
      <c r="K1177" t="s">
        <v>16</v>
      </c>
      <c r="L1177" t="s">
        <v>51</v>
      </c>
      <c r="M1177" t="s">
        <v>303</v>
      </c>
      <c r="N1177" t="s">
        <v>304</v>
      </c>
      <c r="O1177" t="s">
        <v>276</v>
      </c>
      <c r="P1177" t="s">
        <v>1292</v>
      </c>
      <c r="Q1177" t="s">
        <v>46</v>
      </c>
      <c r="R1177" t="s">
        <v>47</v>
      </c>
      <c r="S1177" t="s">
        <v>46</v>
      </c>
      <c r="T1177" t="s">
        <v>46</v>
      </c>
      <c r="U1177" s="4">
        <v>6337.98</v>
      </c>
      <c r="V1177" t="str">
        <f t="shared" si="18"/>
        <v>TP35</v>
      </c>
      <c r="W1177" t="str">
        <f>VLOOKUP(K1177,[1]Info!A$1:B$21,2,0)</f>
        <v>Trator Pneu</v>
      </c>
      <c r="X1177" t="str">
        <f>IF(M1177="109595132","Material de Limpeza-Não Avaliar",IF(AND(K1177="F20",M1177&lt;&gt;109595132),IF(RIGHT(F1177,2)="70","Infraestrutura de Planta","Prédios e Instalações"),IF(K1177="FPC",VLOOKUP(F1177,[1]Info!$E$2:$F$11,2,0),IF(K1177="FGP",VLOOKUP(F1177,[1]Info!$E$9:$F$10,2,0),IF(K1177="F10",VLOOKUP(F1177,[1]Info!$E$2:$F$3,2,0),VLOOKUP(K1177,[1]Info!$A$1:$B$21,2,0))))))</f>
        <v>Trator Pneu</v>
      </c>
    </row>
    <row r="1178" spans="1:24" x14ac:dyDescent="0.35">
      <c r="A1178" t="s">
        <v>41</v>
      </c>
      <c r="B1178" t="s">
        <v>73</v>
      </c>
      <c r="C1178" t="s">
        <v>74</v>
      </c>
      <c r="D1178" t="s">
        <v>100</v>
      </c>
      <c r="E1178" t="s">
        <v>65</v>
      </c>
      <c r="F1178">
        <v>7098131</v>
      </c>
      <c r="G1178" t="s">
        <v>75</v>
      </c>
      <c r="H1178" t="s">
        <v>43</v>
      </c>
      <c r="I1178" t="s">
        <v>44</v>
      </c>
      <c r="J1178" t="s">
        <v>50</v>
      </c>
      <c r="K1178" t="s">
        <v>16</v>
      </c>
      <c r="L1178" t="s">
        <v>51</v>
      </c>
      <c r="M1178" t="s">
        <v>1907</v>
      </c>
      <c r="N1178" t="s">
        <v>1908</v>
      </c>
      <c r="O1178" t="s">
        <v>886</v>
      </c>
      <c r="P1178" t="s">
        <v>1292</v>
      </c>
      <c r="Q1178" t="s">
        <v>46</v>
      </c>
      <c r="R1178" t="s">
        <v>47</v>
      </c>
      <c r="S1178" t="s">
        <v>46</v>
      </c>
      <c r="T1178" t="s">
        <v>46</v>
      </c>
      <c r="U1178" s="4">
        <v>12206.31</v>
      </c>
      <c r="V1178" t="str">
        <f t="shared" si="18"/>
        <v>TP30</v>
      </c>
      <c r="W1178" t="str">
        <f>VLOOKUP(K1178,[1]Info!A$1:B$21,2,0)</f>
        <v>Trator Pneu</v>
      </c>
      <c r="X1178" t="str">
        <f>IF(M1178="109595132","Material de Limpeza-Não Avaliar",IF(AND(K1178="F20",M1178&lt;&gt;109595132),IF(RIGHT(F1178,2)="70","Infraestrutura de Planta","Prédios e Instalações"),IF(K1178="FPC",VLOOKUP(F1178,[1]Info!$E$2:$F$11,2,0),IF(K1178="FGP",VLOOKUP(F1178,[1]Info!$E$9:$F$10,2,0),IF(K1178="F10",VLOOKUP(F1178,[1]Info!$E$2:$F$3,2,0),VLOOKUP(K1178,[1]Info!$A$1:$B$21,2,0))))))</f>
        <v>Trator Pneu</v>
      </c>
    </row>
    <row r="1179" spans="1:24" x14ac:dyDescent="0.35">
      <c r="A1179" t="s">
        <v>41</v>
      </c>
      <c r="B1179" t="s">
        <v>73</v>
      </c>
      <c r="C1179" t="s">
        <v>74</v>
      </c>
      <c r="D1179" t="s">
        <v>100</v>
      </c>
      <c r="E1179" t="s">
        <v>65</v>
      </c>
      <c r="F1179">
        <v>7098131</v>
      </c>
      <c r="G1179" t="s">
        <v>75</v>
      </c>
      <c r="H1179" t="s">
        <v>43</v>
      </c>
      <c r="I1179" t="s">
        <v>44</v>
      </c>
      <c r="J1179" t="s">
        <v>50</v>
      </c>
      <c r="K1179" t="s">
        <v>16</v>
      </c>
      <c r="L1179" t="s">
        <v>51</v>
      </c>
      <c r="M1179" t="s">
        <v>1909</v>
      </c>
      <c r="N1179" t="s">
        <v>1910</v>
      </c>
      <c r="O1179" t="s">
        <v>1594</v>
      </c>
      <c r="P1179" t="s">
        <v>1292</v>
      </c>
      <c r="Q1179" t="s">
        <v>46</v>
      </c>
      <c r="R1179" t="s">
        <v>47</v>
      </c>
      <c r="S1179" t="s">
        <v>46</v>
      </c>
      <c r="T1179" t="s">
        <v>46</v>
      </c>
      <c r="U1179" s="4">
        <v>783.72</v>
      </c>
      <c r="V1179" t="str">
        <f t="shared" si="18"/>
        <v>TP37</v>
      </c>
      <c r="W1179" t="str">
        <f>VLOOKUP(K1179,[1]Info!A$1:B$21,2,0)</f>
        <v>Trator Pneu</v>
      </c>
      <c r="X1179" t="str">
        <f>IF(M1179="109595132","Material de Limpeza-Não Avaliar",IF(AND(K1179="F20",M1179&lt;&gt;109595132),IF(RIGHT(F1179,2)="70","Infraestrutura de Planta","Prédios e Instalações"),IF(K1179="FPC",VLOOKUP(F1179,[1]Info!$E$2:$F$11,2,0),IF(K1179="FGP",VLOOKUP(F1179,[1]Info!$E$9:$F$10,2,0),IF(K1179="F10",VLOOKUP(F1179,[1]Info!$E$2:$F$3,2,0),VLOOKUP(K1179,[1]Info!$A$1:$B$21,2,0))))))</f>
        <v>Trator Pneu</v>
      </c>
    </row>
    <row r="1180" spans="1:24" x14ac:dyDescent="0.35">
      <c r="A1180" t="s">
        <v>41</v>
      </c>
      <c r="B1180" t="s">
        <v>73</v>
      </c>
      <c r="C1180" t="s">
        <v>74</v>
      </c>
      <c r="D1180" t="s">
        <v>100</v>
      </c>
      <c r="E1180" t="s">
        <v>65</v>
      </c>
      <c r="F1180">
        <v>7098131</v>
      </c>
      <c r="G1180" t="s">
        <v>75</v>
      </c>
      <c r="H1180" t="s">
        <v>43</v>
      </c>
      <c r="I1180" t="s">
        <v>44</v>
      </c>
      <c r="J1180" t="s">
        <v>50</v>
      </c>
      <c r="K1180" t="s">
        <v>3</v>
      </c>
      <c r="L1180" t="s">
        <v>51</v>
      </c>
      <c r="M1180" t="s">
        <v>1911</v>
      </c>
      <c r="N1180" t="s">
        <v>306</v>
      </c>
      <c r="O1180" t="s">
        <v>142</v>
      </c>
      <c r="P1180" t="s">
        <v>1292</v>
      </c>
      <c r="Q1180" t="s">
        <v>46</v>
      </c>
      <c r="R1180" t="s">
        <v>47</v>
      </c>
      <c r="S1180" t="s">
        <v>46</v>
      </c>
      <c r="T1180" t="s">
        <v>46</v>
      </c>
      <c r="U1180" s="4">
        <v>4102.1000000000004</v>
      </c>
      <c r="V1180" t="str">
        <f t="shared" si="18"/>
        <v>C027</v>
      </c>
      <c r="W1180" t="str">
        <f>VLOOKUP(K1180,[1]Info!A$1:B$21,2,0)</f>
        <v>Carregadeira</v>
      </c>
      <c r="X1180" t="str">
        <f>IF(M1180="109595132","Material de Limpeza-Não Avaliar",IF(AND(K1180="F20",M1180&lt;&gt;109595132),IF(RIGHT(F1180,2)="70","Infraestrutura de Planta","Prédios e Instalações"),IF(K1180="FPC",VLOOKUP(F1180,[1]Info!$E$2:$F$11,2,0),IF(K1180="FGP",VLOOKUP(F1180,[1]Info!$E$9:$F$10,2,0),IF(K1180="F10",VLOOKUP(F1180,[1]Info!$E$2:$F$3,2,0),VLOOKUP(K1180,[1]Info!$A$1:$B$21,2,0))))))</f>
        <v>Carregadeira Plantas</v>
      </c>
    </row>
    <row r="1181" spans="1:24" x14ac:dyDescent="0.35">
      <c r="A1181" t="s">
        <v>41</v>
      </c>
      <c r="B1181" t="s">
        <v>73</v>
      </c>
      <c r="C1181" t="s">
        <v>74</v>
      </c>
      <c r="D1181" t="s">
        <v>100</v>
      </c>
      <c r="E1181" t="s">
        <v>65</v>
      </c>
      <c r="F1181">
        <v>7098131</v>
      </c>
      <c r="G1181" t="s">
        <v>75</v>
      </c>
      <c r="H1181" t="s">
        <v>43</v>
      </c>
      <c r="I1181" t="s">
        <v>44</v>
      </c>
      <c r="J1181" t="s">
        <v>50</v>
      </c>
      <c r="K1181" t="s">
        <v>3</v>
      </c>
      <c r="L1181" t="s">
        <v>51</v>
      </c>
      <c r="M1181" t="s">
        <v>1912</v>
      </c>
      <c r="N1181" t="s">
        <v>1913</v>
      </c>
      <c r="O1181" t="s">
        <v>1171</v>
      </c>
      <c r="P1181" t="s">
        <v>1292</v>
      </c>
      <c r="Q1181" t="s">
        <v>46</v>
      </c>
      <c r="R1181" t="s">
        <v>47</v>
      </c>
      <c r="S1181" t="s">
        <v>46</v>
      </c>
      <c r="T1181" t="s">
        <v>46</v>
      </c>
      <c r="U1181" s="4">
        <v>334.86</v>
      </c>
      <c r="V1181" t="str">
        <f t="shared" si="18"/>
        <v>C029</v>
      </c>
      <c r="W1181" t="str">
        <f>VLOOKUP(K1181,[1]Info!A$1:B$21,2,0)</f>
        <v>Carregadeira</v>
      </c>
      <c r="X1181" t="str">
        <f>IF(M1181="109595132","Material de Limpeza-Não Avaliar",IF(AND(K1181="F20",M1181&lt;&gt;109595132),IF(RIGHT(F1181,2)="70","Infraestrutura de Planta","Prédios e Instalações"),IF(K1181="FPC",VLOOKUP(F1181,[1]Info!$E$2:$F$11,2,0),IF(K1181="FGP",VLOOKUP(F1181,[1]Info!$E$9:$F$10,2,0),IF(K1181="F10",VLOOKUP(F1181,[1]Info!$E$2:$F$3,2,0),VLOOKUP(K1181,[1]Info!$A$1:$B$21,2,0))))))</f>
        <v>Carregadeira Plantas</v>
      </c>
    </row>
    <row r="1182" spans="1:24" x14ac:dyDescent="0.35">
      <c r="A1182" t="s">
        <v>41</v>
      </c>
      <c r="B1182" t="s">
        <v>73</v>
      </c>
      <c r="C1182" t="s">
        <v>74</v>
      </c>
      <c r="D1182" t="s">
        <v>100</v>
      </c>
      <c r="E1182" t="s">
        <v>65</v>
      </c>
      <c r="F1182">
        <v>7098131</v>
      </c>
      <c r="G1182" t="s">
        <v>75</v>
      </c>
      <c r="H1182" t="s">
        <v>43</v>
      </c>
      <c r="I1182" t="s">
        <v>44</v>
      </c>
      <c r="J1182" t="s">
        <v>50</v>
      </c>
      <c r="K1182" t="s">
        <v>3</v>
      </c>
      <c r="L1182" t="s">
        <v>51</v>
      </c>
      <c r="M1182" t="s">
        <v>1914</v>
      </c>
      <c r="N1182" t="s">
        <v>1915</v>
      </c>
      <c r="O1182" t="s">
        <v>945</v>
      </c>
      <c r="P1182" t="s">
        <v>1292</v>
      </c>
      <c r="Q1182" t="s">
        <v>46</v>
      </c>
      <c r="R1182" t="s">
        <v>47</v>
      </c>
      <c r="S1182" t="s">
        <v>46</v>
      </c>
      <c r="T1182" t="s">
        <v>46</v>
      </c>
      <c r="U1182" s="4">
        <v>2134.77</v>
      </c>
      <c r="V1182" t="str">
        <f t="shared" si="18"/>
        <v>C035</v>
      </c>
      <c r="W1182" t="str">
        <f>VLOOKUP(K1182,[1]Info!A$1:B$21,2,0)</f>
        <v>Carregadeira</v>
      </c>
      <c r="X1182" t="str">
        <f>IF(M1182="109595132","Material de Limpeza-Não Avaliar",IF(AND(K1182="F20",M1182&lt;&gt;109595132),IF(RIGHT(F1182,2)="70","Infraestrutura de Planta","Prédios e Instalações"),IF(K1182="FPC",VLOOKUP(F1182,[1]Info!$E$2:$F$11,2,0),IF(K1182="FGP",VLOOKUP(F1182,[1]Info!$E$9:$F$10,2,0),IF(K1182="F10",VLOOKUP(F1182,[1]Info!$E$2:$F$3,2,0),VLOOKUP(K1182,[1]Info!$A$1:$B$21,2,0))))))</f>
        <v>Carregadeira Plantas</v>
      </c>
    </row>
    <row r="1183" spans="1:24" x14ac:dyDescent="0.35">
      <c r="A1183" t="s">
        <v>41</v>
      </c>
      <c r="B1183" t="s">
        <v>73</v>
      </c>
      <c r="C1183" t="s">
        <v>74</v>
      </c>
      <c r="D1183" t="s">
        <v>100</v>
      </c>
      <c r="E1183" t="s">
        <v>65</v>
      </c>
      <c r="F1183">
        <v>7098131</v>
      </c>
      <c r="G1183" t="s">
        <v>75</v>
      </c>
      <c r="H1183" t="s">
        <v>43</v>
      </c>
      <c r="I1183" t="s">
        <v>44</v>
      </c>
      <c r="J1183" t="s">
        <v>50</v>
      </c>
      <c r="K1183" t="s">
        <v>3</v>
      </c>
      <c r="L1183" t="s">
        <v>51</v>
      </c>
      <c r="M1183" t="s">
        <v>1916</v>
      </c>
      <c r="N1183" t="s">
        <v>1917</v>
      </c>
      <c r="O1183" t="s">
        <v>1562</v>
      </c>
      <c r="P1183" t="s">
        <v>1292</v>
      </c>
      <c r="Q1183" t="s">
        <v>46</v>
      </c>
      <c r="R1183" t="s">
        <v>47</v>
      </c>
      <c r="S1183" t="s">
        <v>46</v>
      </c>
      <c r="T1183" t="s">
        <v>46</v>
      </c>
      <c r="U1183" s="4">
        <v>41.86</v>
      </c>
      <c r="V1183" t="str">
        <f t="shared" si="18"/>
        <v>C039</v>
      </c>
      <c r="W1183" t="str">
        <f>VLOOKUP(K1183,[1]Info!A$1:B$21,2,0)</f>
        <v>Carregadeira</v>
      </c>
      <c r="X1183" t="str">
        <f>IF(M1183="109595132","Material de Limpeza-Não Avaliar",IF(AND(K1183="F20",M1183&lt;&gt;109595132),IF(RIGHT(F1183,2)="70","Infraestrutura de Planta","Prédios e Instalações"),IF(K1183="FPC",VLOOKUP(F1183,[1]Info!$E$2:$F$11,2,0),IF(K1183="FGP",VLOOKUP(F1183,[1]Info!$E$9:$F$10,2,0),IF(K1183="F10",VLOOKUP(F1183,[1]Info!$E$2:$F$3,2,0),VLOOKUP(K1183,[1]Info!$A$1:$B$21,2,0))))))</f>
        <v>Carregadeira Plantas</v>
      </c>
    </row>
    <row r="1184" spans="1:24" x14ac:dyDescent="0.35">
      <c r="A1184" t="s">
        <v>41</v>
      </c>
      <c r="B1184" t="s">
        <v>73</v>
      </c>
      <c r="C1184" t="s">
        <v>74</v>
      </c>
      <c r="D1184" t="s">
        <v>100</v>
      </c>
      <c r="E1184" t="s">
        <v>65</v>
      </c>
      <c r="F1184">
        <v>7098131</v>
      </c>
      <c r="G1184" t="s">
        <v>75</v>
      </c>
      <c r="H1184" t="s">
        <v>43</v>
      </c>
      <c r="I1184" t="s">
        <v>44</v>
      </c>
      <c r="J1184" t="s">
        <v>50</v>
      </c>
      <c r="K1184" t="s">
        <v>3</v>
      </c>
      <c r="L1184" t="s">
        <v>51</v>
      </c>
      <c r="M1184" t="s">
        <v>1068</v>
      </c>
      <c r="N1184" t="s">
        <v>1069</v>
      </c>
      <c r="O1184" t="s">
        <v>1070</v>
      </c>
      <c r="P1184" t="s">
        <v>1292</v>
      </c>
      <c r="Q1184" t="s">
        <v>46</v>
      </c>
      <c r="R1184" t="s">
        <v>47</v>
      </c>
      <c r="S1184" t="s">
        <v>46</v>
      </c>
      <c r="T1184" t="s">
        <v>46</v>
      </c>
      <c r="U1184" s="4">
        <v>125.58</v>
      </c>
      <c r="V1184" t="str">
        <f t="shared" si="18"/>
        <v>C041</v>
      </c>
      <c r="W1184" t="str">
        <f>VLOOKUP(K1184,[1]Info!A$1:B$21,2,0)</f>
        <v>Carregadeira</v>
      </c>
      <c r="X1184" t="str">
        <f>IF(M1184="109595132","Material de Limpeza-Não Avaliar",IF(AND(K1184="F20",M1184&lt;&gt;109595132),IF(RIGHT(F1184,2)="70","Infraestrutura de Planta","Prédios e Instalações"),IF(K1184="FPC",VLOOKUP(F1184,[1]Info!$E$2:$F$11,2,0),IF(K1184="FGP",VLOOKUP(F1184,[1]Info!$E$9:$F$10,2,0),IF(K1184="F10",VLOOKUP(F1184,[1]Info!$E$2:$F$3,2,0),VLOOKUP(K1184,[1]Info!$A$1:$B$21,2,0))))))</f>
        <v>Carregadeira Plantas</v>
      </c>
    </row>
    <row r="1185" spans="1:24" x14ac:dyDescent="0.35">
      <c r="A1185" t="s">
        <v>41</v>
      </c>
      <c r="B1185" t="s">
        <v>73</v>
      </c>
      <c r="C1185" t="s">
        <v>74</v>
      </c>
      <c r="D1185" t="s">
        <v>100</v>
      </c>
      <c r="E1185" t="s">
        <v>65</v>
      </c>
      <c r="F1185">
        <v>7098131</v>
      </c>
      <c r="G1185" t="s">
        <v>75</v>
      </c>
      <c r="H1185" t="s">
        <v>43</v>
      </c>
      <c r="I1185" t="s">
        <v>44</v>
      </c>
      <c r="J1185" t="s">
        <v>50</v>
      </c>
      <c r="K1185" t="s">
        <v>3</v>
      </c>
      <c r="L1185" t="s">
        <v>51</v>
      </c>
      <c r="M1185" t="s">
        <v>1071</v>
      </c>
      <c r="N1185" t="s">
        <v>1072</v>
      </c>
      <c r="O1185" t="s">
        <v>1073</v>
      </c>
      <c r="P1185" t="s">
        <v>1292</v>
      </c>
      <c r="Q1185" t="s">
        <v>46</v>
      </c>
      <c r="R1185" t="s">
        <v>47</v>
      </c>
      <c r="S1185" t="s">
        <v>46</v>
      </c>
      <c r="T1185" t="s">
        <v>46</v>
      </c>
      <c r="U1185" s="4">
        <v>362.77</v>
      </c>
      <c r="V1185" t="str">
        <f t="shared" si="18"/>
        <v>C042</v>
      </c>
      <c r="W1185" t="str">
        <f>VLOOKUP(K1185,[1]Info!A$1:B$21,2,0)</f>
        <v>Carregadeira</v>
      </c>
      <c r="X1185" t="str">
        <f>IF(M1185="109595132","Material de Limpeza-Não Avaliar",IF(AND(K1185="F20",M1185&lt;&gt;109595132),IF(RIGHT(F1185,2)="70","Infraestrutura de Planta","Prédios e Instalações"),IF(K1185="FPC",VLOOKUP(F1185,[1]Info!$E$2:$F$11,2,0),IF(K1185="FGP",VLOOKUP(F1185,[1]Info!$E$9:$F$10,2,0),IF(K1185="F10",VLOOKUP(F1185,[1]Info!$E$2:$F$3,2,0),VLOOKUP(K1185,[1]Info!$A$1:$B$21,2,0))))))</f>
        <v>Carregadeira Plantas</v>
      </c>
    </row>
    <row r="1186" spans="1:24" x14ac:dyDescent="0.35">
      <c r="A1186" t="s">
        <v>41</v>
      </c>
      <c r="B1186" t="s">
        <v>73</v>
      </c>
      <c r="C1186" t="s">
        <v>74</v>
      </c>
      <c r="D1186" t="s">
        <v>100</v>
      </c>
      <c r="E1186" t="s">
        <v>65</v>
      </c>
      <c r="F1186">
        <v>7098131</v>
      </c>
      <c r="G1186" t="s">
        <v>75</v>
      </c>
      <c r="H1186" t="s">
        <v>43</v>
      </c>
      <c r="I1186" t="s">
        <v>44</v>
      </c>
      <c r="J1186" t="s">
        <v>50</v>
      </c>
      <c r="K1186" t="s">
        <v>3</v>
      </c>
      <c r="L1186" t="s">
        <v>51</v>
      </c>
      <c r="M1186" t="s">
        <v>1918</v>
      </c>
      <c r="N1186" t="s">
        <v>1919</v>
      </c>
      <c r="O1186" t="s">
        <v>82</v>
      </c>
      <c r="P1186" t="s">
        <v>1292</v>
      </c>
      <c r="Q1186" t="s">
        <v>46</v>
      </c>
      <c r="R1186" t="s">
        <v>47</v>
      </c>
      <c r="S1186" t="s">
        <v>46</v>
      </c>
      <c r="T1186" t="s">
        <v>46</v>
      </c>
      <c r="U1186" s="4">
        <v>4395.1099999999997</v>
      </c>
      <c r="V1186" t="str">
        <f t="shared" si="18"/>
        <v>C043</v>
      </c>
      <c r="W1186" t="str">
        <f>VLOOKUP(K1186,[1]Info!A$1:B$21,2,0)</f>
        <v>Carregadeira</v>
      </c>
      <c r="X1186" t="str">
        <f>IF(M1186="109595132","Material de Limpeza-Não Avaliar",IF(AND(K1186="F20",M1186&lt;&gt;109595132),IF(RIGHT(F1186,2)="70","Infraestrutura de Planta","Prédios e Instalações"),IF(K1186="FPC",VLOOKUP(F1186,[1]Info!$E$2:$F$11,2,0),IF(K1186="FGP",VLOOKUP(F1186,[1]Info!$E$9:$F$10,2,0),IF(K1186="F10",VLOOKUP(F1186,[1]Info!$E$2:$F$3,2,0),VLOOKUP(K1186,[1]Info!$A$1:$B$21,2,0))))))</f>
        <v>Carregadeira Plantas</v>
      </c>
    </row>
    <row r="1187" spans="1:24" x14ac:dyDescent="0.35">
      <c r="A1187" t="s">
        <v>41</v>
      </c>
      <c r="B1187" t="s">
        <v>73</v>
      </c>
      <c r="C1187" t="s">
        <v>74</v>
      </c>
      <c r="D1187" t="s">
        <v>100</v>
      </c>
      <c r="E1187" t="s">
        <v>65</v>
      </c>
      <c r="F1187">
        <v>7098131</v>
      </c>
      <c r="G1187" t="s">
        <v>75</v>
      </c>
      <c r="H1187" t="s">
        <v>43</v>
      </c>
      <c r="I1187" t="s">
        <v>44</v>
      </c>
      <c r="J1187" t="s">
        <v>50</v>
      </c>
      <c r="K1187" t="s">
        <v>3</v>
      </c>
      <c r="L1187" t="s">
        <v>51</v>
      </c>
      <c r="M1187" t="s">
        <v>1920</v>
      </c>
      <c r="N1187" t="s">
        <v>1921</v>
      </c>
      <c r="O1187" t="s">
        <v>143</v>
      </c>
      <c r="P1187" t="s">
        <v>1292</v>
      </c>
      <c r="Q1187" t="s">
        <v>46</v>
      </c>
      <c r="R1187" t="s">
        <v>47</v>
      </c>
      <c r="S1187" t="s">
        <v>46</v>
      </c>
      <c r="T1187" t="s">
        <v>46</v>
      </c>
      <c r="U1187" s="4">
        <v>69.760000000000005</v>
      </c>
      <c r="V1187" t="str">
        <f t="shared" si="18"/>
        <v>C048</v>
      </c>
      <c r="W1187" t="str">
        <f>VLOOKUP(K1187,[1]Info!A$1:B$21,2,0)</f>
        <v>Carregadeira</v>
      </c>
      <c r="X1187" t="str">
        <f>IF(M1187="109595132","Material de Limpeza-Não Avaliar",IF(AND(K1187="F20",M1187&lt;&gt;109595132),IF(RIGHT(F1187,2)="70","Infraestrutura de Planta","Prédios e Instalações"),IF(K1187="FPC",VLOOKUP(F1187,[1]Info!$E$2:$F$11,2,0),IF(K1187="FGP",VLOOKUP(F1187,[1]Info!$E$9:$F$10,2,0),IF(K1187="F10",VLOOKUP(F1187,[1]Info!$E$2:$F$3,2,0),VLOOKUP(K1187,[1]Info!$A$1:$B$21,2,0))))))</f>
        <v>Carregadeira Plantas</v>
      </c>
    </row>
    <row r="1188" spans="1:24" x14ac:dyDescent="0.35">
      <c r="A1188" t="s">
        <v>41</v>
      </c>
      <c r="B1188" t="s">
        <v>73</v>
      </c>
      <c r="C1188" t="s">
        <v>74</v>
      </c>
      <c r="D1188" t="s">
        <v>100</v>
      </c>
      <c r="E1188" t="s">
        <v>65</v>
      </c>
      <c r="F1188">
        <v>7098131</v>
      </c>
      <c r="G1188" t="s">
        <v>75</v>
      </c>
      <c r="H1188" t="s">
        <v>43</v>
      </c>
      <c r="I1188" t="s">
        <v>44</v>
      </c>
      <c r="J1188" t="s">
        <v>50</v>
      </c>
      <c r="K1188" t="s">
        <v>3</v>
      </c>
      <c r="L1188" t="s">
        <v>51</v>
      </c>
      <c r="M1188" t="s">
        <v>1922</v>
      </c>
      <c r="N1188" t="s">
        <v>1923</v>
      </c>
      <c r="O1188" t="s">
        <v>1176</v>
      </c>
      <c r="P1188" t="s">
        <v>1292</v>
      </c>
      <c r="Q1188" t="s">
        <v>46</v>
      </c>
      <c r="R1188" t="s">
        <v>47</v>
      </c>
      <c r="S1188" t="s">
        <v>46</v>
      </c>
      <c r="T1188" t="s">
        <v>46</v>
      </c>
      <c r="U1188" s="4">
        <v>69.760000000000005</v>
      </c>
      <c r="V1188" t="str">
        <f t="shared" si="18"/>
        <v>C049</v>
      </c>
      <c r="W1188" t="str">
        <f>VLOOKUP(K1188,[1]Info!A$1:B$21,2,0)</f>
        <v>Carregadeira</v>
      </c>
      <c r="X1188" t="str">
        <f>IF(M1188="109595132","Material de Limpeza-Não Avaliar",IF(AND(K1188="F20",M1188&lt;&gt;109595132),IF(RIGHT(F1188,2)="70","Infraestrutura de Planta","Prédios e Instalações"),IF(K1188="FPC",VLOOKUP(F1188,[1]Info!$E$2:$F$11,2,0),IF(K1188="FGP",VLOOKUP(F1188,[1]Info!$E$9:$F$10,2,0),IF(K1188="F10",VLOOKUP(F1188,[1]Info!$E$2:$F$3,2,0),VLOOKUP(K1188,[1]Info!$A$1:$B$21,2,0))))))</f>
        <v>Carregadeira Plantas</v>
      </c>
    </row>
    <row r="1189" spans="1:24" x14ac:dyDescent="0.35">
      <c r="A1189" t="s">
        <v>41</v>
      </c>
      <c r="B1189" t="s">
        <v>73</v>
      </c>
      <c r="C1189" t="s">
        <v>74</v>
      </c>
      <c r="D1189" t="s">
        <v>100</v>
      </c>
      <c r="E1189" t="s">
        <v>65</v>
      </c>
      <c r="F1189">
        <v>7098131</v>
      </c>
      <c r="G1189" t="s">
        <v>75</v>
      </c>
      <c r="H1189" t="s">
        <v>43</v>
      </c>
      <c r="I1189" t="s">
        <v>44</v>
      </c>
      <c r="J1189" t="s">
        <v>50</v>
      </c>
      <c r="K1189" t="s">
        <v>3</v>
      </c>
      <c r="L1189" t="s">
        <v>51</v>
      </c>
      <c r="M1189" t="s">
        <v>305</v>
      </c>
      <c r="N1189" t="s">
        <v>306</v>
      </c>
      <c r="O1189" t="s">
        <v>142</v>
      </c>
      <c r="P1189" t="s">
        <v>1292</v>
      </c>
      <c r="Q1189" t="s">
        <v>46</v>
      </c>
      <c r="R1189" t="s">
        <v>47</v>
      </c>
      <c r="S1189" t="s">
        <v>46</v>
      </c>
      <c r="T1189" t="s">
        <v>46</v>
      </c>
      <c r="U1189" s="4">
        <v>5583.95</v>
      </c>
      <c r="V1189" t="str">
        <f t="shared" si="18"/>
        <v>C027</v>
      </c>
      <c r="W1189" t="str">
        <f>VLOOKUP(K1189,[1]Info!A$1:B$21,2,0)</f>
        <v>Carregadeira</v>
      </c>
      <c r="X1189" t="str">
        <f>IF(M1189="109595132","Material de Limpeza-Não Avaliar",IF(AND(K1189="F20",M1189&lt;&gt;109595132),IF(RIGHT(F1189,2)="70","Infraestrutura de Planta","Prédios e Instalações"),IF(K1189="FPC",VLOOKUP(F1189,[1]Info!$E$2:$F$11,2,0),IF(K1189="FGP",VLOOKUP(F1189,[1]Info!$E$9:$F$10,2,0),IF(K1189="F10",VLOOKUP(F1189,[1]Info!$E$2:$F$3,2,0),VLOOKUP(K1189,[1]Info!$A$1:$B$21,2,0))))))</f>
        <v>Carregadeira Plantas</v>
      </c>
    </row>
    <row r="1190" spans="1:24" x14ac:dyDescent="0.35">
      <c r="A1190" t="s">
        <v>41</v>
      </c>
      <c r="B1190" t="s">
        <v>73</v>
      </c>
      <c r="C1190" t="s">
        <v>74</v>
      </c>
      <c r="D1190" t="s">
        <v>100</v>
      </c>
      <c r="E1190" t="s">
        <v>65</v>
      </c>
      <c r="F1190">
        <v>7098131</v>
      </c>
      <c r="G1190" t="s">
        <v>75</v>
      </c>
      <c r="H1190" t="s">
        <v>43</v>
      </c>
      <c r="I1190" t="s">
        <v>44</v>
      </c>
      <c r="J1190" t="s">
        <v>50</v>
      </c>
      <c r="K1190" t="s">
        <v>3</v>
      </c>
      <c r="L1190" t="s">
        <v>51</v>
      </c>
      <c r="M1190" t="s">
        <v>1924</v>
      </c>
      <c r="N1190" t="s">
        <v>1925</v>
      </c>
      <c r="O1190" t="s">
        <v>286</v>
      </c>
      <c r="P1190" t="s">
        <v>1292</v>
      </c>
      <c r="Q1190" t="s">
        <v>46</v>
      </c>
      <c r="R1190" t="s">
        <v>47</v>
      </c>
      <c r="S1190" t="s">
        <v>46</v>
      </c>
      <c r="T1190" t="s">
        <v>46</v>
      </c>
      <c r="U1190" s="4">
        <v>7719.59</v>
      </c>
      <c r="V1190" t="str">
        <f t="shared" si="18"/>
        <v>C028</v>
      </c>
      <c r="W1190" t="str">
        <f>VLOOKUP(K1190,[1]Info!A$1:B$21,2,0)</f>
        <v>Carregadeira</v>
      </c>
      <c r="X1190" t="str">
        <f>IF(M1190="109595132","Material de Limpeza-Não Avaliar",IF(AND(K1190="F20",M1190&lt;&gt;109595132),IF(RIGHT(F1190,2)="70","Infraestrutura de Planta","Prédios e Instalações"),IF(K1190="FPC",VLOOKUP(F1190,[1]Info!$E$2:$F$11,2,0),IF(K1190="FGP",VLOOKUP(F1190,[1]Info!$E$9:$F$10,2,0),IF(K1190="F10",VLOOKUP(F1190,[1]Info!$E$2:$F$3,2,0),VLOOKUP(K1190,[1]Info!$A$1:$B$21,2,0))))))</f>
        <v>Carregadeira Plantas</v>
      </c>
    </row>
    <row r="1191" spans="1:24" x14ac:dyDescent="0.35">
      <c r="A1191" t="s">
        <v>41</v>
      </c>
      <c r="B1191" t="s">
        <v>73</v>
      </c>
      <c r="C1191" t="s">
        <v>74</v>
      </c>
      <c r="D1191" t="s">
        <v>100</v>
      </c>
      <c r="E1191" t="s">
        <v>65</v>
      </c>
      <c r="F1191">
        <v>7098131</v>
      </c>
      <c r="G1191" t="s">
        <v>75</v>
      </c>
      <c r="H1191" t="s">
        <v>43</v>
      </c>
      <c r="I1191" t="s">
        <v>44</v>
      </c>
      <c r="J1191" t="s">
        <v>50</v>
      </c>
      <c r="K1191" t="s">
        <v>3</v>
      </c>
      <c r="L1191" t="s">
        <v>51</v>
      </c>
      <c r="M1191" t="s">
        <v>1926</v>
      </c>
      <c r="N1191" t="s">
        <v>1913</v>
      </c>
      <c r="O1191" t="s">
        <v>1171</v>
      </c>
      <c r="P1191" t="s">
        <v>1292</v>
      </c>
      <c r="Q1191" t="s">
        <v>46</v>
      </c>
      <c r="R1191" t="s">
        <v>47</v>
      </c>
      <c r="S1191" t="s">
        <v>46</v>
      </c>
      <c r="T1191" t="s">
        <v>46</v>
      </c>
      <c r="U1191" s="4">
        <v>4114.4799999999996</v>
      </c>
      <c r="V1191" t="str">
        <f t="shared" si="18"/>
        <v>C029</v>
      </c>
      <c r="W1191" t="str">
        <f>VLOOKUP(K1191,[1]Info!A$1:B$21,2,0)</f>
        <v>Carregadeira</v>
      </c>
      <c r="X1191" t="str">
        <f>IF(M1191="109595132","Material de Limpeza-Não Avaliar",IF(AND(K1191="F20",M1191&lt;&gt;109595132),IF(RIGHT(F1191,2)="70","Infraestrutura de Planta","Prédios e Instalações"),IF(K1191="FPC",VLOOKUP(F1191,[1]Info!$E$2:$F$11,2,0),IF(K1191="FGP",VLOOKUP(F1191,[1]Info!$E$9:$F$10,2,0),IF(K1191="F10",VLOOKUP(F1191,[1]Info!$E$2:$F$3,2,0),VLOOKUP(K1191,[1]Info!$A$1:$B$21,2,0))))))</f>
        <v>Carregadeira Plantas</v>
      </c>
    </row>
    <row r="1192" spans="1:24" x14ac:dyDescent="0.35">
      <c r="A1192" t="s">
        <v>41</v>
      </c>
      <c r="B1192" t="s">
        <v>73</v>
      </c>
      <c r="C1192" t="s">
        <v>74</v>
      </c>
      <c r="D1192" t="s">
        <v>100</v>
      </c>
      <c r="E1192" t="s">
        <v>65</v>
      </c>
      <c r="F1192">
        <v>7098131</v>
      </c>
      <c r="G1192" t="s">
        <v>75</v>
      </c>
      <c r="H1192" t="s">
        <v>43</v>
      </c>
      <c r="I1192" t="s">
        <v>44</v>
      </c>
      <c r="J1192" t="s">
        <v>50</v>
      </c>
      <c r="K1192" t="s">
        <v>3</v>
      </c>
      <c r="L1192" t="s">
        <v>51</v>
      </c>
      <c r="M1192" t="s">
        <v>307</v>
      </c>
      <c r="N1192" t="s">
        <v>308</v>
      </c>
      <c r="O1192" t="s">
        <v>98</v>
      </c>
      <c r="P1192" t="s">
        <v>1292</v>
      </c>
      <c r="Q1192" t="s">
        <v>46</v>
      </c>
      <c r="R1192" t="s">
        <v>47</v>
      </c>
      <c r="S1192" t="s">
        <v>46</v>
      </c>
      <c r="T1192" t="s">
        <v>46</v>
      </c>
      <c r="U1192" s="4">
        <v>10188.27</v>
      </c>
      <c r="V1192" t="str">
        <f t="shared" si="18"/>
        <v>C030</v>
      </c>
      <c r="W1192" t="str">
        <f>VLOOKUP(K1192,[1]Info!A$1:B$21,2,0)</f>
        <v>Carregadeira</v>
      </c>
      <c r="X1192" t="str">
        <f>IF(M1192="109595132","Material de Limpeza-Não Avaliar",IF(AND(K1192="F20",M1192&lt;&gt;109595132),IF(RIGHT(F1192,2)="70","Infraestrutura de Planta","Prédios e Instalações"),IF(K1192="FPC",VLOOKUP(F1192,[1]Info!$E$2:$F$11,2,0),IF(K1192="FGP",VLOOKUP(F1192,[1]Info!$E$9:$F$10,2,0),IF(K1192="F10",VLOOKUP(F1192,[1]Info!$E$2:$F$3,2,0),VLOOKUP(K1192,[1]Info!$A$1:$B$21,2,0))))))</f>
        <v>Carregadeira Plantas</v>
      </c>
    </row>
    <row r="1193" spans="1:24" x14ac:dyDescent="0.35">
      <c r="A1193" t="s">
        <v>41</v>
      </c>
      <c r="B1193" t="s">
        <v>73</v>
      </c>
      <c r="C1193" t="s">
        <v>74</v>
      </c>
      <c r="D1193" t="s">
        <v>100</v>
      </c>
      <c r="E1193" t="s">
        <v>65</v>
      </c>
      <c r="F1193">
        <v>7098131</v>
      </c>
      <c r="G1193" t="s">
        <v>75</v>
      </c>
      <c r="H1193" t="s">
        <v>43</v>
      </c>
      <c r="I1193" t="s">
        <v>44</v>
      </c>
      <c r="J1193" t="s">
        <v>50</v>
      </c>
      <c r="K1193" t="s">
        <v>3</v>
      </c>
      <c r="L1193" t="s">
        <v>51</v>
      </c>
      <c r="M1193" t="s">
        <v>1927</v>
      </c>
      <c r="N1193" t="s">
        <v>1928</v>
      </c>
      <c r="O1193" t="s">
        <v>101</v>
      </c>
      <c r="P1193" t="s">
        <v>1292</v>
      </c>
      <c r="Q1193" t="s">
        <v>46</v>
      </c>
      <c r="R1193" t="s">
        <v>47</v>
      </c>
      <c r="S1193" t="s">
        <v>46</v>
      </c>
      <c r="T1193" t="s">
        <v>46</v>
      </c>
      <c r="U1193" s="4">
        <v>20239.41</v>
      </c>
      <c r="V1193" t="str">
        <f t="shared" si="18"/>
        <v>C031</v>
      </c>
      <c r="W1193" t="str">
        <f>VLOOKUP(K1193,[1]Info!A$1:B$21,2,0)</f>
        <v>Carregadeira</v>
      </c>
      <c r="X1193" t="str">
        <f>IF(M1193="109595132","Material de Limpeza-Não Avaliar",IF(AND(K1193="F20",M1193&lt;&gt;109595132),IF(RIGHT(F1193,2)="70","Infraestrutura de Planta","Prédios e Instalações"),IF(K1193="FPC",VLOOKUP(F1193,[1]Info!$E$2:$F$11,2,0),IF(K1193="FGP",VLOOKUP(F1193,[1]Info!$E$9:$F$10,2,0),IF(K1193="F10",VLOOKUP(F1193,[1]Info!$E$2:$F$3,2,0),VLOOKUP(K1193,[1]Info!$A$1:$B$21,2,0))))))</f>
        <v>Carregadeira Plantas</v>
      </c>
    </row>
    <row r="1194" spans="1:24" x14ac:dyDescent="0.35">
      <c r="A1194" t="s">
        <v>41</v>
      </c>
      <c r="B1194" t="s">
        <v>73</v>
      </c>
      <c r="C1194" t="s">
        <v>74</v>
      </c>
      <c r="D1194" t="s">
        <v>100</v>
      </c>
      <c r="E1194" t="s">
        <v>65</v>
      </c>
      <c r="F1194">
        <v>7098131</v>
      </c>
      <c r="G1194" t="s">
        <v>75</v>
      </c>
      <c r="H1194" t="s">
        <v>43</v>
      </c>
      <c r="I1194" t="s">
        <v>44</v>
      </c>
      <c r="J1194" t="s">
        <v>50</v>
      </c>
      <c r="K1194" t="s">
        <v>3</v>
      </c>
      <c r="L1194" t="s">
        <v>51</v>
      </c>
      <c r="M1194" t="s">
        <v>309</v>
      </c>
      <c r="N1194" t="s">
        <v>310</v>
      </c>
      <c r="O1194" t="s">
        <v>287</v>
      </c>
      <c r="P1194" t="s">
        <v>1292</v>
      </c>
      <c r="Q1194" t="s">
        <v>46</v>
      </c>
      <c r="R1194" t="s">
        <v>47</v>
      </c>
      <c r="S1194" t="s">
        <v>46</v>
      </c>
      <c r="T1194" t="s">
        <v>46</v>
      </c>
      <c r="U1194" s="4">
        <v>2547.06</v>
      </c>
      <c r="V1194" t="str">
        <f t="shared" si="18"/>
        <v>C033</v>
      </c>
      <c r="W1194" t="str">
        <f>VLOOKUP(K1194,[1]Info!A$1:B$21,2,0)</f>
        <v>Carregadeira</v>
      </c>
      <c r="X1194" t="str">
        <f>IF(M1194="109595132","Material de Limpeza-Não Avaliar",IF(AND(K1194="F20",M1194&lt;&gt;109595132),IF(RIGHT(F1194,2)="70","Infraestrutura de Planta","Prédios e Instalações"),IF(K1194="FPC",VLOOKUP(F1194,[1]Info!$E$2:$F$11,2,0),IF(K1194="FGP",VLOOKUP(F1194,[1]Info!$E$9:$F$10,2,0),IF(K1194="F10",VLOOKUP(F1194,[1]Info!$E$2:$F$3,2,0),VLOOKUP(K1194,[1]Info!$A$1:$B$21,2,0))))))</f>
        <v>Carregadeira Plantas</v>
      </c>
    </row>
    <row r="1195" spans="1:24" x14ac:dyDescent="0.35">
      <c r="A1195" t="s">
        <v>41</v>
      </c>
      <c r="B1195" t="s">
        <v>73</v>
      </c>
      <c r="C1195" t="s">
        <v>74</v>
      </c>
      <c r="D1195" t="s">
        <v>100</v>
      </c>
      <c r="E1195" t="s">
        <v>65</v>
      </c>
      <c r="F1195">
        <v>7098131</v>
      </c>
      <c r="G1195" t="s">
        <v>75</v>
      </c>
      <c r="H1195" t="s">
        <v>43</v>
      </c>
      <c r="I1195" t="s">
        <v>44</v>
      </c>
      <c r="J1195" t="s">
        <v>50</v>
      </c>
      <c r="K1195" t="s">
        <v>3</v>
      </c>
      <c r="L1195" t="s">
        <v>51</v>
      </c>
      <c r="M1195" t="s">
        <v>1929</v>
      </c>
      <c r="N1195" t="s">
        <v>1930</v>
      </c>
      <c r="O1195" t="s">
        <v>1558</v>
      </c>
      <c r="P1195" t="s">
        <v>1292</v>
      </c>
      <c r="Q1195" t="s">
        <v>46</v>
      </c>
      <c r="R1195" t="s">
        <v>47</v>
      </c>
      <c r="S1195" t="s">
        <v>46</v>
      </c>
      <c r="T1195" t="s">
        <v>46</v>
      </c>
      <c r="U1195" s="4">
        <v>3134.85</v>
      </c>
      <c r="V1195" t="str">
        <f t="shared" si="18"/>
        <v>C034</v>
      </c>
      <c r="W1195" t="str">
        <f>VLOOKUP(K1195,[1]Info!A$1:B$21,2,0)</f>
        <v>Carregadeira</v>
      </c>
      <c r="X1195" t="str">
        <f>IF(M1195="109595132","Material de Limpeza-Não Avaliar",IF(AND(K1195="F20",M1195&lt;&gt;109595132),IF(RIGHT(F1195,2)="70","Infraestrutura de Planta","Prédios e Instalações"),IF(K1195="FPC",VLOOKUP(F1195,[1]Info!$E$2:$F$11,2,0),IF(K1195="FGP",VLOOKUP(F1195,[1]Info!$E$9:$F$10,2,0),IF(K1195="F10",VLOOKUP(F1195,[1]Info!$E$2:$F$3,2,0),VLOOKUP(K1195,[1]Info!$A$1:$B$21,2,0))))))</f>
        <v>Carregadeira Plantas</v>
      </c>
    </row>
    <row r="1196" spans="1:24" x14ac:dyDescent="0.35">
      <c r="A1196" t="s">
        <v>41</v>
      </c>
      <c r="B1196" t="s">
        <v>73</v>
      </c>
      <c r="C1196" t="s">
        <v>74</v>
      </c>
      <c r="D1196" t="s">
        <v>100</v>
      </c>
      <c r="E1196" t="s">
        <v>65</v>
      </c>
      <c r="F1196">
        <v>7098131</v>
      </c>
      <c r="G1196" t="s">
        <v>75</v>
      </c>
      <c r="H1196" t="s">
        <v>43</v>
      </c>
      <c r="I1196" t="s">
        <v>44</v>
      </c>
      <c r="J1196" t="s">
        <v>50</v>
      </c>
      <c r="K1196" t="s">
        <v>3</v>
      </c>
      <c r="L1196" t="s">
        <v>51</v>
      </c>
      <c r="M1196" t="s">
        <v>1931</v>
      </c>
      <c r="N1196" t="s">
        <v>1915</v>
      </c>
      <c r="O1196" t="s">
        <v>945</v>
      </c>
      <c r="P1196" t="s">
        <v>1292</v>
      </c>
      <c r="Q1196" t="s">
        <v>46</v>
      </c>
      <c r="R1196" t="s">
        <v>47</v>
      </c>
      <c r="S1196" t="s">
        <v>46</v>
      </c>
      <c r="T1196" t="s">
        <v>46</v>
      </c>
      <c r="U1196" s="4">
        <v>22727.66</v>
      </c>
      <c r="V1196" t="str">
        <f t="shared" si="18"/>
        <v>C035</v>
      </c>
      <c r="W1196" t="str">
        <f>VLOOKUP(K1196,[1]Info!A$1:B$21,2,0)</f>
        <v>Carregadeira</v>
      </c>
      <c r="X1196" t="str">
        <f>IF(M1196="109595132","Material de Limpeza-Não Avaliar",IF(AND(K1196="F20",M1196&lt;&gt;109595132),IF(RIGHT(F1196,2)="70","Infraestrutura de Planta","Prédios e Instalações"),IF(K1196="FPC",VLOOKUP(F1196,[1]Info!$E$2:$F$11,2,0),IF(K1196="FGP",VLOOKUP(F1196,[1]Info!$E$9:$F$10,2,0),IF(K1196="F10",VLOOKUP(F1196,[1]Info!$E$2:$F$3,2,0),VLOOKUP(K1196,[1]Info!$A$1:$B$21,2,0))))))</f>
        <v>Carregadeira Plantas</v>
      </c>
    </row>
    <row r="1197" spans="1:24" x14ac:dyDescent="0.35">
      <c r="A1197" t="s">
        <v>41</v>
      </c>
      <c r="B1197" t="s">
        <v>73</v>
      </c>
      <c r="C1197" t="s">
        <v>74</v>
      </c>
      <c r="D1197" t="s">
        <v>100</v>
      </c>
      <c r="E1197" t="s">
        <v>65</v>
      </c>
      <c r="F1197">
        <v>7098131</v>
      </c>
      <c r="G1197" t="s">
        <v>75</v>
      </c>
      <c r="H1197" t="s">
        <v>43</v>
      </c>
      <c r="I1197" t="s">
        <v>44</v>
      </c>
      <c r="J1197" t="s">
        <v>50</v>
      </c>
      <c r="K1197" t="s">
        <v>3</v>
      </c>
      <c r="L1197" t="s">
        <v>51</v>
      </c>
      <c r="M1197" t="s">
        <v>1932</v>
      </c>
      <c r="N1197" t="s">
        <v>1933</v>
      </c>
      <c r="O1197" t="s">
        <v>204</v>
      </c>
      <c r="P1197" t="s">
        <v>1292</v>
      </c>
      <c r="Q1197" t="s">
        <v>46</v>
      </c>
      <c r="R1197" t="s">
        <v>47</v>
      </c>
      <c r="S1197" t="s">
        <v>46</v>
      </c>
      <c r="T1197" t="s">
        <v>46</v>
      </c>
      <c r="U1197" s="4">
        <v>3918.56</v>
      </c>
      <c r="V1197" t="str">
        <f t="shared" si="18"/>
        <v>C038</v>
      </c>
      <c r="W1197" t="str">
        <f>VLOOKUP(K1197,[1]Info!A$1:B$21,2,0)</f>
        <v>Carregadeira</v>
      </c>
      <c r="X1197" t="str">
        <f>IF(M1197="109595132","Material de Limpeza-Não Avaliar",IF(AND(K1197="F20",M1197&lt;&gt;109595132),IF(RIGHT(F1197,2)="70","Infraestrutura de Planta","Prédios e Instalações"),IF(K1197="FPC",VLOOKUP(F1197,[1]Info!$E$2:$F$11,2,0),IF(K1197="FGP",VLOOKUP(F1197,[1]Info!$E$9:$F$10,2,0),IF(K1197="F10",VLOOKUP(F1197,[1]Info!$E$2:$F$3,2,0),VLOOKUP(K1197,[1]Info!$A$1:$B$21,2,0))))))</f>
        <v>Carregadeira Plantas</v>
      </c>
    </row>
    <row r="1198" spans="1:24" x14ac:dyDescent="0.35">
      <c r="A1198" t="s">
        <v>41</v>
      </c>
      <c r="B1198" t="s">
        <v>73</v>
      </c>
      <c r="C1198" t="s">
        <v>74</v>
      </c>
      <c r="D1198" t="s">
        <v>100</v>
      </c>
      <c r="E1198" t="s">
        <v>65</v>
      </c>
      <c r="F1198">
        <v>7098131</v>
      </c>
      <c r="G1198" t="s">
        <v>75</v>
      </c>
      <c r="H1198" t="s">
        <v>43</v>
      </c>
      <c r="I1198" t="s">
        <v>44</v>
      </c>
      <c r="J1198" t="s">
        <v>50</v>
      </c>
      <c r="K1198" t="s">
        <v>3</v>
      </c>
      <c r="L1198" t="s">
        <v>51</v>
      </c>
      <c r="M1198" t="s">
        <v>1934</v>
      </c>
      <c r="N1198" t="s">
        <v>1917</v>
      </c>
      <c r="O1198" t="s">
        <v>1562</v>
      </c>
      <c r="P1198" t="s">
        <v>1292</v>
      </c>
      <c r="Q1198" t="s">
        <v>46</v>
      </c>
      <c r="R1198" t="s">
        <v>47</v>
      </c>
      <c r="S1198" t="s">
        <v>46</v>
      </c>
      <c r="T1198" t="s">
        <v>46</v>
      </c>
      <c r="U1198" s="4">
        <v>685.75</v>
      </c>
      <c r="V1198" t="str">
        <f t="shared" si="18"/>
        <v>C039</v>
      </c>
      <c r="W1198" t="str">
        <f>VLOOKUP(K1198,[1]Info!A$1:B$21,2,0)</f>
        <v>Carregadeira</v>
      </c>
      <c r="X1198" t="str">
        <f>IF(M1198="109595132","Material de Limpeza-Não Avaliar",IF(AND(K1198="F20",M1198&lt;&gt;109595132),IF(RIGHT(F1198,2)="70","Infraestrutura de Planta","Prédios e Instalações"),IF(K1198="FPC",VLOOKUP(F1198,[1]Info!$E$2:$F$11,2,0),IF(K1198="FGP",VLOOKUP(F1198,[1]Info!$E$9:$F$10,2,0),IF(K1198="F10",VLOOKUP(F1198,[1]Info!$E$2:$F$3,2,0),VLOOKUP(K1198,[1]Info!$A$1:$B$21,2,0))))))</f>
        <v>Carregadeira Plantas</v>
      </c>
    </row>
    <row r="1199" spans="1:24" x14ac:dyDescent="0.35">
      <c r="A1199" t="s">
        <v>41</v>
      </c>
      <c r="B1199" t="s">
        <v>73</v>
      </c>
      <c r="C1199" t="s">
        <v>74</v>
      </c>
      <c r="D1199" t="s">
        <v>100</v>
      </c>
      <c r="E1199" t="s">
        <v>65</v>
      </c>
      <c r="F1199">
        <v>7098131</v>
      </c>
      <c r="G1199" t="s">
        <v>75</v>
      </c>
      <c r="H1199" t="s">
        <v>43</v>
      </c>
      <c r="I1199" t="s">
        <v>44</v>
      </c>
      <c r="J1199" t="s">
        <v>50</v>
      </c>
      <c r="K1199" t="s">
        <v>3</v>
      </c>
      <c r="L1199" t="s">
        <v>51</v>
      </c>
      <c r="M1199" t="s">
        <v>1935</v>
      </c>
      <c r="N1199" t="s">
        <v>1069</v>
      </c>
      <c r="O1199" t="s">
        <v>1070</v>
      </c>
      <c r="P1199" t="s">
        <v>1292</v>
      </c>
      <c r="Q1199" t="s">
        <v>46</v>
      </c>
      <c r="R1199" t="s">
        <v>47</v>
      </c>
      <c r="S1199" t="s">
        <v>46</v>
      </c>
      <c r="T1199" t="s">
        <v>46</v>
      </c>
      <c r="U1199" s="4">
        <v>11639.94</v>
      </c>
      <c r="V1199" t="str">
        <f t="shared" si="18"/>
        <v>C041</v>
      </c>
      <c r="W1199" t="str">
        <f>VLOOKUP(K1199,[1]Info!A$1:B$21,2,0)</f>
        <v>Carregadeira</v>
      </c>
      <c r="X1199" t="str">
        <f>IF(M1199="109595132","Material de Limpeza-Não Avaliar",IF(AND(K1199="F20",M1199&lt;&gt;109595132),IF(RIGHT(F1199,2)="70","Infraestrutura de Planta","Prédios e Instalações"),IF(K1199="FPC",VLOOKUP(F1199,[1]Info!$E$2:$F$11,2,0),IF(K1199="FGP",VLOOKUP(F1199,[1]Info!$E$9:$F$10,2,0),IF(K1199="F10",VLOOKUP(F1199,[1]Info!$E$2:$F$3,2,0),VLOOKUP(K1199,[1]Info!$A$1:$B$21,2,0))))))</f>
        <v>Carregadeira Plantas</v>
      </c>
    </row>
    <row r="1200" spans="1:24" x14ac:dyDescent="0.35">
      <c r="A1200" t="s">
        <v>41</v>
      </c>
      <c r="B1200" t="s">
        <v>73</v>
      </c>
      <c r="C1200" t="s">
        <v>74</v>
      </c>
      <c r="D1200" t="s">
        <v>100</v>
      </c>
      <c r="E1200" t="s">
        <v>65</v>
      </c>
      <c r="F1200">
        <v>7098131</v>
      </c>
      <c r="G1200" t="s">
        <v>75</v>
      </c>
      <c r="H1200" t="s">
        <v>43</v>
      </c>
      <c r="I1200" t="s">
        <v>44</v>
      </c>
      <c r="J1200" t="s">
        <v>50</v>
      </c>
      <c r="K1200" t="s">
        <v>3</v>
      </c>
      <c r="L1200" t="s">
        <v>51</v>
      </c>
      <c r="M1200" t="s">
        <v>1936</v>
      </c>
      <c r="N1200" t="s">
        <v>1072</v>
      </c>
      <c r="O1200" t="s">
        <v>1073</v>
      </c>
      <c r="P1200" t="s">
        <v>1292</v>
      </c>
      <c r="Q1200" t="s">
        <v>46</v>
      </c>
      <c r="R1200" t="s">
        <v>47</v>
      </c>
      <c r="S1200" t="s">
        <v>46</v>
      </c>
      <c r="T1200" t="s">
        <v>46</v>
      </c>
      <c r="U1200" s="4">
        <v>8914.74</v>
      </c>
      <c r="V1200" t="str">
        <f t="shared" si="18"/>
        <v>C042</v>
      </c>
      <c r="W1200" t="str">
        <f>VLOOKUP(K1200,[1]Info!A$1:B$21,2,0)</f>
        <v>Carregadeira</v>
      </c>
      <c r="X1200" t="str">
        <f>IF(M1200="109595132","Material de Limpeza-Não Avaliar",IF(AND(K1200="F20",M1200&lt;&gt;109595132),IF(RIGHT(F1200,2)="70","Infraestrutura de Planta","Prédios e Instalações"),IF(K1200="FPC",VLOOKUP(F1200,[1]Info!$E$2:$F$11,2,0),IF(K1200="FGP",VLOOKUP(F1200,[1]Info!$E$9:$F$10,2,0),IF(K1200="F10",VLOOKUP(F1200,[1]Info!$E$2:$F$3,2,0),VLOOKUP(K1200,[1]Info!$A$1:$B$21,2,0))))))</f>
        <v>Carregadeira Plantas</v>
      </c>
    </row>
    <row r="1201" spans="1:24" x14ac:dyDescent="0.35">
      <c r="A1201" t="s">
        <v>41</v>
      </c>
      <c r="B1201" t="s">
        <v>73</v>
      </c>
      <c r="C1201" t="s">
        <v>74</v>
      </c>
      <c r="D1201" t="s">
        <v>100</v>
      </c>
      <c r="E1201" t="s">
        <v>65</v>
      </c>
      <c r="F1201">
        <v>7098131</v>
      </c>
      <c r="G1201" t="s">
        <v>75</v>
      </c>
      <c r="H1201" t="s">
        <v>43</v>
      </c>
      <c r="I1201" t="s">
        <v>44</v>
      </c>
      <c r="J1201" t="s">
        <v>50</v>
      </c>
      <c r="K1201" t="s">
        <v>3</v>
      </c>
      <c r="L1201" t="s">
        <v>51</v>
      </c>
      <c r="M1201" t="s">
        <v>1937</v>
      </c>
      <c r="N1201" t="s">
        <v>1919</v>
      </c>
      <c r="O1201" t="s">
        <v>82</v>
      </c>
      <c r="P1201" t="s">
        <v>1292</v>
      </c>
      <c r="Q1201" t="s">
        <v>46</v>
      </c>
      <c r="R1201" t="s">
        <v>47</v>
      </c>
      <c r="S1201" t="s">
        <v>46</v>
      </c>
      <c r="T1201" t="s">
        <v>46</v>
      </c>
      <c r="U1201" s="4">
        <v>4016.53</v>
      </c>
      <c r="V1201" t="str">
        <f t="shared" si="18"/>
        <v>C043</v>
      </c>
      <c r="W1201" t="str">
        <f>VLOOKUP(K1201,[1]Info!A$1:B$21,2,0)</f>
        <v>Carregadeira</v>
      </c>
      <c r="X1201" t="str">
        <f>IF(M1201="109595132","Material de Limpeza-Não Avaliar",IF(AND(K1201="F20",M1201&lt;&gt;109595132),IF(RIGHT(F1201,2)="70","Infraestrutura de Planta","Prédios e Instalações"),IF(K1201="FPC",VLOOKUP(F1201,[1]Info!$E$2:$F$11,2,0),IF(K1201="FGP",VLOOKUP(F1201,[1]Info!$E$9:$F$10,2,0),IF(K1201="F10",VLOOKUP(F1201,[1]Info!$E$2:$F$3,2,0),VLOOKUP(K1201,[1]Info!$A$1:$B$21,2,0))))))</f>
        <v>Carregadeira Plantas</v>
      </c>
    </row>
    <row r="1202" spans="1:24" x14ac:dyDescent="0.35">
      <c r="A1202" t="s">
        <v>41</v>
      </c>
      <c r="B1202" t="s">
        <v>73</v>
      </c>
      <c r="C1202" t="s">
        <v>74</v>
      </c>
      <c r="D1202" t="s">
        <v>100</v>
      </c>
      <c r="E1202" t="s">
        <v>65</v>
      </c>
      <c r="F1202">
        <v>7098131</v>
      </c>
      <c r="G1202" t="s">
        <v>75</v>
      </c>
      <c r="H1202" t="s">
        <v>43</v>
      </c>
      <c r="I1202" t="s">
        <v>44</v>
      </c>
      <c r="J1202" t="s">
        <v>50</v>
      </c>
      <c r="K1202" t="s">
        <v>3</v>
      </c>
      <c r="L1202" t="s">
        <v>51</v>
      </c>
      <c r="M1202" t="s">
        <v>1938</v>
      </c>
      <c r="N1202" t="s">
        <v>1939</v>
      </c>
      <c r="O1202" t="s">
        <v>121</v>
      </c>
      <c r="P1202" t="s">
        <v>1292</v>
      </c>
      <c r="Q1202" t="s">
        <v>46</v>
      </c>
      <c r="R1202" t="s">
        <v>47</v>
      </c>
      <c r="S1202" t="s">
        <v>46</v>
      </c>
      <c r="T1202" t="s">
        <v>46</v>
      </c>
      <c r="U1202" s="4">
        <v>22790.14</v>
      </c>
      <c r="V1202" t="str">
        <f t="shared" si="18"/>
        <v>C044</v>
      </c>
      <c r="W1202" t="str">
        <f>VLOOKUP(K1202,[1]Info!A$1:B$21,2,0)</f>
        <v>Carregadeira</v>
      </c>
      <c r="X1202" t="str">
        <f>IF(M1202="109595132","Material de Limpeza-Não Avaliar",IF(AND(K1202="F20",M1202&lt;&gt;109595132),IF(RIGHT(F1202,2)="70","Infraestrutura de Planta","Prédios e Instalações"),IF(K1202="FPC",VLOOKUP(F1202,[1]Info!$E$2:$F$11,2,0),IF(K1202="FGP",VLOOKUP(F1202,[1]Info!$E$9:$F$10,2,0),IF(K1202="F10",VLOOKUP(F1202,[1]Info!$E$2:$F$3,2,0),VLOOKUP(K1202,[1]Info!$A$1:$B$21,2,0))))))</f>
        <v>Carregadeira Plantas</v>
      </c>
    </row>
    <row r="1203" spans="1:24" x14ac:dyDescent="0.35">
      <c r="A1203" t="s">
        <v>41</v>
      </c>
      <c r="B1203" t="s">
        <v>73</v>
      </c>
      <c r="C1203" t="s">
        <v>74</v>
      </c>
      <c r="D1203" t="s">
        <v>100</v>
      </c>
      <c r="E1203" t="s">
        <v>65</v>
      </c>
      <c r="F1203">
        <v>7098131</v>
      </c>
      <c r="G1203" t="s">
        <v>75</v>
      </c>
      <c r="H1203" t="s">
        <v>43</v>
      </c>
      <c r="I1203" t="s">
        <v>44</v>
      </c>
      <c r="J1203" t="s">
        <v>50</v>
      </c>
      <c r="K1203" t="s">
        <v>3</v>
      </c>
      <c r="L1203" t="s">
        <v>51</v>
      </c>
      <c r="M1203" t="s">
        <v>311</v>
      </c>
      <c r="N1203" t="s">
        <v>312</v>
      </c>
      <c r="O1203" t="s">
        <v>288</v>
      </c>
      <c r="P1203" t="s">
        <v>1292</v>
      </c>
      <c r="Q1203" t="s">
        <v>46</v>
      </c>
      <c r="R1203" t="s">
        <v>47</v>
      </c>
      <c r="S1203" t="s">
        <v>46</v>
      </c>
      <c r="T1203" t="s">
        <v>46</v>
      </c>
      <c r="U1203" s="4">
        <v>2938.92</v>
      </c>
      <c r="V1203" t="str">
        <f t="shared" si="18"/>
        <v>C045</v>
      </c>
      <c r="W1203" t="str">
        <f>VLOOKUP(K1203,[1]Info!A$1:B$21,2,0)</f>
        <v>Carregadeira</v>
      </c>
      <c r="X1203" t="str">
        <f>IF(M1203="109595132","Material de Limpeza-Não Avaliar",IF(AND(K1203="F20",M1203&lt;&gt;109595132),IF(RIGHT(F1203,2)="70","Infraestrutura de Planta","Prédios e Instalações"),IF(K1203="FPC",VLOOKUP(F1203,[1]Info!$E$2:$F$11,2,0),IF(K1203="FGP",VLOOKUP(F1203,[1]Info!$E$9:$F$10,2,0),IF(K1203="F10",VLOOKUP(F1203,[1]Info!$E$2:$F$3,2,0),VLOOKUP(K1203,[1]Info!$A$1:$B$21,2,0))))))</f>
        <v>Carregadeira Plantas</v>
      </c>
    </row>
    <row r="1204" spans="1:24" x14ac:dyDescent="0.35">
      <c r="A1204" t="s">
        <v>41</v>
      </c>
      <c r="B1204" t="s">
        <v>73</v>
      </c>
      <c r="C1204" t="s">
        <v>74</v>
      </c>
      <c r="D1204" t="s">
        <v>100</v>
      </c>
      <c r="E1204" t="s">
        <v>65</v>
      </c>
      <c r="F1204">
        <v>7098131</v>
      </c>
      <c r="G1204" t="s">
        <v>75</v>
      </c>
      <c r="H1204" t="s">
        <v>43</v>
      </c>
      <c r="I1204" t="s">
        <v>44</v>
      </c>
      <c r="J1204" t="s">
        <v>50</v>
      </c>
      <c r="K1204" t="s">
        <v>3</v>
      </c>
      <c r="L1204" t="s">
        <v>51</v>
      </c>
      <c r="M1204" t="s">
        <v>313</v>
      </c>
      <c r="N1204" t="s">
        <v>314</v>
      </c>
      <c r="O1204" t="s">
        <v>89</v>
      </c>
      <c r="P1204" t="s">
        <v>1292</v>
      </c>
      <c r="Q1204" t="s">
        <v>46</v>
      </c>
      <c r="R1204" t="s">
        <v>47</v>
      </c>
      <c r="S1204" t="s">
        <v>46</v>
      </c>
      <c r="T1204" t="s">
        <v>46</v>
      </c>
      <c r="U1204" s="4">
        <v>15321.56</v>
      </c>
      <c r="V1204" t="str">
        <f t="shared" si="18"/>
        <v>C046</v>
      </c>
      <c r="W1204" t="str">
        <f>VLOOKUP(K1204,[1]Info!A$1:B$21,2,0)</f>
        <v>Carregadeira</v>
      </c>
      <c r="X1204" t="str">
        <f>IF(M1204="109595132","Material de Limpeza-Não Avaliar",IF(AND(K1204="F20",M1204&lt;&gt;109595132),IF(RIGHT(F1204,2)="70","Infraestrutura de Planta","Prédios e Instalações"),IF(K1204="FPC",VLOOKUP(F1204,[1]Info!$E$2:$F$11,2,0),IF(K1204="FGP",VLOOKUP(F1204,[1]Info!$E$9:$F$10,2,0),IF(K1204="F10",VLOOKUP(F1204,[1]Info!$E$2:$F$3,2,0),VLOOKUP(K1204,[1]Info!$A$1:$B$21,2,0))))))</f>
        <v>Carregadeira Plantas</v>
      </c>
    </row>
    <row r="1205" spans="1:24" x14ac:dyDescent="0.35">
      <c r="A1205" t="s">
        <v>41</v>
      </c>
      <c r="B1205" t="s">
        <v>73</v>
      </c>
      <c r="C1205" t="s">
        <v>74</v>
      </c>
      <c r="D1205" t="s">
        <v>100</v>
      </c>
      <c r="E1205" t="s">
        <v>65</v>
      </c>
      <c r="F1205">
        <v>7098131</v>
      </c>
      <c r="G1205" t="s">
        <v>75</v>
      </c>
      <c r="H1205" t="s">
        <v>43</v>
      </c>
      <c r="I1205" t="s">
        <v>44</v>
      </c>
      <c r="J1205" t="s">
        <v>50</v>
      </c>
      <c r="K1205" t="s">
        <v>3</v>
      </c>
      <c r="L1205" t="s">
        <v>51</v>
      </c>
      <c r="M1205" t="s">
        <v>1940</v>
      </c>
      <c r="N1205" t="s">
        <v>1941</v>
      </c>
      <c r="O1205" t="s">
        <v>97</v>
      </c>
      <c r="P1205" t="s">
        <v>1292</v>
      </c>
      <c r="Q1205" t="s">
        <v>46</v>
      </c>
      <c r="R1205" t="s">
        <v>47</v>
      </c>
      <c r="S1205" t="s">
        <v>46</v>
      </c>
      <c r="T1205" t="s">
        <v>46</v>
      </c>
      <c r="U1205" s="4">
        <v>15674.24</v>
      </c>
      <c r="V1205" t="str">
        <f t="shared" si="18"/>
        <v>C047</v>
      </c>
      <c r="W1205" t="str">
        <f>VLOOKUP(K1205,[1]Info!A$1:B$21,2,0)</f>
        <v>Carregadeira</v>
      </c>
      <c r="X1205" t="str">
        <f>IF(M1205="109595132","Material de Limpeza-Não Avaliar",IF(AND(K1205="F20",M1205&lt;&gt;109595132),IF(RIGHT(F1205,2)="70","Infraestrutura de Planta","Prédios e Instalações"),IF(K1205="FPC",VLOOKUP(F1205,[1]Info!$E$2:$F$11,2,0),IF(K1205="FGP",VLOOKUP(F1205,[1]Info!$E$9:$F$10,2,0),IF(K1205="F10",VLOOKUP(F1205,[1]Info!$E$2:$F$3,2,0),VLOOKUP(K1205,[1]Info!$A$1:$B$21,2,0))))))</f>
        <v>Carregadeira Plantas</v>
      </c>
    </row>
    <row r="1206" spans="1:24" x14ac:dyDescent="0.35">
      <c r="A1206" t="s">
        <v>41</v>
      </c>
      <c r="B1206" t="s">
        <v>73</v>
      </c>
      <c r="C1206" t="s">
        <v>74</v>
      </c>
      <c r="D1206" t="s">
        <v>100</v>
      </c>
      <c r="E1206" t="s">
        <v>65</v>
      </c>
      <c r="F1206">
        <v>7098131</v>
      </c>
      <c r="G1206" t="s">
        <v>75</v>
      </c>
      <c r="H1206" t="s">
        <v>43</v>
      </c>
      <c r="I1206" t="s">
        <v>44</v>
      </c>
      <c r="J1206" t="s">
        <v>50</v>
      </c>
      <c r="K1206" t="s">
        <v>3</v>
      </c>
      <c r="L1206" t="s">
        <v>51</v>
      </c>
      <c r="M1206" t="s">
        <v>1942</v>
      </c>
      <c r="N1206" t="s">
        <v>1921</v>
      </c>
      <c r="O1206" t="s">
        <v>143</v>
      </c>
      <c r="P1206" t="s">
        <v>1292</v>
      </c>
      <c r="Q1206" t="s">
        <v>46</v>
      </c>
      <c r="R1206" t="s">
        <v>47</v>
      </c>
      <c r="S1206" t="s">
        <v>46</v>
      </c>
      <c r="T1206" t="s">
        <v>46</v>
      </c>
      <c r="U1206" s="4">
        <v>8620.83</v>
      </c>
      <c r="V1206" t="str">
        <f t="shared" si="18"/>
        <v>C048</v>
      </c>
      <c r="W1206" t="str">
        <f>VLOOKUP(K1206,[1]Info!A$1:B$21,2,0)</f>
        <v>Carregadeira</v>
      </c>
      <c r="X1206" t="str">
        <f>IF(M1206="109595132","Material de Limpeza-Não Avaliar",IF(AND(K1206="F20",M1206&lt;&gt;109595132),IF(RIGHT(F1206,2)="70","Infraestrutura de Planta","Prédios e Instalações"),IF(K1206="FPC",VLOOKUP(F1206,[1]Info!$E$2:$F$11,2,0),IF(K1206="FGP",VLOOKUP(F1206,[1]Info!$E$9:$F$10,2,0),IF(K1206="F10",VLOOKUP(F1206,[1]Info!$E$2:$F$3,2,0),VLOOKUP(K1206,[1]Info!$A$1:$B$21,2,0))))))</f>
        <v>Carregadeira Plantas</v>
      </c>
    </row>
    <row r="1207" spans="1:24" x14ac:dyDescent="0.35">
      <c r="A1207" t="s">
        <v>41</v>
      </c>
      <c r="B1207" t="s">
        <v>73</v>
      </c>
      <c r="C1207" t="s">
        <v>74</v>
      </c>
      <c r="D1207" t="s">
        <v>100</v>
      </c>
      <c r="E1207" t="s">
        <v>65</v>
      </c>
      <c r="F1207">
        <v>7098131</v>
      </c>
      <c r="G1207" t="s">
        <v>75</v>
      </c>
      <c r="H1207" t="s">
        <v>43</v>
      </c>
      <c r="I1207" t="s">
        <v>44</v>
      </c>
      <c r="J1207" t="s">
        <v>50</v>
      </c>
      <c r="K1207" t="s">
        <v>3</v>
      </c>
      <c r="L1207" t="s">
        <v>51</v>
      </c>
      <c r="M1207" t="s">
        <v>1943</v>
      </c>
      <c r="N1207" t="s">
        <v>1923</v>
      </c>
      <c r="O1207" t="s">
        <v>1176</v>
      </c>
      <c r="P1207" t="s">
        <v>1292</v>
      </c>
      <c r="Q1207" t="s">
        <v>46</v>
      </c>
      <c r="R1207" t="s">
        <v>47</v>
      </c>
      <c r="S1207" t="s">
        <v>46</v>
      </c>
      <c r="T1207" t="s">
        <v>46</v>
      </c>
      <c r="U1207" s="4">
        <v>19024.62</v>
      </c>
      <c r="V1207" t="str">
        <f t="shared" si="18"/>
        <v>C049</v>
      </c>
      <c r="W1207" t="str">
        <f>VLOOKUP(K1207,[1]Info!A$1:B$21,2,0)</f>
        <v>Carregadeira</v>
      </c>
      <c r="X1207" t="str">
        <f>IF(M1207="109595132","Material de Limpeza-Não Avaliar",IF(AND(K1207="F20",M1207&lt;&gt;109595132),IF(RIGHT(F1207,2)="70","Infraestrutura de Planta","Prédios e Instalações"),IF(K1207="FPC",VLOOKUP(F1207,[1]Info!$E$2:$F$11,2,0),IF(K1207="FGP",VLOOKUP(F1207,[1]Info!$E$9:$F$10,2,0),IF(K1207="F10",VLOOKUP(F1207,[1]Info!$E$2:$F$3,2,0),VLOOKUP(K1207,[1]Info!$A$1:$B$21,2,0))))))</f>
        <v>Carregadeira Plantas</v>
      </c>
    </row>
    <row r="1208" spans="1:24" x14ac:dyDescent="0.35">
      <c r="A1208" t="s">
        <v>41</v>
      </c>
      <c r="B1208" t="s">
        <v>73</v>
      </c>
      <c r="C1208" t="s">
        <v>74</v>
      </c>
      <c r="D1208" t="s">
        <v>100</v>
      </c>
      <c r="E1208" t="s">
        <v>65</v>
      </c>
      <c r="F1208">
        <v>7098131</v>
      </c>
      <c r="G1208" t="s">
        <v>75</v>
      </c>
      <c r="H1208" t="s">
        <v>43</v>
      </c>
      <c r="I1208" t="s">
        <v>44</v>
      </c>
      <c r="J1208" t="s">
        <v>50</v>
      </c>
      <c r="K1208" t="s">
        <v>3</v>
      </c>
      <c r="L1208" t="s">
        <v>51</v>
      </c>
      <c r="M1208" t="s">
        <v>1944</v>
      </c>
      <c r="N1208" t="s">
        <v>1945</v>
      </c>
      <c r="O1208" t="s">
        <v>257</v>
      </c>
      <c r="P1208" t="s">
        <v>1292</v>
      </c>
      <c r="Q1208" t="s">
        <v>46</v>
      </c>
      <c r="R1208" t="s">
        <v>47</v>
      </c>
      <c r="S1208" t="s">
        <v>46</v>
      </c>
      <c r="T1208" t="s">
        <v>46</v>
      </c>
      <c r="U1208" s="4">
        <v>1763.36</v>
      </c>
      <c r="V1208" t="str">
        <f t="shared" si="18"/>
        <v>C050</v>
      </c>
      <c r="W1208" t="str">
        <f>VLOOKUP(K1208,[1]Info!A$1:B$21,2,0)</f>
        <v>Carregadeira</v>
      </c>
      <c r="X1208" t="str">
        <f>IF(M1208="109595132","Material de Limpeza-Não Avaliar",IF(AND(K1208="F20",M1208&lt;&gt;109595132),IF(RIGHT(F1208,2)="70","Infraestrutura de Planta","Prédios e Instalações"),IF(K1208="FPC",VLOOKUP(F1208,[1]Info!$E$2:$F$11,2,0),IF(K1208="FGP",VLOOKUP(F1208,[1]Info!$E$9:$F$10,2,0),IF(K1208="F10",VLOOKUP(F1208,[1]Info!$E$2:$F$3,2,0),VLOOKUP(K1208,[1]Info!$A$1:$B$21,2,0))))))</f>
        <v>Carregadeira Plantas</v>
      </c>
    </row>
    <row r="1209" spans="1:24" x14ac:dyDescent="0.35">
      <c r="A1209" t="s">
        <v>41</v>
      </c>
      <c r="B1209" t="s">
        <v>73</v>
      </c>
      <c r="C1209" t="s">
        <v>74</v>
      </c>
      <c r="D1209" t="s">
        <v>100</v>
      </c>
      <c r="E1209" t="s">
        <v>65</v>
      </c>
      <c r="F1209">
        <v>7098131</v>
      </c>
      <c r="G1209" t="s">
        <v>75</v>
      </c>
      <c r="H1209" t="s">
        <v>43</v>
      </c>
      <c r="I1209" t="s">
        <v>44</v>
      </c>
      <c r="J1209" t="s">
        <v>50</v>
      </c>
      <c r="K1209" t="s">
        <v>3</v>
      </c>
      <c r="L1209" t="s">
        <v>51</v>
      </c>
      <c r="M1209" t="s">
        <v>315</v>
      </c>
      <c r="N1209" t="s">
        <v>235</v>
      </c>
      <c r="O1209" t="s">
        <v>236</v>
      </c>
      <c r="P1209" t="s">
        <v>1292</v>
      </c>
      <c r="Q1209" t="s">
        <v>46</v>
      </c>
      <c r="R1209" t="s">
        <v>47</v>
      </c>
      <c r="S1209" t="s">
        <v>46</v>
      </c>
      <c r="T1209" t="s">
        <v>46</v>
      </c>
      <c r="U1209" s="4">
        <v>6661.56</v>
      </c>
      <c r="V1209" t="str">
        <f t="shared" si="18"/>
        <v>C051</v>
      </c>
      <c r="W1209" t="str">
        <f>VLOOKUP(K1209,[1]Info!A$1:B$21,2,0)</f>
        <v>Carregadeira</v>
      </c>
      <c r="X1209" t="str">
        <f>IF(M1209="109595132","Material de Limpeza-Não Avaliar",IF(AND(K1209="F20",M1209&lt;&gt;109595132),IF(RIGHT(F1209,2)="70","Infraestrutura de Planta","Prédios e Instalações"),IF(K1209="FPC",VLOOKUP(F1209,[1]Info!$E$2:$F$11,2,0),IF(K1209="FGP",VLOOKUP(F1209,[1]Info!$E$9:$F$10,2,0),IF(K1209="F10",VLOOKUP(F1209,[1]Info!$E$2:$F$3,2,0),VLOOKUP(K1209,[1]Info!$A$1:$B$21,2,0))))))</f>
        <v>Carregadeira Plantas</v>
      </c>
    </row>
    <row r="1210" spans="1:24" x14ac:dyDescent="0.35">
      <c r="A1210" t="s">
        <v>41</v>
      </c>
      <c r="B1210" t="s">
        <v>73</v>
      </c>
      <c r="C1210" t="s">
        <v>74</v>
      </c>
      <c r="D1210" t="s">
        <v>100</v>
      </c>
      <c r="E1210" t="s">
        <v>65</v>
      </c>
      <c r="F1210">
        <v>7098131</v>
      </c>
      <c r="G1210" t="s">
        <v>75</v>
      </c>
      <c r="H1210" t="s">
        <v>43</v>
      </c>
      <c r="I1210" t="s">
        <v>44</v>
      </c>
      <c r="J1210" t="s">
        <v>50</v>
      </c>
      <c r="K1210" t="s">
        <v>3</v>
      </c>
      <c r="L1210" t="s">
        <v>51</v>
      </c>
      <c r="M1210" t="s">
        <v>1946</v>
      </c>
      <c r="N1210" t="s">
        <v>1947</v>
      </c>
      <c r="O1210" t="s">
        <v>1596</v>
      </c>
      <c r="P1210" t="s">
        <v>1292</v>
      </c>
      <c r="Q1210" t="s">
        <v>46</v>
      </c>
      <c r="R1210" t="s">
        <v>47</v>
      </c>
      <c r="S1210" t="s">
        <v>46</v>
      </c>
      <c r="T1210" t="s">
        <v>46</v>
      </c>
      <c r="U1210" s="4">
        <v>1273.54</v>
      </c>
      <c r="V1210" t="str">
        <f t="shared" si="18"/>
        <v>C052</v>
      </c>
      <c r="W1210" t="str">
        <f>VLOOKUP(K1210,[1]Info!A$1:B$21,2,0)</f>
        <v>Carregadeira</v>
      </c>
      <c r="X1210" t="str">
        <f>IF(M1210="109595132","Material de Limpeza-Não Avaliar",IF(AND(K1210="F20",M1210&lt;&gt;109595132),IF(RIGHT(F1210,2)="70","Infraestrutura de Planta","Prédios e Instalações"),IF(K1210="FPC",VLOOKUP(F1210,[1]Info!$E$2:$F$11,2,0),IF(K1210="FGP",VLOOKUP(F1210,[1]Info!$E$9:$F$10,2,0),IF(K1210="F10",VLOOKUP(F1210,[1]Info!$E$2:$F$3,2,0),VLOOKUP(K1210,[1]Info!$A$1:$B$21,2,0))))))</f>
        <v>Carregadeira Plantas</v>
      </c>
    </row>
    <row r="1211" spans="1:24" x14ac:dyDescent="0.35">
      <c r="A1211" t="s">
        <v>41</v>
      </c>
      <c r="B1211" t="s">
        <v>73</v>
      </c>
      <c r="C1211" t="s">
        <v>74</v>
      </c>
      <c r="D1211" t="s">
        <v>100</v>
      </c>
      <c r="E1211" t="s">
        <v>65</v>
      </c>
      <c r="F1211">
        <v>7098131</v>
      </c>
      <c r="G1211" t="s">
        <v>75</v>
      </c>
      <c r="H1211" t="s">
        <v>43</v>
      </c>
      <c r="I1211" t="s">
        <v>44</v>
      </c>
      <c r="J1211" t="s">
        <v>50</v>
      </c>
      <c r="K1211" t="s">
        <v>3</v>
      </c>
      <c r="L1211" t="s">
        <v>51</v>
      </c>
      <c r="M1211" t="s">
        <v>1948</v>
      </c>
      <c r="N1211" t="s">
        <v>1949</v>
      </c>
      <c r="O1211" t="s">
        <v>1558</v>
      </c>
      <c r="P1211" t="s">
        <v>1292</v>
      </c>
      <c r="Q1211" t="s">
        <v>46</v>
      </c>
      <c r="R1211" t="s">
        <v>47</v>
      </c>
      <c r="S1211" t="s">
        <v>46</v>
      </c>
      <c r="T1211" t="s">
        <v>46</v>
      </c>
      <c r="U1211" s="4">
        <v>206.45</v>
      </c>
      <c r="V1211" t="str">
        <f t="shared" si="18"/>
        <v>C034</v>
      </c>
      <c r="W1211" t="str">
        <f>VLOOKUP(K1211,[1]Info!A$1:B$21,2,0)</f>
        <v>Carregadeira</v>
      </c>
      <c r="X1211" t="str">
        <f>IF(M1211="109595132","Material de Limpeza-Não Avaliar",IF(AND(K1211="F20",M1211&lt;&gt;109595132),IF(RIGHT(F1211,2)="70","Infraestrutura de Planta","Prédios e Instalações"),IF(K1211="FPC",VLOOKUP(F1211,[1]Info!$E$2:$F$11,2,0),IF(K1211="FGP",VLOOKUP(F1211,[1]Info!$E$9:$F$10,2,0),IF(K1211="F10",VLOOKUP(F1211,[1]Info!$E$2:$F$3,2,0),VLOOKUP(K1211,[1]Info!$A$1:$B$21,2,0))))))</f>
        <v>Carregadeira Plantas</v>
      </c>
    </row>
    <row r="1212" spans="1:24" x14ac:dyDescent="0.35">
      <c r="A1212" t="s">
        <v>41</v>
      </c>
      <c r="B1212" t="s">
        <v>73</v>
      </c>
      <c r="C1212" t="s">
        <v>74</v>
      </c>
      <c r="D1212" t="s">
        <v>100</v>
      </c>
      <c r="E1212" t="s">
        <v>65</v>
      </c>
      <c r="F1212">
        <v>7094870</v>
      </c>
      <c r="G1212" t="s">
        <v>1872</v>
      </c>
      <c r="H1212" t="s">
        <v>43</v>
      </c>
      <c r="I1212" t="s">
        <v>44</v>
      </c>
      <c r="J1212" t="s">
        <v>79</v>
      </c>
      <c r="K1212" t="s">
        <v>6</v>
      </c>
      <c r="L1212" t="s">
        <v>51</v>
      </c>
      <c r="M1212" t="s">
        <v>1950</v>
      </c>
      <c r="N1212" t="s">
        <v>1951</v>
      </c>
      <c r="O1212" t="s">
        <v>1564</v>
      </c>
      <c r="P1212" t="s">
        <v>1292</v>
      </c>
      <c r="Q1212" t="s">
        <v>46</v>
      </c>
      <c r="R1212" t="s">
        <v>47</v>
      </c>
      <c r="S1212" t="s">
        <v>46</v>
      </c>
      <c r="T1212" t="s">
        <v>46</v>
      </c>
      <c r="U1212" s="4">
        <v>1465.04</v>
      </c>
      <c r="V1212" t="str">
        <f t="shared" si="18"/>
        <v>0025</v>
      </c>
      <c r="W1212" t="str">
        <f>VLOOKUP(K1212,[1]Info!A$1:B$21,2,0)</f>
        <v>Equipamentos Carbonização</v>
      </c>
      <c r="X1212" t="str">
        <f>IF(M1212="109595132","Material de Limpeza-Não Avaliar",IF(AND(K1212="F20",M1212&lt;&gt;109595132),IF(RIGHT(F1212,2)="70","Infraestrutura de Planta","Prédios e Instalações"),IF(K1212="FPC",VLOOKUP(F1212,[1]Info!$E$2:$F$11,2,0),IF(K1212="FGP",VLOOKUP(F1212,[1]Info!$E$9:$F$10,2,0),IF(K1212="F10",VLOOKUP(F1212,[1]Info!$E$2:$F$3,2,0),VLOOKUP(K1212,[1]Info!$A$1:$B$21,2,0))))))</f>
        <v>Equipamentos Carbonização</v>
      </c>
    </row>
    <row r="1213" spans="1:24" x14ac:dyDescent="0.35">
      <c r="A1213" t="s">
        <v>41</v>
      </c>
      <c r="B1213" t="s">
        <v>73</v>
      </c>
      <c r="C1213" t="s">
        <v>74</v>
      </c>
      <c r="D1213" t="s">
        <v>100</v>
      </c>
      <c r="E1213" t="s">
        <v>65</v>
      </c>
      <c r="F1213">
        <v>7094870</v>
      </c>
      <c r="G1213" t="s">
        <v>1872</v>
      </c>
      <c r="H1213" t="s">
        <v>43</v>
      </c>
      <c r="I1213" t="s">
        <v>44</v>
      </c>
      <c r="J1213" t="s">
        <v>79</v>
      </c>
      <c r="K1213" t="s">
        <v>5</v>
      </c>
      <c r="L1213" t="s">
        <v>148</v>
      </c>
      <c r="M1213" t="s">
        <v>1952</v>
      </c>
      <c r="N1213" t="s">
        <v>1953</v>
      </c>
      <c r="O1213" t="s">
        <v>1567</v>
      </c>
      <c r="P1213" t="s">
        <v>1292</v>
      </c>
      <c r="Q1213" t="s">
        <v>46</v>
      </c>
      <c r="R1213" t="s">
        <v>47</v>
      </c>
      <c r="S1213" t="s">
        <v>46</v>
      </c>
      <c r="T1213" t="s">
        <v>46</v>
      </c>
      <c r="U1213" s="4">
        <v>279.05</v>
      </c>
      <c r="V1213" t="str">
        <f t="shared" si="18"/>
        <v>-030</v>
      </c>
      <c r="W1213" t="str">
        <f>VLOOKUP(K1213,[1]Info!A$1:B$21,2,0)</f>
        <v>Fornos / Carbonização (Setup)</v>
      </c>
      <c r="X1213" t="str">
        <f>IF(M1213="109595132","Material de Limpeza-Não Avaliar",IF(AND(K1213="F20",M1213&lt;&gt;109595132),IF(RIGHT(F1213,2)="70","Infraestrutura de Planta","Prédios e Instalações"),IF(K1213="FPC",VLOOKUP(F1213,[1]Info!$E$2:$F$11,2,0),IF(K1213="FGP",VLOOKUP(F1213,[1]Info!$E$9:$F$10,2,0),IF(K1213="F10",VLOOKUP(F1213,[1]Info!$E$2:$F$3,2,0),VLOOKUP(K1213,[1]Info!$A$1:$B$21,2,0))))))</f>
        <v>Fornos / Carbonização (Setup)</v>
      </c>
    </row>
    <row r="1214" spans="1:24" x14ac:dyDescent="0.35">
      <c r="A1214" t="s">
        <v>41</v>
      </c>
      <c r="B1214" t="s">
        <v>73</v>
      </c>
      <c r="C1214" t="s">
        <v>74</v>
      </c>
      <c r="D1214" t="s">
        <v>100</v>
      </c>
      <c r="E1214" t="s">
        <v>65</v>
      </c>
      <c r="F1214">
        <v>7094870</v>
      </c>
      <c r="G1214" t="s">
        <v>1872</v>
      </c>
      <c r="H1214" t="s">
        <v>43</v>
      </c>
      <c r="I1214" t="s">
        <v>44</v>
      </c>
      <c r="J1214" t="s">
        <v>79</v>
      </c>
      <c r="K1214" t="s">
        <v>5</v>
      </c>
      <c r="L1214" t="s">
        <v>148</v>
      </c>
      <c r="M1214" t="s">
        <v>1954</v>
      </c>
      <c r="N1214" t="s">
        <v>1955</v>
      </c>
      <c r="O1214" t="s">
        <v>1570</v>
      </c>
      <c r="P1214" t="s">
        <v>1292</v>
      </c>
      <c r="Q1214" t="s">
        <v>46</v>
      </c>
      <c r="R1214" t="s">
        <v>47</v>
      </c>
      <c r="S1214" t="s">
        <v>46</v>
      </c>
      <c r="T1214" t="s">
        <v>46</v>
      </c>
      <c r="U1214" s="4">
        <v>558.11</v>
      </c>
      <c r="V1214" t="str">
        <f t="shared" si="18"/>
        <v>-030</v>
      </c>
      <c r="W1214" t="str">
        <f>VLOOKUP(K1214,[1]Info!A$1:B$21,2,0)</f>
        <v>Fornos / Carbonização (Setup)</v>
      </c>
      <c r="X1214" t="str">
        <f>IF(M1214="109595132","Material de Limpeza-Não Avaliar",IF(AND(K1214="F20",M1214&lt;&gt;109595132),IF(RIGHT(F1214,2)="70","Infraestrutura de Planta","Prédios e Instalações"),IF(K1214="FPC",VLOOKUP(F1214,[1]Info!$E$2:$F$11,2,0),IF(K1214="FGP",VLOOKUP(F1214,[1]Info!$E$9:$F$10,2,0),IF(K1214="F10",VLOOKUP(F1214,[1]Info!$E$2:$F$3,2,0),VLOOKUP(K1214,[1]Info!$A$1:$B$21,2,0))))))</f>
        <v>Fornos / Carbonização (Setup)</v>
      </c>
    </row>
    <row r="1215" spans="1:24" x14ac:dyDescent="0.35">
      <c r="A1215" t="s">
        <v>41</v>
      </c>
      <c r="B1215" t="s">
        <v>73</v>
      </c>
      <c r="C1215" t="s">
        <v>74</v>
      </c>
      <c r="D1215" t="s">
        <v>100</v>
      </c>
      <c r="E1215" t="s">
        <v>65</v>
      </c>
      <c r="F1215">
        <v>7094870</v>
      </c>
      <c r="G1215" t="s">
        <v>1872</v>
      </c>
      <c r="H1215" t="s">
        <v>43</v>
      </c>
      <c r="I1215" t="s">
        <v>44</v>
      </c>
      <c r="J1215" t="s">
        <v>79</v>
      </c>
      <c r="K1215" t="s">
        <v>5</v>
      </c>
      <c r="L1215" t="s">
        <v>148</v>
      </c>
      <c r="M1215" t="s">
        <v>1956</v>
      </c>
      <c r="N1215" t="s">
        <v>1957</v>
      </c>
      <c r="O1215" t="s">
        <v>1571</v>
      </c>
      <c r="P1215" t="s">
        <v>1292</v>
      </c>
      <c r="Q1215" t="s">
        <v>46</v>
      </c>
      <c r="R1215" t="s">
        <v>47</v>
      </c>
      <c r="S1215" t="s">
        <v>46</v>
      </c>
      <c r="T1215" t="s">
        <v>46</v>
      </c>
      <c r="U1215" s="4">
        <v>279.05</v>
      </c>
      <c r="V1215" t="str">
        <f t="shared" si="18"/>
        <v>-101</v>
      </c>
      <c r="W1215" t="str">
        <f>VLOOKUP(K1215,[1]Info!A$1:B$21,2,0)</f>
        <v>Fornos / Carbonização (Setup)</v>
      </c>
      <c r="X1215" t="str">
        <f>IF(M1215="109595132","Material de Limpeza-Não Avaliar",IF(AND(K1215="F20",M1215&lt;&gt;109595132),IF(RIGHT(F1215,2)="70","Infraestrutura de Planta","Prédios e Instalações"),IF(K1215="FPC",VLOOKUP(F1215,[1]Info!$E$2:$F$11,2,0),IF(K1215="FGP",VLOOKUP(F1215,[1]Info!$E$9:$F$10,2,0),IF(K1215="F10",VLOOKUP(F1215,[1]Info!$E$2:$F$3,2,0),VLOOKUP(K1215,[1]Info!$A$1:$B$21,2,0))))))</f>
        <v>Fornos / Carbonização (Setup)</v>
      </c>
    </row>
    <row r="1216" spans="1:24" x14ac:dyDescent="0.35">
      <c r="A1216" t="s">
        <v>41</v>
      </c>
      <c r="B1216" t="s">
        <v>73</v>
      </c>
      <c r="C1216" t="s">
        <v>74</v>
      </c>
      <c r="D1216" t="s">
        <v>100</v>
      </c>
      <c r="E1216" t="s">
        <v>65</v>
      </c>
      <c r="F1216">
        <v>7094870</v>
      </c>
      <c r="G1216" t="s">
        <v>1872</v>
      </c>
      <c r="H1216" t="s">
        <v>43</v>
      </c>
      <c r="I1216" t="s">
        <v>44</v>
      </c>
      <c r="J1216" t="s">
        <v>79</v>
      </c>
      <c r="K1216" t="s">
        <v>5</v>
      </c>
      <c r="L1216" t="s">
        <v>148</v>
      </c>
      <c r="M1216" t="s">
        <v>1958</v>
      </c>
      <c r="N1216" t="s">
        <v>1959</v>
      </c>
      <c r="O1216" t="s">
        <v>1568</v>
      </c>
      <c r="P1216" t="s">
        <v>1292</v>
      </c>
      <c r="Q1216" t="s">
        <v>46</v>
      </c>
      <c r="R1216" t="s">
        <v>47</v>
      </c>
      <c r="S1216" t="s">
        <v>46</v>
      </c>
      <c r="T1216" t="s">
        <v>46</v>
      </c>
      <c r="U1216" s="4">
        <v>279.05</v>
      </c>
      <c r="V1216" t="str">
        <f t="shared" si="18"/>
        <v>-101</v>
      </c>
      <c r="W1216" t="str">
        <f>VLOOKUP(K1216,[1]Info!A$1:B$21,2,0)</f>
        <v>Fornos / Carbonização (Setup)</v>
      </c>
      <c r="X1216" t="str">
        <f>IF(M1216="109595132","Material de Limpeza-Não Avaliar",IF(AND(K1216="F20",M1216&lt;&gt;109595132),IF(RIGHT(F1216,2)="70","Infraestrutura de Planta","Prédios e Instalações"),IF(K1216="FPC",VLOOKUP(F1216,[1]Info!$E$2:$F$11,2,0),IF(K1216="FGP",VLOOKUP(F1216,[1]Info!$E$9:$F$10,2,0),IF(K1216="F10",VLOOKUP(F1216,[1]Info!$E$2:$F$3,2,0),VLOOKUP(K1216,[1]Info!$A$1:$B$21,2,0))))))</f>
        <v>Fornos / Carbonização (Setup)</v>
      </c>
    </row>
    <row r="1217" spans="1:24" x14ac:dyDescent="0.35">
      <c r="A1217" t="s">
        <v>41</v>
      </c>
      <c r="B1217" t="s">
        <v>73</v>
      </c>
      <c r="C1217" t="s">
        <v>74</v>
      </c>
      <c r="D1217" t="s">
        <v>100</v>
      </c>
      <c r="E1217" t="s">
        <v>65</v>
      </c>
      <c r="F1217">
        <v>7094870</v>
      </c>
      <c r="G1217" t="s">
        <v>1872</v>
      </c>
      <c r="H1217" t="s">
        <v>43</v>
      </c>
      <c r="I1217" t="s">
        <v>44</v>
      </c>
      <c r="J1217" t="s">
        <v>79</v>
      </c>
      <c r="K1217" t="s">
        <v>5</v>
      </c>
      <c r="L1217" t="s">
        <v>148</v>
      </c>
      <c r="M1217" t="s">
        <v>1960</v>
      </c>
      <c r="N1217" t="s">
        <v>1961</v>
      </c>
      <c r="O1217" t="s">
        <v>1569</v>
      </c>
      <c r="P1217" t="s">
        <v>1292</v>
      </c>
      <c r="Q1217" t="s">
        <v>46</v>
      </c>
      <c r="R1217" t="s">
        <v>47</v>
      </c>
      <c r="S1217" t="s">
        <v>46</v>
      </c>
      <c r="T1217" t="s">
        <v>46</v>
      </c>
      <c r="U1217" s="4">
        <v>139.53</v>
      </c>
      <c r="V1217" t="str">
        <f t="shared" si="18"/>
        <v>-101</v>
      </c>
      <c r="W1217" t="str">
        <f>VLOOKUP(K1217,[1]Info!A$1:B$21,2,0)</f>
        <v>Fornos / Carbonização (Setup)</v>
      </c>
      <c r="X1217" t="str">
        <f>IF(M1217="109595132","Material de Limpeza-Não Avaliar",IF(AND(K1217="F20",M1217&lt;&gt;109595132),IF(RIGHT(F1217,2)="70","Infraestrutura de Planta","Prédios e Instalações"),IF(K1217="FPC",VLOOKUP(F1217,[1]Info!$E$2:$F$11,2,0),IF(K1217="FGP",VLOOKUP(F1217,[1]Info!$E$9:$F$10,2,0),IF(K1217="F10",VLOOKUP(F1217,[1]Info!$E$2:$F$3,2,0),VLOOKUP(K1217,[1]Info!$A$1:$B$21,2,0))))))</f>
        <v>Fornos / Carbonização (Setup)</v>
      </c>
    </row>
    <row r="1218" spans="1:24" x14ac:dyDescent="0.35">
      <c r="A1218" t="s">
        <v>41</v>
      </c>
      <c r="B1218" t="s">
        <v>73</v>
      </c>
      <c r="C1218" t="s">
        <v>74</v>
      </c>
      <c r="D1218" t="s">
        <v>100</v>
      </c>
      <c r="E1218" t="s">
        <v>65</v>
      </c>
      <c r="F1218">
        <v>7094570</v>
      </c>
      <c r="G1218" t="s">
        <v>225</v>
      </c>
      <c r="H1218" t="s">
        <v>43</v>
      </c>
      <c r="I1218" t="s">
        <v>44</v>
      </c>
      <c r="J1218" t="s">
        <v>226</v>
      </c>
      <c r="K1218" t="s">
        <v>7</v>
      </c>
      <c r="L1218" t="s">
        <v>148</v>
      </c>
      <c r="M1218" t="s">
        <v>1024</v>
      </c>
      <c r="N1218" t="s">
        <v>1025</v>
      </c>
      <c r="O1218" t="s">
        <v>237</v>
      </c>
      <c r="P1218" t="s">
        <v>1292</v>
      </c>
      <c r="Q1218" t="s">
        <v>46</v>
      </c>
      <c r="R1218" t="s">
        <v>47</v>
      </c>
      <c r="S1218" t="s">
        <v>46</v>
      </c>
      <c r="T1218" t="s">
        <v>46</v>
      </c>
      <c r="U1218" s="4">
        <v>2539.39</v>
      </c>
      <c r="V1218" t="str">
        <f t="shared" si="18"/>
        <v>FR39</v>
      </c>
      <c r="W1218" t="str">
        <f>VLOOKUP(K1218,[1]Info!A$1:B$21,2,0)</f>
        <v>Fornos Retangulares - Engenharia e Obras</v>
      </c>
      <c r="X1218" t="str">
        <f>IF(M1218="109595132","Material de Limpeza-Não Avaliar",IF(AND(K1218="F20",M1218&lt;&gt;109595132),IF(RIGHT(F1218,2)="70","Infraestrutura de Planta","Prédios e Instalações"),IF(K1218="FPC",VLOOKUP(F1218,[1]Info!$E$2:$F$11,2,0),IF(K1218="FGP",VLOOKUP(F1218,[1]Info!$E$9:$F$10,2,0),IF(K1218="F10",VLOOKUP(F1218,[1]Info!$E$2:$F$3,2,0),VLOOKUP(K1218,[1]Info!$A$1:$B$21,2,0))))))</f>
        <v>Fornos Retangulares - Engenharia e Obras</v>
      </c>
    </row>
    <row r="1219" spans="1:24" x14ac:dyDescent="0.35">
      <c r="A1219" t="s">
        <v>41</v>
      </c>
      <c r="B1219" t="s">
        <v>73</v>
      </c>
      <c r="C1219" t="s">
        <v>74</v>
      </c>
      <c r="D1219" t="s">
        <v>100</v>
      </c>
      <c r="E1219" t="s">
        <v>65</v>
      </c>
      <c r="F1219">
        <v>7094570</v>
      </c>
      <c r="G1219" t="s">
        <v>225</v>
      </c>
      <c r="H1219" t="s">
        <v>43</v>
      </c>
      <c r="I1219" t="s">
        <v>44</v>
      </c>
      <c r="J1219" t="s">
        <v>226</v>
      </c>
      <c r="K1219" t="s">
        <v>7</v>
      </c>
      <c r="L1219" t="s">
        <v>148</v>
      </c>
      <c r="M1219" t="s">
        <v>1962</v>
      </c>
      <c r="N1219" t="s">
        <v>1963</v>
      </c>
      <c r="O1219" t="s">
        <v>1586</v>
      </c>
      <c r="P1219" t="s">
        <v>1292</v>
      </c>
      <c r="Q1219" t="s">
        <v>46</v>
      </c>
      <c r="R1219" t="s">
        <v>47</v>
      </c>
      <c r="S1219" t="s">
        <v>46</v>
      </c>
      <c r="T1219" t="s">
        <v>46</v>
      </c>
      <c r="U1219" s="4">
        <v>1465.03</v>
      </c>
      <c r="V1219" t="str">
        <f t="shared" si="18"/>
        <v>-030</v>
      </c>
      <c r="W1219" t="str">
        <f>VLOOKUP(K1219,[1]Info!A$1:B$21,2,0)</f>
        <v>Fornos Retangulares - Engenharia e Obras</v>
      </c>
      <c r="X1219" t="str">
        <f>IF(M1219="109595132","Material de Limpeza-Não Avaliar",IF(AND(K1219="F20",M1219&lt;&gt;109595132),IF(RIGHT(F1219,2)="70","Infraestrutura de Planta","Prédios e Instalações"),IF(K1219="FPC",VLOOKUP(F1219,[1]Info!$E$2:$F$11,2,0),IF(K1219="FGP",VLOOKUP(F1219,[1]Info!$E$9:$F$10,2,0),IF(K1219="F10",VLOOKUP(F1219,[1]Info!$E$2:$F$3,2,0),VLOOKUP(K1219,[1]Info!$A$1:$B$21,2,0))))))</f>
        <v>Fornos Retangulares - Engenharia e Obras</v>
      </c>
    </row>
    <row r="1220" spans="1:24" x14ac:dyDescent="0.35">
      <c r="A1220" t="s">
        <v>41</v>
      </c>
      <c r="B1220" t="s">
        <v>73</v>
      </c>
      <c r="C1220" t="s">
        <v>74</v>
      </c>
      <c r="D1220" t="s">
        <v>100</v>
      </c>
      <c r="E1220" t="s">
        <v>65</v>
      </c>
      <c r="F1220">
        <v>7094570</v>
      </c>
      <c r="G1220" t="s">
        <v>225</v>
      </c>
      <c r="H1220" t="s">
        <v>43</v>
      </c>
      <c r="I1220" t="s">
        <v>44</v>
      </c>
      <c r="J1220" t="s">
        <v>226</v>
      </c>
      <c r="K1220" t="s">
        <v>7</v>
      </c>
      <c r="L1220" t="s">
        <v>148</v>
      </c>
      <c r="M1220" t="s">
        <v>1030</v>
      </c>
      <c r="N1220" t="s">
        <v>1031</v>
      </c>
      <c r="O1220" t="s">
        <v>237</v>
      </c>
      <c r="P1220" t="s">
        <v>1292</v>
      </c>
      <c r="Q1220" t="s">
        <v>46</v>
      </c>
      <c r="R1220" t="s">
        <v>47</v>
      </c>
      <c r="S1220" t="s">
        <v>46</v>
      </c>
      <c r="T1220" t="s">
        <v>46</v>
      </c>
      <c r="U1220" s="4">
        <v>2511.4899999999998</v>
      </c>
      <c r="V1220" t="str">
        <f t="shared" ref="V1220:V1283" si="19">RIGHT(O1220,4)</f>
        <v>FR39</v>
      </c>
      <c r="W1220" t="str">
        <f>VLOOKUP(K1220,[1]Info!A$1:B$21,2,0)</f>
        <v>Fornos Retangulares - Engenharia e Obras</v>
      </c>
      <c r="X1220" t="str">
        <f>IF(M1220="109595132","Material de Limpeza-Não Avaliar",IF(AND(K1220="F20",M1220&lt;&gt;109595132),IF(RIGHT(F1220,2)="70","Infraestrutura de Planta","Prédios e Instalações"),IF(K1220="FPC",VLOOKUP(F1220,[1]Info!$E$2:$F$11,2,0),IF(K1220="FGP",VLOOKUP(F1220,[1]Info!$E$9:$F$10,2,0),IF(K1220="F10",VLOOKUP(F1220,[1]Info!$E$2:$F$3,2,0),VLOOKUP(K1220,[1]Info!$A$1:$B$21,2,0))))))</f>
        <v>Fornos Retangulares - Engenharia e Obras</v>
      </c>
    </row>
    <row r="1221" spans="1:24" x14ac:dyDescent="0.35">
      <c r="A1221" t="s">
        <v>41</v>
      </c>
      <c r="B1221" t="s">
        <v>73</v>
      </c>
      <c r="C1221" t="s">
        <v>74</v>
      </c>
      <c r="D1221" t="s">
        <v>100</v>
      </c>
      <c r="E1221" t="s">
        <v>65</v>
      </c>
      <c r="F1221">
        <v>7094570</v>
      </c>
      <c r="G1221" t="s">
        <v>225</v>
      </c>
      <c r="H1221" t="s">
        <v>43</v>
      </c>
      <c r="I1221" t="s">
        <v>44</v>
      </c>
      <c r="J1221" t="s">
        <v>226</v>
      </c>
      <c r="K1221" t="s">
        <v>7</v>
      </c>
      <c r="L1221" t="s">
        <v>148</v>
      </c>
      <c r="M1221" t="s">
        <v>1964</v>
      </c>
      <c r="N1221" t="s">
        <v>1965</v>
      </c>
      <c r="O1221" t="s">
        <v>1587</v>
      </c>
      <c r="P1221" t="s">
        <v>1292</v>
      </c>
      <c r="Q1221" t="s">
        <v>46</v>
      </c>
      <c r="R1221" t="s">
        <v>47</v>
      </c>
      <c r="S1221" t="s">
        <v>46</v>
      </c>
      <c r="T1221" t="s">
        <v>46</v>
      </c>
      <c r="U1221" s="4">
        <v>3181.23</v>
      </c>
      <c r="V1221" t="str">
        <f t="shared" si="19"/>
        <v>-030</v>
      </c>
      <c r="W1221" t="str">
        <f>VLOOKUP(K1221,[1]Info!A$1:B$21,2,0)</f>
        <v>Fornos Retangulares - Engenharia e Obras</v>
      </c>
      <c r="X1221" t="str">
        <f>IF(M1221="109595132","Material de Limpeza-Não Avaliar",IF(AND(K1221="F20",M1221&lt;&gt;109595132),IF(RIGHT(F1221,2)="70","Infraestrutura de Planta","Prédios e Instalações"),IF(K1221="FPC",VLOOKUP(F1221,[1]Info!$E$2:$F$11,2,0),IF(K1221="FGP",VLOOKUP(F1221,[1]Info!$E$9:$F$10,2,0),IF(K1221="F10",VLOOKUP(F1221,[1]Info!$E$2:$F$3,2,0),VLOOKUP(K1221,[1]Info!$A$1:$B$21,2,0))))))</f>
        <v>Fornos Retangulares - Engenharia e Obras</v>
      </c>
    </row>
    <row r="1222" spans="1:24" x14ac:dyDescent="0.35">
      <c r="A1222" t="s">
        <v>41</v>
      </c>
      <c r="B1222" t="s">
        <v>73</v>
      </c>
      <c r="C1222" t="s">
        <v>74</v>
      </c>
      <c r="D1222" t="s">
        <v>100</v>
      </c>
      <c r="E1222" t="s">
        <v>65</v>
      </c>
      <c r="F1222">
        <v>7094570</v>
      </c>
      <c r="G1222" t="s">
        <v>225</v>
      </c>
      <c r="H1222" t="s">
        <v>43</v>
      </c>
      <c r="I1222" t="s">
        <v>44</v>
      </c>
      <c r="J1222" t="s">
        <v>226</v>
      </c>
      <c r="K1222" t="s">
        <v>7</v>
      </c>
      <c r="L1222" t="s">
        <v>148</v>
      </c>
      <c r="M1222" t="s">
        <v>1049</v>
      </c>
      <c r="N1222" t="s">
        <v>1050</v>
      </c>
      <c r="O1222" t="s">
        <v>1051</v>
      </c>
      <c r="P1222" t="s">
        <v>1292</v>
      </c>
      <c r="Q1222" t="s">
        <v>46</v>
      </c>
      <c r="R1222" t="s">
        <v>47</v>
      </c>
      <c r="S1222" t="s">
        <v>46</v>
      </c>
      <c r="T1222" t="s">
        <v>46</v>
      </c>
      <c r="U1222" s="4">
        <v>697.63</v>
      </c>
      <c r="V1222" t="str">
        <f t="shared" si="19"/>
        <v>-030</v>
      </c>
      <c r="W1222" t="str">
        <f>VLOOKUP(K1222,[1]Info!A$1:B$21,2,0)</f>
        <v>Fornos Retangulares - Engenharia e Obras</v>
      </c>
      <c r="X1222" t="str">
        <f>IF(M1222="109595132","Material de Limpeza-Não Avaliar",IF(AND(K1222="F20",M1222&lt;&gt;109595132),IF(RIGHT(F1222,2)="70","Infraestrutura de Planta","Prédios e Instalações"),IF(K1222="FPC",VLOOKUP(F1222,[1]Info!$E$2:$F$11,2,0),IF(K1222="FGP",VLOOKUP(F1222,[1]Info!$E$9:$F$10,2,0),IF(K1222="F10",VLOOKUP(F1222,[1]Info!$E$2:$F$3,2,0),VLOOKUP(K1222,[1]Info!$A$1:$B$21,2,0))))))</f>
        <v>Fornos Retangulares - Engenharia e Obras</v>
      </c>
    </row>
    <row r="1223" spans="1:24" x14ac:dyDescent="0.35">
      <c r="A1223" t="s">
        <v>41</v>
      </c>
      <c r="B1223" t="s">
        <v>73</v>
      </c>
      <c r="C1223" t="s">
        <v>74</v>
      </c>
      <c r="D1223" t="s">
        <v>100</v>
      </c>
      <c r="E1223" t="s">
        <v>65</v>
      </c>
      <c r="F1223">
        <v>7094570</v>
      </c>
      <c r="G1223" t="s">
        <v>225</v>
      </c>
      <c r="H1223" t="s">
        <v>43</v>
      </c>
      <c r="I1223" t="s">
        <v>44</v>
      </c>
      <c r="J1223" t="s">
        <v>226</v>
      </c>
      <c r="K1223" t="s">
        <v>6</v>
      </c>
      <c r="L1223" t="s">
        <v>59</v>
      </c>
      <c r="M1223" t="s">
        <v>1966</v>
      </c>
      <c r="N1223" t="s">
        <v>1967</v>
      </c>
      <c r="O1223" t="s">
        <v>1588</v>
      </c>
      <c r="P1223" t="s">
        <v>1292</v>
      </c>
      <c r="Q1223" t="s">
        <v>46</v>
      </c>
      <c r="R1223" t="s">
        <v>47</v>
      </c>
      <c r="S1223" t="s">
        <v>46</v>
      </c>
      <c r="T1223" t="s">
        <v>46</v>
      </c>
      <c r="U1223" s="4">
        <v>279.05</v>
      </c>
      <c r="V1223" t="str">
        <f t="shared" si="19"/>
        <v>0050</v>
      </c>
      <c r="W1223" t="str">
        <f>VLOOKUP(K1223,[1]Info!A$1:B$21,2,0)</f>
        <v>Equipamentos Carbonização</v>
      </c>
      <c r="X1223" t="str">
        <f>IF(M1223="109595132","Material de Limpeza-Não Avaliar",IF(AND(K1223="F20",M1223&lt;&gt;109595132),IF(RIGHT(F1223,2)="70","Infraestrutura de Planta","Prédios e Instalações"),IF(K1223="FPC",VLOOKUP(F1223,[1]Info!$E$2:$F$11,2,0),IF(K1223="FGP",VLOOKUP(F1223,[1]Info!$E$9:$F$10,2,0),IF(K1223="F10",VLOOKUP(F1223,[1]Info!$E$2:$F$3,2,0),VLOOKUP(K1223,[1]Info!$A$1:$B$21,2,0))))))</f>
        <v>Equipamentos Carbonização</v>
      </c>
    </row>
    <row r="1224" spans="1:24" x14ac:dyDescent="0.35">
      <c r="A1224" t="s">
        <v>41</v>
      </c>
      <c r="B1224" t="s">
        <v>73</v>
      </c>
      <c r="C1224" t="s">
        <v>74</v>
      </c>
      <c r="D1224" t="s">
        <v>100</v>
      </c>
      <c r="E1224" t="s">
        <v>65</v>
      </c>
      <c r="F1224">
        <v>7094570</v>
      </c>
      <c r="G1224" t="s">
        <v>225</v>
      </c>
      <c r="H1224" t="s">
        <v>43</v>
      </c>
      <c r="I1224" t="s">
        <v>44</v>
      </c>
      <c r="J1224" t="s">
        <v>226</v>
      </c>
      <c r="K1224" t="s">
        <v>6</v>
      </c>
      <c r="L1224" t="s">
        <v>51</v>
      </c>
      <c r="M1224" t="s">
        <v>1052</v>
      </c>
      <c r="N1224" t="s">
        <v>1053</v>
      </c>
      <c r="O1224" t="s">
        <v>1054</v>
      </c>
      <c r="P1224" t="s">
        <v>1292</v>
      </c>
      <c r="Q1224" t="s">
        <v>46</v>
      </c>
      <c r="R1224" t="s">
        <v>47</v>
      </c>
      <c r="S1224" t="s">
        <v>46</v>
      </c>
      <c r="T1224" t="s">
        <v>46</v>
      </c>
      <c r="U1224" s="4">
        <v>5232.26</v>
      </c>
      <c r="V1224" t="str">
        <f t="shared" si="19"/>
        <v>-005</v>
      </c>
      <c r="W1224" t="str">
        <f>VLOOKUP(K1224,[1]Info!A$1:B$21,2,0)</f>
        <v>Equipamentos Carbonização</v>
      </c>
      <c r="X1224" t="str">
        <f>IF(M1224="109595132","Material de Limpeza-Não Avaliar",IF(AND(K1224="F20",M1224&lt;&gt;109595132),IF(RIGHT(F1224,2)="70","Infraestrutura de Planta","Prédios e Instalações"),IF(K1224="FPC",VLOOKUP(F1224,[1]Info!$E$2:$F$11,2,0),IF(K1224="FGP",VLOOKUP(F1224,[1]Info!$E$9:$F$10,2,0),IF(K1224="F10",VLOOKUP(F1224,[1]Info!$E$2:$F$3,2,0),VLOOKUP(K1224,[1]Info!$A$1:$B$21,2,0))))))</f>
        <v>Equipamentos Carbonização</v>
      </c>
    </row>
    <row r="1225" spans="1:24" x14ac:dyDescent="0.35">
      <c r="A1225" t="s">
        <v>41</v>
      </c>
      <c r="B1225" t="s">
        <v>73</v>
      </c>
      <c r="C1225" t="s">
        <v>74</v>
      </c>
      <c r="D1225" t="s">
        <v>100</v>
      </c>
      <c r="E1225" t="s">
        <v>65</v>
      </c>
      <c r="F1225">
        <v>7094070</v>
      </c>
      <c r="G1225" t="s">
        <v>1968</v>
      </c>
      <c r="H1225" t="s">
        <v>43</v>
      </c>
      <c r="I1225" t="s">
        <v>44</v>
      </c>
      <c r="J1225" t="s">
        <v>1274</v>
      </c>
      <c r="K1225" t="s">
        <v>6</v>
      </c>
      <c r="L1225" t="s">
        <v>62</v>
      </c>
      <c r="M1225" t="s">
        <v>1969</v>
      </c>
      <c r="N1225" t="s">
        <v>1970</v>
      </c>
      <c r="O1225" t="s">
        <v>1591</v>
      </c>
      <c r="P1225" t="s">
        <v>1292</v>
      </c>
      <c r="Q1225" t="s">
        <v>46</v>
      </c>
      <c r="R1225" t="s">
        <v>47</v>
      </c>
      <c r="S1225" t="s">
        <v>46</v>
      </c>
      <c r="T1225" t="s">
        <v>46</v>
      </c>
      <c r="U1225" s="4">
        <v>418.58</v>
      </c>
      <c r="V1225" t="str">
        <f t="shared" si="19"/>
        <v>BALD</v>
      </c>
      <c r="W1225" t="str">
        <f>VLOOKUP(K1225,[1]Info!A$1:B$21,2,0)</f>
        <v>Equipamentos Carbonização</v>
      </c>
      <c r="X1225" t="str">
        <f>IF(M1225="109595132","Material de Limpeza-Não Avaliar",IF(AND(K1225="F20",M1225&lt;&gt;109595132),IF(RIGHT(F1225,2)="70","Infraestrutura de Planta","Prédios e Instalações"),IF(K1225="FPC",VLOOKUP(F1225,[1]Info!$E$2:$F$11,2,0),IF(K1225="FGP",VLOOKUP(F1225,[1]Info!$E$9:$F$10,2,0),IF(K1225="F10",VLOOKUP(F1225,[1]Info!$E$2:$F$3,2,0),VLOOKUP(K1225,[1]Info!$A$1:$B$21,2,0))))))</f>
        <v>Equipamentos Carbonização</v>
      </c>
    </row>
    <row r="1226" spans="1:24" x14ac:dyDescent="0.35">
      <c r="A1226" t="s">
        <v>41</v>
      </c>
      <c r="B1226" t="s">
        <v>73</v>
      </c>
      <c r="C1226" t="s">
        <v>74</v>
      </c>
      <c r="D1226" t="s">
        <v>100</v>
      </c>
      <c r="E1226" t="s">
        <v>65</v>
      </c>
      <c r="F1226">
        <v>7094070</v>
      </c>
      <c r="G1226" t="s">
        <v>1968</v>
      </c>
      <c r="H1226" t="s">
        <v>43</v>
      </c>
      <c r="I1226" t="s">
        <v>44</v>
      </c>
      <c r="J1226" t="s">
        <v>1274</v>
      </c>
      <c r="K1226" t="s">
        <v>6</v>
      </c>
      <c r="L1226" t="s">
        <v>51</v>
      </c>
      <c r="M1226" t="s">
        <v>1971</v>
      </c>
      <c r="N1226" t="s">
        <v>1972</v>
      </c>
      <c r="O1226" t="s">
        <v>1592</v>
      </c>
      <c r="P1226" t="s">
        <v>1292</v>
      </c>
      <c r="Q1226" t="s">
        <v>46</v>
      </c>
      <c r="R1226" t="s">
        <v>47</v>
      </c>
      <c r="S1226" t="s">
        <v>46</v>
      </c>
      <c r="T1226" t="s">
        <v>46</v>
      </c>
      <c r="U1226" s="4">
        <v>1325.51</v>
      </c>
      <c r="V1226" t="str">
        <f t="shared" si="19"/>
        <v>EP39</v>
      </c>
      <c r="W1226" t="str">
        <f>VLOOKUP(K1226,[1]Info!A$1:B$21,2,0)</f>
        <v>Equipamentos Carbonização</v>
      </c>
      <c r="X1226" t="str">
        <f>IF(M1226="109595132","Material de Limpeza-Não Avaliar",IF(AND(K1226="F20",M1226&lt;&gt;109595132),IF(RIGHT(F1226,2)="70","Infraestrutura de Planta","Prédios e Instalações"),IF(K1226="FPC",VLOOKUP(F1226,[1]Info!$E$2:$F$11,2,0),IF(K1226="FGP",VLOOKUP(F1226,[1]Info!$E$9:$F$10,2,0),IF(K1226="F10",VLOOKUP(F1226,[1]Info!$E$2:$F$3,2,0),VLOOKUP(K1226,[1]Info!$A$1:$B$21,2,0))))))</f>
        <v>Equipamentos Carbonização</v>
      </c>
    </row>
    <row r="1227" spans="1:24" x14ac:dyDescent="0.35">
      <c r="A1227" t="s">
        <v>41</v>
      </c>
      <c r="B1227" t="s">
        <v>73</v>
      </c>
      <c r="C1227" t="s">
        <v>74</v>
      </c>
      <c r="D1227" t="s">
        <v>100</v>
      </c>
      <c r="E1227" t="s">
        <v>65</v>
      </c>
      <c r="F1227">
        <v>7093370</v>
      </c>
      <c r="G1227" t="s">
        <v>151</v>
      </c>
      <c r="H1227" t="s">
        <v>43</v>
      </c>
      <c r="I1227" t="s">
        <v>44</v>
      </c>
      <c r="J1227" t="s">
        <v>152</v>
      </c>
      <c r="K1227" t="s">
        <v>7</v>
      </c>
      <c r="L1227" t="s">
        <v>148</v>
      </c>
      <c r="M1227" t="s">
        <v>1032</v>
      </c>
      <c r="N1227" t="s">
        <v>1033</v>
      </c>
      <c r="O1227" t="s">
        <v>153</v>
      </c>
      <c r="P1227" t="s">
        <v>1292</v>
      </c>
      <c r="Q1227" t="s">
        <v>46</v>
      </c>
      <c r="R1227" t="s">
        <v>47</v>
      </c>
      <c r="S1227" t="s">
        <v>46</v>
      </c>
      <c r="T1227" t="s">
        <v>46</v>
      </c>
      <c r="U1227" s="4">
        <v>1395.27</v>
      </c>
      <c r="V1227" t="str">
        <f t="shared" si="19"/>
        <v>FR19</v>
      </c>
      <c r="W1227" t="str">
        <f>VLOOKUP(K1227,[1]Info!A$1:B$21,2,0)</f>
        <v>Fornos Retangulares - Engenharia e Obras</v>
      </c>
      <c r="X1227" t="str">
        <f>IF(M1227="109595132","Material de Limpeza-Não Avaliar",IF(AND(K1227="F20",M1227&lt;&gt;109595132),IF(RIGHT(F1227,2)="70","Infraestrutura de Planta","Prédios e Instalações"),IF(K1227="FPC",VLOOKUP(F1227,[1]Info!$E$2:$F$11,2,0),IF(K1227="FGP",VLOOKUP(F1227,[1]Info!$E$9:$F$10,2,0),IF(K1227="F10",VLOOKUP(F1227,[1]Info!$E$2:$F$3,2,0),VLOOKUP(K1227,[1]Info!$A$1:$B$21,2,0))))))</f>
        <v>Fornos Retangulares - Engenharia e Obras</v>
      </c>
    </row>
    <row r="1228" spans="1:24" x14ac:dyDescent="0.35">
      <c r="A1228" t="s">
        <v>41</v>
      </c>
      <c r="B1228" t="s">
        <v>73</v>
      </c>
      <c r="C1228" t="s">
        <v>74</v>
      </c>
      <c r="D1228" t="s">
        <v>100</v>
      </c>
      <c r="E1228" t="s">
        <v>65</v>
      </c>
      <c r="F1228">
        <v>7093370</v>
      </c>
      <c r="G1228" t="s">
        <v>151</v>
      </c>
      <c r="H1228" t="s">
        <v>43</v>
      </c>
      <c r="I1228" t="s">
        <v>44</v>
      </c>
      <c r="J1228" t="s">
        <v>152</v>
      </c>
      <c r="K1228" t="s">
        <v>7</v>
      </c>
      <c r="L1228" t="s">
        <v>148</v>
      </c>
      <c r="M1228" t="s">
        <v>1034</v>
      </c>
      <c r="N1228" t="s">
        <v>1035</v>
      </c>
      <c r="O1228" t="s">
        <v>153</v>
      </c>
      <c r="P1228" t="s">
        <v>1292</v>
      </c>
      <c r="Q1228" t="s">
        <v>46</v>
      </c>
      <c r="R1228" t="s">
        <v>47</v>
      </c>
      <c r="S1228" t="s">
        <v>46</v>
      </c>
      <c r="T1228" t="s">
        <v>46</v>
      </c>
      <c r="U1228" s="4">
        <v>418.58</v>
      </c>
      <c r="V1228" t="str">
        <f t="shared" si="19"/>
        <v>FR19</v>
      </c>
      <c r="W1228" t="str">
        <f>VLOOKUP(K1228,[1]Info!A$1:B$21,2,0)</f>
        <v>Fornos Retangulares - Engenharia e Obras</v>
      </c>
      <c r="X1228" t="str">
        <f>IF(M1228="109595132","Material de Limpeza-Não Avaliar",IF(AND(K1228="F20",M1228&lt;&gt;109595132),IF(RIGHT(F1228,2)="70","Infraestrutura de Planta","Prédios e Instalações"),IF(K1228="FPC",VLOOKUP(F1228,[1]Info!$E$2:$F$11,2,0),IF(K1228="FGP",VLOOKUP(F1228,[1]Info!$E$9:$F$10,2,0),IF(K1228="F10",VLOOKUP(F1228,[1]Info!$E$2:$F$3,2,0),VLOOKUP(K1228,[1]Info!$A$1:$B$21,2,0))))))</f>
        <v>Fornos Retangulares - Engenharia e Obras</v>
      </c>
    </row>
    <row r="1229" spans="1:24" x14ac:dyDescent="0.35">
      <c r="A1229" t="s">
        <v>41</v>
      </c>
      <c r="B1229" t="s">
        <v>73</v>
      </c>
      <c r="C1229" t="s">
        <v>74</v>
      </c>
      <c r="D1229" t="s">
        <v>100</v>
      </c>
      <c r="E1229" t="s">
        <v>65</v>
      </c>
      <c r="F1229">
        <v>7093370</v>
      </c>
      <c r="G1229" t="s">
        <v>151</v>
      </c>
      <c r="H1229" t="s">
        <v>43</v>
      </c>
      <c r="I1229" t="s">
        <v>44</v>
      </c>
      <c r="J1229" t="s">
        <v>152</v>
      </c>
      <c r="K1229" t="s">
        <v>7</v>
      </c>
      <c r="L1229" t="s">
        <v>148</v>
      </c>
      <c r="M1229" t="s">
        <v>1055</v>
      </c>
      <c r="N1229" t="s">
        <v>1056</v>
      </c>
      <c r="O1229" t="s">
        <v>1057</v>
      </c>
      <c r="P1229" t="s">
        <v>1292</v>
      </c>
      <c r="Q1229" t="s">
        <v>46</v>
      </c>
      <c r="R1229" t="s">
        <v>47</v>
      </c>
      <c r="S1229" t="s">
        <v>46</v>
      </c>
      <c r="T1229" t="s">
        <v>46</v>
      </c>
      <c r="U1229" s="4">
        <v>7980.96</v>
      </c>
      <c r="V1229" t="str">
        <f t="shared" si="19"/>
        <v>-030</v>
      </c>
      <c r="W1229" t="str">
        <f>VLOOKUP(K1229,[1]Info!A$1:B$21,2,0)</f>
        <v>Fornos Retangulares - Engenharia e Obras</v>
      </c>
      <c r="X1229" t="str">
        <f>IF(M1229="109595132","Material de Limpeza-Não Avaliar",IF(AND(K1229="F20",M1229&lt;&gt;109595132),IF(RIGHT(F1229,2)="70","Infraestrutura de Planta","Prédios e Instalações"),IF(K1229="FPC",VLOOKUP(F1229,[1]Info!$E$2:$F$11,2,0),IF(K1229="FGP",VLOOKUP(F1229,[1]Info!$E$9:$F$10,2,0),IF(K1229="F10",VLOOKUP(F1229,[1]Info!$E$2:$F$3,2,0),VLOOKUP(K1229,[1]Info!$A$1:$B$21,2,0))))))</f>
        <v>Fornos Retangulares - Engenharia e Obras</v>
      </c>
    </row>
    <row r="1230" spans="1:24" x14ac:dyDescent="0.35">
      <c r="A1230" t="s">
        <v>41</v>
      </c>
      <c r="B1230" t="s">
        <v>73</v>
      </c>
      <c r="C1230" t="s">
        <v>74</v>
      </c>
      <c r="D1230" t="s">
        <v>100</v>
      </c>
      <c r="E1230" t="s">
        <v>65</v>
      </c>
      <c r="F1230">
        <v>7093370</v>
      </c>
      <c r="G1230" t="s">
        <v>151</v>
      </c>
      <c r="H1230" t="s">
        <v>43</v>
      </c>
      <c r="I1230" t="s">
        <v>44</v>
      </c>
      <c r="J1230" t="s">
        <v>152</v>
      </c>
      <c r="K1230" t="s">
        <v>7</v>
      </c>
      <c r="L1230" t="s">
        <v>148</v>
      </c>
      <c r="M1230" t="s">
        <v>1078</v>
      </c>
      <c r="N1230" t="s">
        <v>1079</v>
      </c>
      <c r="O1230" t="s">
        <v>1080</v>
      </c>
      <c r="P1230" t="s">
        <v>1292</v>
      </c>
      <c r="Q1230" t="s">
        <v>46</v>
      </c>
      <c r="R1230" t="s">
        <v>47</v>
      </c>
      <c r="S1230" t="s">
        <v>46</v>
      </c>
      <c r="T1230" t="s">
        <v>46</v>
      </c>
      <c r="U1230" s="4">
        <v>2162.69</v>
      </c>
      <c r="V1230" t="str">
        <f t="shared" si="19"/>
        <v>-030</v>
      </c>
      <c r="W1230" t="str">
        <f>VLOOKUP(K1230,[1]Info!A$1:B$21,2,0)</f>
        <v>Fornos Retangulares - Engenharia e Obras</v>
      </c>
      <c r="X1230" t="str">
        <f>IF(M1230="109595132","Material de Limpeza-Não Avaliar",IF(AND(K1230="F20",M1230&lt;&gt;109595132),IF(RIGHT(F1230,2)="70","Infraestrutura de Planta","Prédios e Instalações"),IF(K1230="FPC",VLOOKUP(F1230,[1]Info!$E$2:$F$11,2,0),IF(K1230="FGP",VLOOKUP(F1230,[1]Info!$E$9:$F$10,2,0),IF(K1230="F10",VLOOKUP(F1230,[1]Info!$E$2:$F$3,2,0),VLOOKUP(K1230,[1]Info!$A$1:$B$21,2,0))))))</f>
        <v>Fornos Retangulares - Engenharia e Obras</v>
      </c>
    </row>
    <row r="1231" spans="1:24" x14ac:dyDescent="0.35">
      <c r="A1231" t="s">
        <v>41</v>
      </c>
      <c r="B1231" t="s">
        <v>73</v>
      </c>
      <c r="C1231" t="s">
        <v>74</v>
      </c>
      <c r="D1231" t="s">
        <v>100</v>
      </c>
      <c r="E1231" t="s">
        <v>65</v>
      </c>
      <c r="F1231">
        <v>7093370</v>
      </c>
      <c r="G1231" t="s">
        <v>151</v>
      </c>
      <c r="H1231" t="s">
        <v>43</v>
      </c>
      <c r="I1231" t="s">
        <v>44</v>
      </c>
      <c r="J1231" t="s">
        <v>152</v>
      </c>
      <c r="K1231" t="s">
        <v>7</v>
      </c>
      <c r="L1231" t="s">
        <v>148</v>
      </c>
      <c r="M1231" t="s">
        <v>1083</v>
      </c>
      <c r="N1231" t="s">
        <v>1084</v>
      </c>
      <c r="O1231" t="s">
        <v>1085</v>
      </c>
      <c r="P1231" t="s">
        <v>1292</v>
      </c>
      <c r="Q1231" t="s">
        <v>46</v>
      </c>
      <c r="R1231" t="s">
        <v>47</v>
      </c>
      <c r="S1231" t="s">
        <v>46</v>
      </c>
      <c r="T1231" t="s">
        <v>46</v>
      </c>
      <c r="U1231" s="4">
        <v>1744.1</v>
      </c>
      <c r="V1231" t="str">
        <f t="shared" si="19"/>
        <v>-035</v>
      </c>
      <c r="W1231" t="str">
        <f>VLOOKUP(K1231,[1]Info!A$1:B$21,2,0)</f>
        <v>Fornos Retangulares - Engenharia e Obras</v>
      </c>
      <c r="X1231" t="str">
        <f>IF(M1231="109595132","Material de Limpeza-Não Avaliar",IF(AND(K1231="F20",M1231&lt;&gt;109595132),IF(RIGHT(F1231,2)="70","Infraestrutura de Planta","Prédios e Instalações"),IF(K1231="FPC",VLOOKUP(F1231,[1]Info!$E$2:$F$11,2,0),IF(K1231="FGP",VLOOKUP(F1231,[1]Info!$E$9:$F$10,2,0),IF(K1231="F10",VLOOKUP(F1231,[1]Info!$E$2:$F$3,2,0),VLOOKUP(K1231,[1]Info!$A$1:$B$21,2,0))))))</f>
        <v>Fornos Retangulares - Engenharia e Obras</v>
      </c>
    </row>
    <row r="1232" spans="1:24" x14ac:dyDescent="0.35">
      <c r="A1232" t="s">
        <v>41</v>
      </c>
      <c r="B1232" t="s">
        <v>73</v>
      </c>
      <c r="C1232" t="s">
        <v>74</v>
      </c>
      <c r="D1232" t="s">
        <v>100</v>
      </c>
      <c r="E1232" t="s">
        <v>65</v>
      </c>
      <c r="F1232">
        <v>7093370</v>
      </c>
      <c r="G1232" t="s">
        <v>151</v>
      </c>
      <c r="H1232" t="s">
        <v>43</v>
      </c>
      <c r="I1232" t="s">
        <v>44</v>
      </c>
      <c r="J1232" t="s">
        <v>152</v>
      </c>
      <c r="K1232" t="s">
        <v>7</v>
      </c>
      <c r="L1232" t="s">
        <v>148</v>
      </c>
      <c r="M1232" t="s">
        <v>1086</v>
      </c>
      <c r="N1232" t="s">
        <v>1087</v>
      </c>
      <c r="O1232" t="s">
        <v>1088</v>
      </c>
      <c r="P1232" t="s">
        <v>1292</v>
      </c>
      <c r="Q1232" t="s">
        <v>46</v>
      </c>
      <c r="R1232" t="s">
        <v>47</v>
      </c>
      <c r="S1232" t="s">
        <v>46</v>
      </c>
      <c r="T1232" t="s">
        <v>46</v>
      </c>
      <c r="U1232" s="4">
        <v>1953.38</v>
      </c>
      <c r="V1232" t="str">
        <f t="shared" si="19"/>
        <v>-030</v>
      </c>
      <c r="W1232" t="str">
        <f>VLOOKUP(K1232,[1]Info!A$1:B$21,2,0)</f>
        <v>Fornos Retangulares - Engenharia e Obras</v>
      </c>
      <c r="X1232" t="str">
        <f>IF(M1232="109595132","Material de Limpeza-Não Avaliar",IF(AND(K1232="F20",M1232&lt;&gt;109595132),IF(RIGHT(F1232,2)="70","Infraestrutura de Planta","Prédios e Instalações"),IF(K1232="FPC",VLOOKUP(F1232,[1]Info!$E$2:$F$11,2,0),IF(K1232="FGP",VLOOKUP(F1232,[1]Info!$E$9:$F$10,2,0),IF(K1232="F10",VLOOKUP(F1232,[1]Info!$E$2:$F$3,2,0),VLOOKUP(K1232,[1]Info!$A$1:$B$21,2,0))))))</f>
        <v>Fornos Retangulares - Engenharia e Obras</v>
      </c>
    </row>
    <row r="1233" spans="1:24" x14ac:dyDescent="0.35">
      <c r="A1233" t="s">
        <v>41</v>
      </c>
      <c r="B1233" t="s">
        <v>73</v>
      </c>
      <c r="C1233" t="s">
        <v>74</v>
      </c>
      <c r="D1233" t="s">
        <v>100</v>
      </c>
      <c r="E1233" t="s">
        <v>65</v>
      </c>
      <c r="F1233">
        <v>7093370</v>
      </c>
      <c r="G1233" t="s">
        <v>151</v>
      </c>
      <c r="H1233" t="s">
        <v>43</v>
      </c>
      <c r="I1233" t="s">
        <v>44</v>
      </c>
      <c r="J1233" t="s">
        <v>152</v>
      </c>
      <c r="K1233" t="s">
        <v>6</v>
      </c>
      <c r="L1233" t="s">
        <v>51</v>
      </c>
      <c r="M1233" t="s">
        <v>1973</v>
      </c>
      <c r="N1233" t="s">
        <v>1974</v>
      </c>
      <c r="O1233" t="s">
        <v>1590</v>
      </c>
      <c r="P1233" t="s">
        <v>1292</v>
      </c>
      <c r="Q1233" t="s">
        <v>46</v>
      </c>
      <c r="R1233" t="s">
        <v>47</v>
      </c>
      <c r="S1233" t="s">
        <v>46</v>
      </c>
      <c r="T1233" t="s">
        <v>46</v>
      </c>
      <c r="U1233" s="4">
        <v>1255.74</v>
      </c>
      <c r="V1233" t="str">
        <f t="shared" si="19"/>
        <v>EP19</v>
      </c>
      <c r="W1233" t="str">
        <f>VLOOKUP(K1233,[1]Info!A$1:B$21,2,0)</f>
        <v>Equipamentos Carbonização</v>
      </c>
      <c r="X1233" t="str">
        <f>IF(M1233="109595132","Material de Limpeza-Não Avaliar",IF(AND(K1233="F20",M1233&lt;&gt;109595132),IF(RIGHT(F1233,2)="70","Infraestrutura de Planta","Prédios e Instalações"),IF(K1233="FPC",VLOOKUP(F1233,[1]Info!$E$2:$F$11,2,0),IF(K1233="FGP",VLOOKUP(F1233,[1]Info!$E$9:$F$10,2,0),IF(K1233="F10",VLOOKUP(F1233,[1]Info!$E$2:$F$3,2,0),VLOOKUP(K1233,[1]Info!$A$1:$B$21,2,0))))))</f>
        <v>Equipamentos Carbonização</v>
      </c>
    </row>
    <row r="1234" spans="1:24" x14ac:dyDescent="0.35">
      <c r="A1234" t="s">
        <v>41</v>
      </c>
      <c r="B1234" t="s">
        <v>73</v>
      </c>
      <c r="C1234" t="s">
        <v>74</v>
      </c>
      <c r="D1234" t="s">
        <v>100</v>
      </c>
      <c r="E1234" t="s">
        <v>65</v>
      </c>
      <c r="F1234">
        <v>7093370</v>
      </c>
      <c r="G1234" t="s">
        <v>151</v>
      </c>
      <c r="H1234" t="s">
        <v>43</v>
      </c>
      <c r="I1234" t="s">
        <v>44</v>
      </c>
      <c r="J1234" t="s">
        <v>152</v>
      </c>
      <c r="K1234" t="s">
        <v>6</v>
      </c>
      <c r="L1234" t="s">
        <v>51</v>
      </c>
      <c r="M1234" t="s">
        <v>1061</v>
      </c>
      <c r="N1234" t="s">
        <v>1062</v>
      </c>
      <c r="O1234" t="s">
        <v>1063</v>
      </c>
      <c r="P1234" t="s">
        <v>1292</v>
      </c>
      <c r="Q1234" t="s">
        <v>46</v>
      </c>
      <c r="R1234" t="s">
        <v>47</v>
      </c>
      <c r="S1234" t="s">
        <v>46</v>
      </c>
      <c r="T1234" t="s">
        <v>46</v>
      </c>
      <c r="U1234" s="4">
        <v>837.16</v>
      </c>
      <c r="V1234" t="str">
        <f t="shared" si="19"/>
        <v>EP39</v>
      </c>
      <c r="W1234" t="str">
        <f>VLOOKUP(K1234,[1]Info!A$1:B$21,2,0)</f>
        <v>Equipamentos Carbonização</v>
      </c>
      <c r="X1234" t="str">
        <f>IF(M1234="109595132","Material de Limpeza-Não Avaliar",IF(AND(K1234="F20",M1234&lt;&gt;109595132),IF(RIGHT(F1234,2)="70","Infraestrutura de Planta","Prédios e Instalações"),IF(K1234="FPC",VLOOKUP(F1234,[1]Info!$E$2:$F$11,2,0),IF(K1234="FGP",VLOOKUP(F1234,[1]Info!$E$9:$F$10,2,0),IF(K1234="F10",VLOOKUP(F1234,[1]Info!$E$2:$F$3,2,0),VLOOKUP(K1234,[1]Info!$A$1:$B$21,2,0))))))</f>
        <v>Equipamentos Carbonização</v>
      </c>
    </row>
    <row r="1235" spans="1:24" x14ac:dyDescent="0.35">
      <c r="A1235" t="s">
        <v>41</v>
      </c>
      <c r="B1235" t="s">
        <v>73</v>
      </c>
      <c r="C1235" t="s">
        <v>74</v>
      </c>
      <c r="D1235" t="s">
        <v>100</v>
      </c>
      <c r="E1235" t="s">
        <v>65</v>
      </c>
      <c r="F1235">
        <v>7092370</v>
      </c>
      <c r="G1235" t="s">
        <v>292</v>
      </c>
      <c r="H1235" t="s">
        <v>43</v>
      </c>
      <c r="I1235" t="s">
        <v>44</v>
      </c>
      <c r="J1235" t="s">
        <v>208</v>
      </c>
      <c r="K1235" t="s">
        <v>6</v>
      </c>
      <c r="L1235" t="s">
        <v>51</v>
      </c>
      <c r="M1235" t="s">
        <v>1975</v>
      </c>
      <c r="N1235" t="s">
        <v>1976</v>
      </c>
      <c r="O1235" t="s">
        <v>1589</v>
      </c>
      <c r="P1235" t="s">
        <v>1292</v>
      </c>
      <c r="Q1235" t="s">
        <v>46</v>
      </c>
      <c r="R1235" t="s">
        <v>47</v>
      </c>
      <c r="S1235" t="s">
        <v>46</v>
      </c>
      <c r="T1235" t="s">
        <v>46</v>
      </c>
      <c r="U1235" s="4">
        <v>1185.98</v>
      </c>
      <c r="V1235" t="str">
        <f t="shared" si="19"/>
        <v>C001</v>
      </c>
      <c r="W1235" t="str">
        <f>VLOOKUP(K1235,[1]Info!A$1:B$21,2,0)</f>
        <v>Equipamentos Carbonização</v>
      </c>
      <c r="X1235" t="str">
        <f>IF(M1235="109595132","Material de Limpeza-Não Avaliar",IF(AND(K1235="F20",M1235&lt;&gt;109595132),IF(RIGHT(F1235,2)="70","Infraestrutura de Planta","Prédios e Instalações"),IF(K1235="FPC",VLOOKUP(F1235,[1]Info!$E$2:$F$11,2,0),IF(K1235="FGP",VLOOKUP(F1235,[1]Info!$E$9:$F$10,2,0),IF(K1235="F10",VLOOKUP(F1235,[1]Info!$E$2:$F$3,2,0),VLOOKUP(K1235,[1]Info!$A$1:$B$21,2,0))))))</f>
        <v>Equipamentos Carbonização</v>
      </c>
    </row>
    <row r="1236" spans="1:24" x14ac:dyDescent="0.35">
      <c r="A1236" t="s">
        <v>41</v>
      </c>
      <c r="B1236" t="s">
        <v>73</v>
      </c>
      <c r="C1236" t="s">
        <v>74</v>
      </c>
      <c r="D1236" t="s">
        <v>100</v>
      </c>
      <c r="E1236" t="s">
        <v>65</v>
      </c>
      <c r="F1236">
        <v>7092370</v>
      </c>
      <c r="G1236" t="s">
        <v>292</v>
      </c>
      <c r="H1236" t="s">
        <v>43</v>
      </c>
      <c r="I1236" t="s">
        <v>44</v>
      </c>
      <c r="J1236" t="s">
        <v>208</v>
      </c>
      <c r="K1236" t="s">
        <v>6</v>
      </c>
      <c r="L1236" t="s">
        <v>51</v>
      </c>
      <c r="M1236" t="s">
        <v>294</v>
      </c>
      <c r="N1236" t="s">
        <v>295</v>
      </c>
      <c r="O1236" t="s">
        <v>296</v>
      </c>
      <c r="P1236" t="s">
        <v>1292</v>
      </c>
      <c r="Q1236" t="s">
        <v>46</v>
      </c>
      <c r="R1236" t="s">
        <v>47</v>
      </c>
      <c r="S1236" t="s">
        <v>46</v>
      </c>
      <c r="T1236" t="s">
        <v>46</v>
      </c>
      <c r="U1236" s="4">
        <v>1465.03</v>
      </c>
      <c r="V1236" t="str">
        <f t="shared" si="19"/>
        <v>-005</v>
      </c>
      <c r="W1236" t="str">
        <f>VLOOKUP(K1236,[1]Info!A$1:B$21,2,0)</f>
        <v>Equipamentos Carbonização</v>
      </c>
      <c r="X1236" t="str">
        <f>IF(M1236="109595132","Material de Limpeza-Não Avaliar",IF(AND(K1236="F20",M1236&lt;&gt;109595132),IF(RIGHT(F1236,2)="70","Infraestrutura de Planta","Prédios e Instalações"),IF(K1236="FPC",VLOOKUP(F1236,[1]Info!$E$2:$F$11,2,0),IF(K1236="FGP",VLOOKUP(F1236,[1]Info!$E$9:$F$10,2,0),IF(K1236="F10",VLOOKUP(F1236,[1]Info!$E$2:$F$3,2,0),VLOOKUP(K1236,[1]Info!$A$1:$B$21,2,0))))))</f>
        <v>Equipamentos Carbonização</v>
      </c>
    </row>
    <row r="1237" spans="1:24" x14ac:dyDescent="0.35">
      <c r="A1237" t="s">
        <v>41</v>
      </c>
      <c r="B1237" t="s">
        <v>73</v>
      </c>
      <c r="C1237" t="s">
        <v>74</v>
      </c>
      <c r="D1237" t="s">
        <v>100</v>
      </c>
      <c r="E1237" t="s">
        <v>65</v>
      </c>
      <c r="F1237">
        <v>7092370</v>
      </c>
      <c r="G1237" t="s">
        <v>292</v>
      </c>
      <c r="H1237" t="s">
        <v>43</v>
      </c>
      <c r="I1237" t="s">
        <v>44</v>
      </c>
      <c r="J1237" t="s">
        <v>208</v>
      </c>
      <c r="K1237" t="s">
        <v>5</v>
      </c>
      <c r="L1237" t="s">
        <v>148</v>
      </c>
      <c r="M1237" t="s">
        <v>1977</v>
      </c>
      <c r="N1237" t="s">
        <v>1978</v>
      </c>
      <c r="O1237" t="s">
        <v>293</v>
      </c>
      <c r="P1237" t="s">
        <v>1292</v>
      </c>
      <c r="Q1237" t="s">
        <v>46</v>
      </c>
      <c r="R1237" t="s">
        <v>47</v>
      </c>
      <c r="S1237" t="s">
        <v>46</v>
      </c>
      <c r="T1237" t="s">
        <v>46</v>
      </c>
      <c r="U1237" s="4">
        <v>627.87</v>
      </c>
      <c r="V1237" t="str">
        <f t="shared" si="19"/>
        <v>FR19</v>
      </c>
      <c r="W1237" t="str">
        <f>VLOOKUP(K1237,[1]Info!A$1:B$21,2,0)</f>
        <v>Fornos / Carbonização (Setup)</v>
      </c>
      <c r="X1237" t="str">
        <f>IF(M1237="109595132","Material de Limpeza-Não Avaliar",IF(AND(K1237="F20",M1237&lt;&gt;109595132),IF(RIGHT(F1237,2)="70","Infraestrutura de Planta","Prédios e Instalações"),IF(K1237="FPC",VLOOKUP(F1237,[1]Info!$E$2:$F$11,2,0),IF(K1237="FGP",VLOOKUP(F1237,[1]Info!$E$9:$F$10,2,0),IF(K1237="F10",VLOOKUP(F1237,[1]Info!$E$2:$F$3,2,0),VLOOKUP(K1237,[1]Info!$A$1:$B$21,2,0))))))</f>
        <v>Fornos / Carbonização (Setup)</v>
      </c>
    </row>
    <row r="1238" spans="1:24" x14ac:dyDescent="0.35">
      <c r="A1238" t="s">
        <v>41</v>
      </c>
      <c r="B1238" t="s">
        <v>73</v>
      </c>
      <c r="C1238" t="s">
        <v>74</v>
      </c>
      <c r="D1238" t="s">
        <v>100</v>
      </c>
      <c r="E1238" t="s">
        <v>65</v>
      </c>
      <c r="F1238">
        <v>7091870</v>
      </c>
      <c r="G1238" t="s">
        <v>162</v>
      </c>
      <c r="H1238" t="s">
        <v>43</v>
      </c>
      <c r="I1238" t="s">
        <v>44</v>
      </c>
      <c r="J1238" t="s">
        <v>163</v>
      </c>
      <c r="K1238" t="s">
        <v>7</v>
      </c>
      <c r="L1238" t="s">
        <v>148</v>
      </c>
      <c r="M1238" t="s">
        <v>1038</v>
      </c>
      <c r="N1238" t="s">
        <v>1039</v>
      </c>
      <c r="O1238" t="s">
        <v>238</v>
      </c>
      <c r="P1238" t="s">
        <v>1292</v>
      </c>
      <c r="Q1238" t="s">
        <v>46</v>
      </c>
      <c r="R1238" t="s">
        <v>47</v>
      </c>
      <c r="S1238" t="s">
        <v>46</v>
      </c>
      <c r="T1238" t="s">
        <v>46</v>
      </c>
      <c r="U1238" s="4">
        <v>558.11</v>
      </c>
      <c r="V1238" t="str">
        <f t="shared" si="19"/>
        <v>FR19</v>
      </c>
      <c r="W1238" t="str">
        <f>VLOOKUP(K1238,[1]Info!A$1:B$21,2,0)</f>
        <v>Fornos Retangulares - Engenharia e Obras</v>
      </c>
      <c r="X1238" t="str">
        <f>IF(M1238="109595132","Material de Limpeza-Não Avaliar",IF(AND(K1238="F20",M1238&lt;&gt;109595132),IF(RIGHT(F1238,2)="70","Infraestrutura de Planta","Prédios e Instalações"),IF(K1238="FPC",VLOOKUP(F1238,[1]Info!$E$2:$F$11,2,0),IF(K1238="FGP",VLOOKUP(F1238,[1]Info!$E$9:$F$10,2,0),IF(K1238="F10",VLOOKUP(F1238,[1]Info!$E$2:$F$3,2,0),VLOOKUP(K1238,[1]Info!$A$1:$B$21,2,0))))))</f>
        <v>Fornos Retangulares - Engenharia e Obras</v>
      </c>
    </row>
    <row r="1239" spans="1:24" x14ac:dyDescent="0.35">
      <c r="A1239" t="s">
        <v>41</v>
      </c>
      <c r="B1239" t="s">
        <v>73</v>
      </c>
      <c r="C1239" t="s">
        <v>74</v>
      </c>
      <c r="D1239" t="s">
        <v>100</v>
      </c>
      <c r="E1239" t="s">
        <v>65</v>
      </c>
      <c r="F1239">
        <v>7091870</v>
      </c>
      <c r="G1239" t="s">
        <v>162</v>
      </c>
      <c r="H1239" t="s">
        <v>43</v>
      </c>
      <c r="I1239" t="s">
        <v>44</v>
      </c>
      <c r="J1239" t="s">
        <v>163</v>
      </c>
      <c r="K1239" t="s">
        <v>7</v>
      </c>
      <c r="L1239" t="s">
        <v>148</v>
      </c>
      <c r="M1239" t="s">
        <v>1979</v>
      </c>
      <c r="N1239" t="s">
        <v>1980</v>
      </c>
      <c r="O1239" t="s">
        <v>1579</v>
      </c>
      <c r="P1239" t="s">
        <v>1292</v>
      </c>
      <c r="Q1239" t="s">
        <v>46</v>
      </c>
      <c r="R1239" t="s">
        <v>47</v>
      </c>
      <c r="S1239" t="s">
        <v>46</v>
      </c>
      <c r="T1239" t="s">
        <v>46</v>
      </c>
      <c r="U1239" s="4">
        <v>3139.36</v>
      </c>
      <c r="V1239" t="str">
        <f t="shared" si="19"/>
        <v>-030</v>
      </c>
      <c r="W1239" t="str">
        <f>VLOOKUP(K1239,[1]Info!A$1:B$21,2,0)</f>
        <v>Fornos Retangulares - Engenharia e Obras</v>
      </c>
      <c r="X1239" t="str">
        <f>IF(M1239="109595132","Material de Limpeza-Não Avaliar",IF(AND(K1239="F20",M1239&lt;&gt;109595132),IF(RIGHT(F1239,2)="70","Infraestrutura de Planta","Prédios e Instalações"),IF(K1239="FPC",VLOOKUP(F1239,[1]Info!$E$2:$F$11,2,0),IF(K1239="FGP",VLOOKUP(F1239,[1]Info!$E$9:$F$10,2,0),IF(K1239="F10",VLOOKUP(F1239,[1]Info!$E$2:$F$3,2,0),VLOOKUP(K1239,[1]Info!$A$1:$B$21,2,0))))))</f>
        <v>Fornos Retangulares - Engenharia e Obras</v>
      </c>
    </row>
    <row r="1240" spans="1:24" x14ac:dyDescent="0.35">
      <c r="A1240" t="s">
        <v>41</v>
      </c>
      <c r="B1240" t="s">
        <v>73</v>
      </c>
      <c r="C1240" t="s">
        <v>74</v>
      </c>
      <c r="D1240" t="s">
        <v>100</v>
      </c>
      <c r="E1240" t="s">
        <v>65</v>
      </c>
      <c r="F1240">
        <v>7091870</v>
      </c>
      <c r="G1240" t="s">
        <v>162</v>
      </c>
      <c r="H1240" t="s">
        <v>43</v>
      </c>
      <c r="I1240" t="s">
        <v>44</v>
      </c>
      <c r="J1240" t="s">
        <v>163</v>
      </c>
      <c r="K1240" t="s">
        <v>7</v>
      </c>
      <c r="L1240" t="s">
        <v>148</v>
      </c>
      <c r="M1240" t="s">
        <v>1042</v>
      </c>
      <c r="N1240" t="s">
        <v>1043</v>
      </c>
      <c r="O1240" t="s">
        <v>164</v>
      </c>
      <c r="P1240" t="s">
        <v>1292</v>
      </c>
      <c r="Q1240" t="s">
        <v>46</v>
      </c>
      <c r="R1240" t="s">
        <v>47</v>
      </c>
      <c r="S1240" t="s">
        <v>46</v>
      </c>
      <c r="T1240" t="s">
        <v>46</v>
      </c>
      <c r="U1240" s="4">
        <v>1562.71</v>
      </c>
      <c r="V1240" t="str">
        <f t="shared" si="19"/>
        <v>FR39</v>
      </c>
      <c r="W1240" t="str">
        <f>VLOOKUP(K1240,[1]Info!A$1:B$21,2,0)</f>
        <v>Fornos Retangulares - Engenharia e Obras</v>
      </c>
      <c r="X1240" t="str">
        <f>IF(M1240="109595132","Material de Limpeza-Não Avaliar",IF(AND(K1240="F20",M1240&lt;&gt;109595132),IF(RIGHT(F1240,2)="70","Infraestrutura de Planta","Prédios e Instalações"),IF(K1240="FPC",VLOOKUP(F1240,[1]Info!$E$2:$F$11,2,0),IF(K1240="FGP",VLOOKUP(F1240,[1]Info!$E$9:$F$10,2,0),IF(K1240="F10",VLOOKUP(F1240,[1]Info!$E$2:$F$3,2,0),VLOOKUP(K1240,[1]Info!$A$1:$B$21,2,0))))))</f>
        <v>Fornos Retangulares - Engenharia e Obras</v>
      </c>
    </row>
    <row r="1241" spans="1:24" x14ac:dyDescent="0.35">
      <c r="A1241" t="s">
        <v>41</v>
      </c>
      <c r="B1241" t="s">
        <v>73</v>
      </c>
      <c r="C1241" t="s">
        <v>74</v>
      </c>
      <c r="D1241" t="s">
        <v>100</v>
      </c>
      <c r="E1241" t="s">
        <v>65</v>
      </c>
      <c r="F1241">
        <v>7091870</v>
      </c>
      <c r="G1241" t="s">
        <v>162</v>
      </c>
      <c r="H1241" t="s">
        <v>43</v>
      </c>
      <c r="I1241" t="s">
        <v>44</v>
      </c>
      <c r="J1241" t="s">
        <v>163</v>
      </c>
      <c r="K1241" t="s">
        <v>7</v>
      </c>
      <c r="L1241" t="s">
        <v>148</v>
      </c>
      <c r="M1241" t="s">
        <v>1981</v>
      </c>
      <c r="N1241" t="s">
        <v>1982</v>
      </c>
      <c r="O1241" t="s">
        <v>1578</v>
      </c>
      <c r="P1241" t="s">
        <v>1292</v>
      </c>
      <c r="Q1241" t="s">
        <v>46</v>
      </c>
      <c r="R1241" t="s">
        <v>47</v>
      </c>
      <c r="S1241" t="s">
        <v>46</v>
      </c>
      <c r="T1241" t="s">
        <v>46</v>
      </c>
      <c r="U1241" s="4">
        <v>3209.13</v>
      </c>
      <c r="V1241" t="str">
        <f t="shared" si="19"/>
        <v>-030</v>
      </c>
      <c r="W1241" t="str">
        <f>VLOOKUP(K1241,[1]Info!A$1:B$21,2,0)</f>
        <v>Fornos Retangulares - Engenharia e Obras</v>
      </c>
      <c r="X1241" t="str">
        <f>IF(M1241="109595132","Material de Limpeza-Não Avaliar",IF(AND(K1241="F20",M1241&lt;&gt;109595132),IF(RIGHT(F1241,2)="70","Infraestrutura de Planta","Prédios e Instalações"),IF(K1241="FPC",VLOOKUP(F1241,[1]Info!$E$2:$F$11,2,0),IF(K1241="FGP",VLOOKUP(F1241,[1]Info!$E$9:$F$10,2,0),IF(K1241="F10",VLOOKUP(F1241,[1]Info!$E$2:$F$3,2,0),VLOOKUP(K1241,[1]Info!$A$1:$B$21,2,0))))))</f>
        <v>Fornos Retangulares - Engenharia e Obras</v>
      </c>
    </row>
    <row r="1242" spans="1:24" x14ac:dyDescent="0.35">
      <c r="A1242" t="s">
        <v>41</v>
      </c>
      <c r="B1242" t="s">
        <v>73</v>
      </c>
      <c r="C1242" t="s">
        <v>74</v>
      </c>
      <c r="D1242" t="s">
        <v>100</v>
      </c>
      <c r="E1242" t="s">
        <v>65</v>
      </c>
      <c r="F1242">
        <v>7091870</v>
      </c>
      <c r="G1242" t="s">
        <v>162</v>
      </c>
      <c r="H1242" t="s">
        <v>43</v>
      </c>
      <c r="I1242" t="s">
        <v>44</v>
      </c>
      <c r="J1242" t="s">
        <v>163</v>
      </c>
      <c r="K1242" t="s">
        <v>7</v>
      </c>
      <c r="L1242" t="s">
        <v>148</v>
      </c>
      <c r="M1242" t="s">
        <v>1983</v>
      </c>
      <c r="N1242" t="s">
        <v>1984</v>
      </c>
      <c r="O1242" t="s">
        <v>1581</v>
      </c>
      <c r="P1242" t="s">
        <v>1292</v>
      </c>
      <c r="Q1242" t="s">
        <v>46</v>
      </c>
      <c r="R1242" t="s">
        <v>47</v>
      </c>
      <c r="S1242" t="s">
        <v>46</v>
      </c>
      <c r="T1242" t="s">
        <v>46</v>
      </c>
      <c r="U1242" s="4">
        <v>3209.13</v>
      </c>
      <c r="V1242" t="str">
        <f t="shared" si="19"/>
        <v>-030</v>
      </c>
      <c r="W1242" t="str">
        <f>VLOOKUP(K1242,[1]Info!A$1:B$21,2,0)</f>
        <v>Fornos Retangulares - Engenharia e Obras</v>
      </c>
      <c r="X1242" t="str">
        <f>IF(M1242="109595132","Material de Limpeza-Não Avaliar",IF(AND(K1242="F20",M1242&lt;&gt;109595132),IF(RIGHT(F1242,2)="70","Infraestrutura de Planta","Prédios e Instalações"),IF(K1242="FPC",VLOOKUP(F1242,[1]Info!$E$2:$F$11,2,0),IF(K1242="FGP",VLOOKUP(F1242,[1]Info!$E$9:$F$10,2,0),IF(K1242="F10",VLOOKUP(F1242,[1]Info!$E$2:$F$3,2,0),VLOOKUP(K1242,[1]Info!$A$1:$B$21,2,0))))))</f>
        <v>Fornos Retangulares - Engenharia e Obras</v>
      </c>
    </row>
    <row r="1243" spans="1:24" x14ac:dyDescent="0.35">
      <c r="A1243" t="s">
        <v>41</v>
      </c>
      <c r="B1243" t="s">
        <v>73</v>
      </c>
      <c r="C1243" t="s">
        <v>74</v>
      </c>
      <c r="D1243" t="s">
        <v>100</v>
      </c>
      <c r="E1243" t="s">
        <v>65</v>
      </c>
      <c r="F1243">
        <v>7091870</v>
      </c>
      <c r="G1243" t="s">
        <v>162</v>
      </c>
      <c r="H1243" t="s">
        <v>43</v>
      </c>
      <c r="I1243" t="s">
        <v>44</v>
      </c>
      <c r="J1243" t="s">
        <v>163</v>
      </c>
      <c r="K1243" t="s">
        <v>7</v>
      </c>
      <c r="L1243" t="s">
        <v>148</v>
      </c>
      <c r="M1243" t="s">
        <v>1985</v>
      </c>
      <c r="N1243" t="s">
        <v>1986</v>
      </c>
      <c r="O1243" t="s">
        <v>1580</v>
      </c>
      <c r="P1243" t="s">
        <v>1292</v>
      </c>
      <c r="Q1243" t="s">
        <v>46</v>
      </c>
      <c r="R1243" t="s">
        <v>47</v>
      </c>
      <c r="S1243" t="s">
        <v>46</v>
      </c>
      <c r="T1243" t="s">
        <v>46</v>
      </c>
      <c r="U1243" s="4">
        <v>3069.6</v>
      </c>
      <c r="V1243" t="str">
        <f t="shared" si="19"/>
        <v>-030</v>
      </c>
      <c r="W1243" t="str">
        <f>VLOOKUP(K1243,[1]Info!A$1:B$21,2,0)</f>
        <v>Fornos Retangulares - Engenharia e Obras</v>
      </c>
      <c r="X1243" t="str">
        <f>IF(M1243="109595132","Material de Limpeza-Não Avaliar",IF(AND(K1243="F20",M1243&lt;&gt;109595132),IF(RIGHT(F1243,2)="70","Infraestrutura de Planta","Prédios e Instalações"),IF(K1243="FPC",VLOOKUP(F1243,[1]Info!$E$2:$F$11,2,0),IF(K1243="FGP",VLOOKUP(F1243,[1]Info!$E$9:$F$10,2,0),IF(K1243="F10",VLOOKUP(F1243,[1]Info!$E$2:$F$3,2,0),VLOOKUP(K1243,[1]Info!$A$1:$B$21,2,0))))))</f>
        <v>Fornos Retangulares - Engenharia e Obras</v>
      </c>
    </row>
    <row r="1244" spans="1:24" x14ac:dyDescent="0.35">
      <c r="A1244" t="s">
        <v>41</v>
      </c>
      <c r="B1244" t="s">
        <v>73</v>
      </c>
      <c r="C1244" t="s">
        <v>74</v>
      </c>
      <c r="D1244" t="s">
        <v>100</v>
      </c>
      <c r="E1244" t="s">
        <v>65</v>
      </c>
      <c r="F1244">
        <v>7091870</v>
      </c>
      <c r="G1244" t="s">
        <v>162</v>
      </c>
      <c r="H1244" t="s">
        <v>43</v>
      </c>
      <c r="I1244" t="s">
        <v>44</v>
      </c>
      <c r="J1244" t="s">
        <v>163</v>
      </c>
      <c r="K1244" t="s">
        <v>7</v>
      </c>
      <c r="L1244" t="s">
        <v>148</v>
      </c>
      <c r="M1244" t="s">
        <v>1987</v>
      </c>
      <c r="N1244" t="s">
        <v>1988</v>
      </c>
      <c r="O1244" t="s">
        <v>1577</v>
      </c>
      <c r="P1244" t="s">
        <v>1292</v>
      </c>
      <c r="Q1244" t="s">
        <v>46</v>
      </c>
      <c r="R1244" t="s">
        <v>47</v>
      </c>
      <c r="S1244" t="s">
        <v>46</v>
      </c>
      <c r="T1244" t="s">
        <v>46</v>
      </c>
      <c r="U1244" s="4">
        <v>1199.94</v>
      </c>
      <c r="V1244" t="str">
        <f t="shared" si="19"/>
        <v>-030</v>
      </c>
      <c r="W1244" t="str">
        <f>VLOOKUP(K1244,[1]Info!A$1:B$21,2,0)</f>
        <v>Fornos Retangulares - Engenharia e Obras</v>
      </c>
      <c r="X1244" t="str">
        <f>IF(M1244="109595132","Material de Limpeza-Não Avaliar",IF(AND(K1244="F20",M1244&lt;&gt;109595132),IF(RIGHT(F1244,2)="70","Infraestrutura de Planta","Prédios e Instalações"),IF(K1244="FPC",VLOOKUP(F1244,[1]Info!$E$2:$F$11,2,0),IF(K1244="FGP",VLOOKUP(F1244,[1]Info!$E$9:$F$10,2,0),IF(K1244="F10",VLOOKUP(F1244,[1]Info!$E$2:$F$3,2,0),VLOOKUP(K1244,[1]Info!$A$1:$B$21,2,0))))))</f>
        <v>Fornos Retangulares - Engenharia e Obras</v>
      </c>
    </row>
    <row r="1245" spans="1:24" x14ac:dyDescent="0.35">
      <c r="A1245" t="s">
        <v>41</v>
      </c>
      <c r="B1245" t="s">
        <v>73</v>
      </c>
      <c r="C1245" t="s">
        <v>74</v>
      </c>
      <c r="D1245" t="s">
        <v>100</v>
      </c>
      <c r="E1245" t="s">
        <v>65</v>
      </c>
      <c r="F1245">
        <v>7091870</v>
      </c>
      <c r="G1245" t="s">
        <v>162</v>
      </c>
      <c r="H1245" t="s">
        <v>43</v>
      </c>
      <c r="I1245" t="s">
        <v>44</v>
      </c>
      <c r="J1245" t="s">
        <v>163</v>
      </c>
      <c r="K1245" t="s">
        <v>6</v>
      </c>
      <c r="L1245" t="s">
        <v>59</v>
      </c>
      <c r="M1245" t="s">
        <v>1989</v>
      </c>
      <c r="N1245" t="s">
        <v>1990</v>
      </c>
      <c r="O1245" t="s">
        <v>1582</v>
      </c>
      <c r="P1245" t="s">
        <v>1292</v>
      </c>
      <c r="Q1245" t="s">
        <v>46</v>
      </c>
      <c r="R1245" t="s">
        <v>47</v>
      </c>
      <c r="S1245" t="s">
        <v>46</v>
      </c>
      <c r="T1245" t="s">
        <v>46</v>
      </c>
      <c r="U1245" s="4">
        <v>1255.75</v>
      </c>
      <c r="V1245" t="str">
        <f t="shared" si="19"/>
        <v>C001</v>
      </c>
      <c r="W1245" t="str">
        <f>VLOOKUP(K1245,[1]Info!A$1:B$21,2,0)</f>
        <v>Equipamentos Carbonização</v>
      </c>
      <c r="X1245" t="str">
        <f>IF(M1245="109595132","Material de Limpeza-Não Avaliar",IF(AND(K1245="F20",M1245&lt;&gt;109595132),IF(RIGHT(F1245,2)="70","Infraestrutura de Planta","Prédios e Instalações"),IF(K1245="FPC",VLOOKUP(F1245,[1]Info!$E$2:$F$11,2,0),IF(K1245="FGP",VLOOKUP(F1245,[1]Info!$E$9:$F$10,2,0),IF(K1245="F10",VLOOKUP(F1245,[1]Info!$E$2:$F$3,2,0),VLOOKUP(K1245,[1]Info!$A$1:$B$21,2,0))))))</f>
        <v>Equipamentos Carbonização</v>
      </c>
    </row>
    <row r="1246" spans="1:24" x14ac:dyDescent="0.35">
      <c r="A1246" t="s">
        <v>41</v>
      </c>
      <c r="B1246" t="s">
        <v>73</v>
      </c>
      <c r="C1246" t="s">
        <v>74</v>
      </c>
      <c r="D1246" t="s">
        <v>100</v>
      </c>
      <c r="E1246" t="s">
        <v>65</v>
      </c>
      <c r="F1246">
        <v>7091870</v>
      </c>
      <c r="G1246" t="s">
        <v>162</v>
      </c>
      <c r="H1246" t="s">
        <v>43</v>
      </c>
      <c r="I1246" t="s">
        <v>44</v>
      </c>
      <c r="J1246" t="s">
        <v>163</v>
      </c>
      <c r="K1246" t="s">
        <v>6</v>
      </c>
      <c r="L1246" t="s">
        <v>59</v>
      </c>
      <c r="M1246" t="s">
        <v>1991</v>
      </c>
      <c r="N1246" t="s">
        <v>1992</v>
      </c>
      <c r="O1246" t="s">
        <v>171</v>
      </c>
      <c r="P1246" t="s">
        <v>1292</v>
      </c>
      <c r="Q1246" t="s">
        <v>46</v>
      </c>
      <c r="R1246" t="s">
        <v>47</v>
      </c>
      <c r="S1246" t="s">
        <v>46</v>
      </c>
      <c r="T1246" t="s">
        <v>46</v>
      </c>
      <c r="U1246" s="4">
        <v>976.69</v>
      </c>
      <c r="V1246" t="str">
        <f t="shared" si="19"/>
        <v>C002</v>
      </c>
      <c r="W1246" t="str">
        <f>VLOOKUP(K1246,[1]Info!A$1:B$21,2,0)</f>
        <v>Equipamentos Carbonização</v>
      </c>
      <c r="X1246" t="str">
        <f>IF(M1246="109595132","Material de Limpeza-Não Avaliar",IF(AND(K1246="F20",M1246&lt;&gt;109595132),IF(RIGHT(F1246,2)="70","Infraestrutura de Planta","Prédios e Instalações"),IF(K1246="FPC",VLOOKUP(F1246,[1]Info!$E$2:$F$11,2,0),IF(K1246="FGP",VLOOKUP(F1246,[1]Info!$E$9:$F$10,2,0),IF(K1246="F10",VLOOKUP(F1246,[1]Info!$E$2:$F$3,2,0),VLOOKUP(K1246,[1]Info!$A$1:$B$21,2,0))))))</f>
        <v>Equipamentos Carbonização</v>
      </c>
    </row>
    <row r="1247" spans="1:24" x14ac:dyDescent="0.35">
      <c r="A1247" t="s">
        <v>41</v>
      </c>
      <c r="B1247" t="s">
        <v>73</v>
      </c>
      <c r="C1247" t="s">
        <v>74</v>
      </c>
      <c r="D1247" t="s">
        <v>100</v>
      </c>
      <c r="E1247" t="s">
        <v>65</v>
      </c>
      <c r="F1247">
        <v>7091870</v>
      </c>
      <c r="G1247" t="s">
        <v>162</v>
      </c>
      <c r="H1247" t="s">
        <v>43</v>
      </c>
      <c r="I1247" t="s">
        <v>44</v>
      </c>
      <c r="J1247" t="s">
        <v>163</v>
      </c>
      <c r="K1247" t="s">
        <v>6</v>
      </c>
      <c r="L1247" t="s">
        <v>59</v>
      </c>
      <c r="M1247" t="s">
        <v>1993</v>
      </c>
      <c r="N1247" t="s">
        <v>1994</v>
      </c>
      <c r="O1247" t="s">
        <v>171</v>
      </c>
      <c r="P1247" t="s">
        <v>1292</v>
      </c>
      <c r="Q1247" t="s">
        <v>46</v>
      </c>
      <c r="R1247" t="s">
        <v>47</v>
      </c>
      <c r="S1247" t="s">
        <v>46</v>
      </c>
      <c r="T1247" t="s">
        <v>46</v>
      </c>
      <c r="U1247" s="4">
        <v>1046.45</v>
      </c>
      <c r="V1247" t="str">
        <f t="shared" si="19"/>
        <v>C002</v>
      </c>
      <c r="W1247" t="str">
        <f>VLOOKUP(K1247,[1]Info!A$1:B$21,2,0)</f>
        <v>Equipamentos Carbonização</v>
      </c>
      <c r="X1247" t="str">
        <f>IF(M1247="109595132","Material de Limpeza-Não Avaliar",IF(AND(K1247="F20",M1247&lt;&gt;109595132),IF(RIGHT(F1247,2)="70","Infraestrutura de Planta","Prédios e Instalações"),IF(K1247="FPC",VLOOKUP(F1247,[1]Info!$E$2:$F$11,2,0),IF(K1247="FGP",VLOOKUP(F1247,[1]Info!$E$9:$F$10,2,0),IF(K1247="F10",VLOOKUP(F1247,[1]Info!$E$2:$F$3,2,0),VLOOKUP(K1247,[1]Info!$A$1:$B$21,2,0))))))</f>
        <v>Equipamentos Carbonização</v>
      </c>
    </row>
    <row r="1248" spans="1:24" x14ac:dyDescent="0.35">
      <c r="A1248" t="s">
        <v>41</v>
      </c>
      <c r="B1248" t="s">
        <v>73</v>
      </c>
      <c r="C1248" t="s">
        <v>74</v>
      </c>
      <c r="D1248" t="s">
        <v>100</v>
      </c>
      <c r="E1248" t="s">
        <v>65</v>
      </c>
      <c r="F1248">
        <v>7091870</v>
      </c>
      <c r="G1248" t="s">
        <v>162</v>
      </c>
      <c r="H1248" t="s">
        <v>43</v>
      </c>
      <c r="I1248" t="s">
        <v>44</v>
      </c>
      <c r="J1248" t="s">
        <v>163</v>
      </c>
      <c r="K1248" t="s">
        <v>6</v>
      </c>
      <c r="L1248" t="s">
        <v>59</v>
      </c>
      <c r="M1248" t="s">
        <v>1995</v>
      </c>
      <c r="N1248" t="s">
        <v>1996</v>
      </c>
      <c r="O1248" t="s">
        <v>1582</v>
      </c>
      <c r="P1248" t="s">
        <v>1292</v>
      </c>
      <c r="Q1248" t="s">
        <v>46</v>
      </c>
      <c r="R1248" t="s">
        <v>47</v>
      </c>
      <c r="S1248" t="s">
        <v>46</v>
      </c>
      <c r="T1248" t="s">
        <v>46</v>
      </c>
      <c r="U1248" s="4">
        <v>906.92</v>
      </c>
      <c r="V1248" t="str">
        <f t="shared" si="19"/>
        <v>C001</v>
      </c>
      <c r="W1248" t="str">
        <f>VLOOKUP(K1248,[1]Info!A$1:B$21,2,0)</f>
        <v>Equipamentos Carbonização</v>
      </c>
      <c r="X1248" t="str">
        <f>IF(M1248="109595132","Material de Limpeza-Não Avaliar",IF(AND(K1248="F20",M1248&lt;&gt;109595132),IF(RIGHT(F1248,2)="70","Infraestrutura de Planta","Prédios e Instalações"),IF(K1248="FPC",VLOOKUP(F1248,[1]Info!$E$2:$F$11,2,0),IF(K1248="FGP",VLOOKUP(F1248,[1]Info!$E$9:$F$10,2,0),IF(K1248="F10",VLOOKUP(F1248,[1]Info!$E$2:$F$3,2,0),VLOOKUP(K1248,[1]Info!$A$1:$B$21,2,0))))))</f>
        <v>Equipamentos Carbonização</v>
      </c>
    </row>
    <row r="1249" spans="1:24" x14ac:dyDescent="0.35">
      <c r="A1249" t="s">
        <v>41</v>
      </c>
      <c r="B1249" t="s">
        <v>73</v>
      </c>
      <c r="C1249" t="s">
        <v>74</v>
      </c>
      <c r="D1249" t="s">
        <v>100</v>
      </c>
      <c r="E1249" t="s">
        <v>65</v>
      </c>
      <c r="F1249">
        <v>7091870</v>
      </c>
      <c r="G1249" t="s">
        <v>162</v>
      </c>
      <c r="H1249" t="s">
        <v>43</v>
      </c>
      <c r="I1249" t="s">
        <v>44</v>
      </c>
      <c r="J1249" t="s">
        <v>163</v>
      </c>
      <c r="K1249" t="s">
        <v>6</v>
      </c>
      <c r="L1249" t="s">
        <v>59</v>
      </c>
      <c r="M1249" t="s">
        <v>1997</v>
      </c>
      <c r="N1249" t="s">
        <v>1998</v>
      </c>
      <c r="O1249" t="s">
        <v>1582</v>
      </c>
      <c r="P1249" t="s">
        <v>1292</v>
      </c>
      <c r="Q1249" t="s">
        <v>46</v>
      </c>
      <c r="R1249" t="s">
        <v>47</v>
      </c>
      <c r="S1249" t="s">
        <v>46</v>
      </c>
      <c r="T1249" t="s">
        <v>46</v>
      </c>
      <c r="U1249" s="4">
        <v>488.35</v>
      </c>
      <c r="V1249" t="str">
        <f t="shared" si="19"/>
        <v>C001</v>
      </c>
      <c r="W1249" t="str">
        <f>VLOOKUP(K1249,[1]Info!A$1:B$21,2,0)</f>
        <v>Equipamentos Carbonização</v>
      </c>
      <c r="X1249" t="str">
        <f>IF(M1249="109595132","Material de Limpeza-Não Avaliar",IF(AND(K1249="F20",M1249&lt;&gt;109595132),IF(RIGHT(F1249,2)="70","Infraestrutura de Planta","Prédios e Instalações"),IF(K1249="FPC",VLOOKUP(F1249,[1]Info!$E$2:$F$11,2,0),IF(K1249="FGP",VLOOKUP(F1249,[1]Info!$E$9:$F$10,2,0),IF(K1249="F10",VLOOKUP(F1249,[1]Info!$E$2:$F$3,2,0),VLOOKUP(K1249,[1]Info!$A$1:$B$21,2,0))))))</f>
        <v>Equipamentos Carbonização</v>
      </c>
    </row>
    <row r="1250" spans="1:24" x14ac:dyDescent="0.35">
      <c r="A1250" t="s">
        <v>41</v>
      </c>
      <c r="B1250" t="s">
        <v>73</v>
      </c>
      <c r="C1250" t="s">
        <v>74</v>
      </c>
      <c r="D1250" t="s">
        <v>100</v>
      </c>
      <c r="E1250" t="s">
        <v>65</v>
      </c>
      <c r="F1250">
        <v>7091870</v>
      </c>
      <c r="G1250" t="s">
        <v>162</v>
      </c>
      <c r="H1250" t="s">
        <v>43</v>
      </c>
      <c r="I1250" t="s">
        <v>44</v>
      </c>
      <c r="J1250" t="s">
        <v>163</v>
      </c>
      <c r="K1250" t="s">
        <v>6</v>
      </c>
      <c r="L1250" t="s">
        <v>51</v>
      </c>
      <c r="M1250" t="s">
        <v>839</v>
      </c>
      <c r="N1250" t="s">
        <v>840</v>
      </c>
      <c r="O1250" t="s">
        <v>841</v>
      </c>
      <c r="P1250" t="s">
        <v>1292</v>
      </c>
      <c r="Q1250" t="s">
        <v>46</v>
      </c>
      <c r="R1250" t="s">
        <v>47</v>
      </c>
      <c r="S1250" t="s">
        <v>46</v>
      </c>
      <c r="T1250" t="s">
        <v>46</v>
      </c>
      <c r="U1250" s="4">
        <v>4478.82</v>
      </c>
      <c r="V1250" t="str">
        <f t="shared" si="19"/>
        <v>0050</v>
      </c>
      <c r="W1250" t="str">
        <f>VLOOKUP(K1250,[1]Info!A$1:B$21,2,0)</f>
        <v>Equipamentos Carbonização</v>
      </c>
      <c r="X1250" t="str">
        <f>IF(M1250="109595132","Material de Limpeza-Não Avaliar",IF(AND(K1250="F20",M1250&lt;&gt;109595132),IF(RIGHT(F1250,2)="70","Infraestrutura de Planta","Prédios e Instalações"),IF(K1250="FPC",VLOOKUP(F1250,[1]Info!$E$2:$F$11,2,0),IF(K1250="FGP",VLOOKUP(F1250,[1]Info!$E$9:$F$10,2,0),IF(K1250="F10",VLOOKUP(F1250,[1]Info!$E$2:$F$3,2,0),VLOOKUP(K1250,[1]Info!$A$1:$B$21,2,0))))))</f>
        <v>Equipamentos Carbonização</v>
      </c>
    </row>
    <row r="1251" spans="1:24" x14ac:dyDescent="0.35">
      <c r="A1251" t="s">
        <v>41</v>
      </c>
      <c r="B1251" t="s">
        <v>73</v>
      </c>
      <c r="C1251" t="s">
        <v>74</v>
      </c>
      <c r="D1251" t="s">
        <v>100</v>
      </c>
      <c r="E1251" t="s">
        <v>65</v>
      </c>
      <c r="F1251">
        <v>7091870</v>
      </c>
      <c r="G1251" t="s">
        <v>162</v>
      </c>
      <c r="H1251" t="s">
        <v>43</v>
      </c>
      <c r="I1251" t="s">
        <v>44</v>
      </c>
      <c r="J1251" t="s">
        <v>163</v>
      </c>
      <c r="K1251" t="s">
        <v>5</v>
      </c>
      <c r="L1251" t="s">
        <v>59</v>
      </c>
      <c r="M1251" t="s">
        <v>1999</v>
      </c>
      <c r="N1251" t="s">
        <v>2000</v>
      </c>
      <c r="O1251" t="s">
        <v>171</v>
      </c>
      <c r="P1251" t="s">
        <v>1292</v>
      </c>
      <c r="Q1251" t="s">
        <v>46</v>
      </c>
      <c r="R1251" t="s">
        <v>47</v>
      </c>
      <c r="S1251" t="s">
        <v>46</v>
      </c>
      <c r="T1251" t="s">
        <v>46</v>
      </c>
      <c r="U1251" s="4">
        <v>1604.56</v>
      </c>
      <c r="V1251" t="str">
        <f t="shared" si="19"/>
        <v>C002</v>
      </c>
      <c r="W1251" t="str">
        <f>VLOOKUP(K1251,[1]Info!A$1:B$21,2,0)</f>
        <v>Fornos / Carbonização (Setup)</v>
      </c>
      <c r="X1251" t="str">
        <f>IF(M1251="109595132","Material de Limpeza-Não Avaliar",IF(AND(K1251="F20",M1251&lt;&gt;109595132),IF(RIGHT(F1251,2)="70","Infraestrutura de Planta","Prédios e Instalações"),IF(K1251="FPC",VLOOKUP(F1251,[1]Info!$E$2:$F$11,2,0),IF(K1251="FGP",VLOOKUP(F1251,[1]Info!$E$9:$F$10,2,0),IF(K1251="F10",VLOOKUP(F1251,[1]Info!$E$2:$F$3,2,0),VLOOKUP(K1251,[1]Info!$A$1:$B$21,2,0))))))</f>
        <v>Fornos / Carbonização (Setup)</v>
      </c>
    </row>
    <row r="1252" spans="1:24" x14ac:dyDescent="0.35">
      <c r="A1252" t="s">
        <v>41</v>
      </c>
      <c r="B1252" t="s">
        <v>73</v>
      </c>
      <c r="C1252" t="s">
        <v>74</v>
      </c>
      <c r="D1252" t="s">
        <v>100</v>
      </c>
      <c r="E1252" t="s">
        <v>65</v>
      </c>
      <c r="F1252">
        <v>7091870</v>
      </c>
      <c r="G1252" t="s">
        <v>162</v>
      </c>
      <c r="H1252" t="s">
        <v>43</v>
      </c>
      <c r="I1252" t="s">
        <v>44</v>
      </c>
      <c r="J1252" t="s">
        <v>163</v>
      </c>
      <c r="K1252" t="s">
        <v>5</v>
      </c>
      <c r="L1252" t="s">
        <v>59</v>
      </c>
      <c r="M1252" t="s">
        <v>2001</v>
      </c>
      <c r="N1252" t="s">
        <v>2002</v>
      </c>
      <c r="O1252" t="s">
        <v>171</v>
      </c>
      <c r="P1252" t="s">
        <v>1292</v>
      </c>
      <c r="Q1252" t="s">
        <v>46</v>
      </c>
      <c r="R1252" t="s">
        <v>47</v>
      </c>
      <c r="S1252" t="s">
        <v>46</v>
      </c>
      <c r="T1252" t="s">
        <v>46</v>
      </c>
      <c r="U1252" s="4">
        <v>488.34</v>
      </c>
      <c r="V1252" t="str">
        <f t="shared" si="19"/>
        <v>C002</v>
      </c>
      <c r="W1252" t="str">
        <f>VLOOKUP(K1252,[1]Info!A$1:B$21,2,0)</f>
        <v>Fornos / Carbonização (Setup)</v>
      </c>
      <c r="X1252" t="str">
        <f>IF(M1252="109595132","Material de Limpeza-Não Avaliar",IF(AND(K1252="F20",M1252&lt;&gt;109595132),IF(RIGHT(F1252,2)="70","Infraestrutura de Planta","Prédios e Instalações"),IF(K1252="FPC",VLOOKUP(F1252,[1]Info!$E$2:$F$11,2,0),IF(K1252="FGP",VLOOKUP(F1252,[1]Info!$E$9:$F$10,2,0),IF(K1252="F10",VLOOKUP(F1252,[1]Info!$E$2:$F$3,2,0),VLOOKUP(K1252,[1]Info!$A$1:$B$21,2,0))))))</f>
        <v>Fornos / Carbonização (Setup)</v>
      </c>
    </row>
    <row r="1253" spans="1:24" x14ac:dyDescent="0.35">
      <c r="A1253" t="s">
        <v>41</v>
      </c>
      <c r="B1253" t="s">
        <v>73</v>
      </c>
      <c r="C1253" t="s">
        <v>74</v>
      </c>
      <c r="D1253" t="s">
        <v>100</v>
      </c>
      <c r="E1253" t="s">
        <v>65</v>
      </c>
      <c r="F1253">
        <v>7091870</v>
      </c>
      <c r="G1253" t="s">
        <v>162</v>
      </c>
      <c r="H1253" t="s">
        <v>43</v>
      </c>
      <c r="I1253" t="s">
        <v>44</v>
      </c>
      <c r="J1253" t="s">
        <v>163</v>
      </c>
      <c r="K1253" t="s">
        <v>5</v>
      </c>
      <c r="L1253" t="s">
        <v>59</v>
      </c>
      <c r="M1253" t="s">
        <v>2003</v>
      </c>
      <c r="N1253" t="s">
        <v>2004</v>
      </c>
      <c r="O1253" t="s">
        <v>1582</v>
      </c>
      <c r="P1253" t="s">
        <v>1292</v>
      </c>
      <c r="Q1253" t="s">
        <v>46</v>
      </c>
      <c r="R1253" t="s">
        <v>47</v>
      </c>
      <c r="S1253" t="s">
        <v>46</v>
      </c>
      <c r="T1253" t="s">
        <v>46</v>
      </c>
      <c r="U1253" s="4">
        <v>418.58</v>
      </c>
      <c r="V1253" t="str">
        <f t="shared" si="19"/>
        <v>C001</v>
      </c>
      <c r="W1253" t="str">
        <f>VLOOKUP(K1253,[1]Info!A$1:B$21,2,0)</f>
        <v>Fornos / Carbonização (Setup)</v>
      </c>
      <c r="X1253" t="str">
        <f>IF(M1253="109595132","Material de Limpeza-Não Avaliar",IF(AND(K1253="F20",M1253&lt;&gt;109595132),IF(RIGHT(F1253,2)="70","Infraestrutura de Planta","Prédios e Instalações"),IF(K1253="FPC",VLOOKUP(F1253,[1]Info!$E$2:$F$11,2,0),IF(K1253="FGP",VLOOKUP(F1253,[1]Info!$E$9:$F$10,2,0),IF(K1253="F10",VLOOKUP(F1253,[1]Info!$E$2:$F$3,2,0),VLOOKUP(K1253,[1]Info!$A$1:$B$21,2,0))))))</f>
        <v>Fornos / Carbonização (Setup)</v>
      </c>
    </row>
    <row r="1254" spans="1:24" x14ac:dyDescent="0.35">
      <c r="A1254" t="s">
        <v>41</v>
      </c>
      <c r="B1254" t="s">
        <v>73</v>
      </c>
      <c r="C1254" t="s">
        <v>74</v>
      </c>
      <c r="D1254" t="s">
        <v>100</v>
      </c>
      <c r="E1254" t="s">
        <v>65</v>
      </c>
      <c r="F1254">
        <v>7091870</v>
      </c>
      <c r="G1254" t="s">
        <v>162</v>
      </c>
      <c r="H1254" t="s">
        <v>43</v>
      </c>
      <c r="I1254" t="s">
        <v>44</v>
      </c>
      <c r="J1254" t="s">
        <v>163</v>
      </c>
      <c r="K1254" t="s">
        <v>5</v>
      </c>
      <c r="L1254" t="s">
        <v>148</v>
      </c>
      <c r="M1254" t="s">
        <v>2005</v>
      </c>
      <c r="N1254" t="s">
        <v>2006</v>
      </c>
      <c r="O1254" t="s">
        <v>1583</v>
      </c>
      <c r="P1254" t="s">
        <v>1292</v>
      </c>
      <c r="Q1254" t="s">
        <v>46</v>
      </c>
      <c r="R1254" t="s">
        <v>47</v>
      </c>
      <c r="S1254" t="s">
        <v>46</v>
      </c>
      <c r="T1254" t="s">
        <v>46</v>
      </c>
      <c r="U1254" s="4">
        <v>1813.86</v>
      </c>
      <c r="V1254" t="str">
        <f t="shared" si="19"/>
        <v>-030</v>
      </c>
      <c r="W1254" t="str">
        <f>VLOOKUP(K1254,[1]Info!A$1:B$21,2,0)</f>
        <v>Fornos / Carbonização (Setup)</v>
      </c>
      <c r="X1254" t="str">
        <f>IF(M1254="109595132","Material de Limpeza-Não Avaliar",IF(AND(K1254="F20",M1254&lt;&gt;109595132),IF(RIGHT(F1254,2)="70","Infraestrutura de Planta","Prédios e Instalações"),IF(K1254="FPC",VLOOKUP(F1254,[1]Info!$E$2:$F$11,2,0),IF(K1254="FGP",VLOOKUP(F1254,[1]Info!$E$9:$F$10,2,0),IF(K1254="F10",VLOOKUP(F1254,[1]Info!$E$2:$F$3,2,0),VLOOKUP(K1254,[1]Info!$A$1:$B$21,2,0))))))</f>
        <v>Fornos / Carbonização (Setup)</v>
      </c>
    </row>
    <row r="1255" spans="1:24" x14ac:dyDescent="0.35">
      <c r="A1255" t="s">
        <v>41</v>
      </c>
      <c r="B1255" t="s">
        <v>73</v>
      </c>
      <c r="C1255" t="s">
        <v>74</v>
      </c>
      <c r="D1255" t="s">
        <v>100</v>
      </c>
      <c r="E1255" t="s">
        <v>65</v>
      </c>
      <c r="F1255">
        <v>7091870</v>
      </c>
      <c r="G1255" t="s">
        <v>162</v>
      </c>
      <c r="H1255" t="s">
        <v>43</v>
      </c>
      <c r="I1255" t="s">
        <v>44</v>
      </c>
      <c r="J1255" t="s">
        <v>163</v>
      </c>
      <c r="K1255" t="s">
        <v>5</v>
      </c>
      <c r="L1255" t="s">
        <v>148</v>
      </c>
      <c r="M1255" t="s">
        <v>2007</v>
      </c>
      <c r="N1255" t="s">
        <v>2008</v>
      </c>
      <c r="O1255" t="s">
        <v>1584</v>
      </c>
      <c r="P1255" t="s">
        <v>1292</v>
      </c>
      <c r="Q1255" t="s">
        <v>46</v>
      </c>
      <c r="R1255" t="s">
        <v>47</v>
      </c>
      <c r="S1255" t="s">
        <v>46</v>
      </c>
      <c r="T1255" t="s">
        <v>46</v>
      </c>
      <c r="U1255" s="4">
        <v>209.29</v>
      </c>
      <c r="V1255" t="str">
        <f t="shared" si="19"/>
        <v>-030</v>
      </c>
      <c r="W1255" t="str">
        <f>VLOOKUP(K1255,[1]Info!A$1:B$21,2,0)</f>
        <v>Fornos / Carbonização (Setup)</v>
      </c>
      <c r="X1255" t="str">
        <f>IF(M1255="109595132","Material de Limpeza-Não Avaliar",IF(AND(K1255="F20",M1255&lt;&gt;109595132),IF(RIGHT(F1255,2)="70","Infraestrutura de Planta","Prédios e Instalações"),IF(K1255="FPC",VLOOKUP(F1255,[1]Info!$E$2:$F$11,2,0),IF(K1255="FGP",VLOOKUP(F1255,[1]Info!$E$9:$F$10,2,0),IF(K1255="F10",VLOOKUP(F1255,[1]Info!$E$2:$F$3,2,0),VLOOKUP(K1255,[1]Info!$A$1:$B$21,2,0))))))</f>
        <v>Fornos / Carbonização (Setup)</v>
      </c>
    </row>
    <row r="1256" spans="1:24" x14ac:dyDescent="0.35">
      <c r="A1256" t="s">
        <v>41</v>
      </c>
      <c r="B1256" t="s">
        <v>73</v>
      </c>
      <c r="C1256" t="s">
        <v>74</v>
      </c>
      <c r="D1256" t="s">
        <v>100</v>
      </c>
      <c r="E1256" t="s">
        <v>65</v>
      </c>
      <c r="F1256">
        <v>7091870</v>
      </c>
      <c r="G1256" t="s">
        <v>162</v>
      </c>
      <c r="H1256" t="s">
        <v>43</v>
      </c>
      <c r="I1256" t="s">
        <v>44</v>
      </c>
      <c r="J1256" t="s">
        <v>163</v>
      </c>
      <c r="K1256" t="s">
        <v>5</v>
      </c>
      <c r="L1256" t="s">
        <v>148</v>
      </c>
      <c r="M1256" t="s">
        <v>2009</v>
      </c>
      <c r="N1256" t="s">
        <v>2010</v>
      </c>
      <c r="O1256" t="s">
        <v>1585</v>
      </c>
      <c r="P1256" t="s">
        <v>1292</v>
      </c>
      <c r="Q1256" t="s">
        <v>46</v>
      </c>
      <c r="R1256" t="s">
        <v>47</v>
      </c>
      <c r="S1256" t="s">
        <v>46</v>
      </c>
      <c r="T1256" t="s">
        <v>46</v>
      </c>
      <c r="U1256" s="4">
        <v>2999.84</v>
      </c>
      <c r="V1256" t="str">
        <f t="shared" si="19"/>
        <v>-030</v>
      </c>
      <c r="W1256" t="str">
        <f>VLOOKUP(K1256,[1]Info!A$1:B$21,2,0)</f>
        <v>Fornos / Carbonização (Setup)</v>
      </c>
      <c r="X1256" t="str">
        <f>IF(M1256="109595132","Material de Limpeza-Não Avaliar",IF(AND(K1256="F20",M1256&lt;&gt;109595132),IF(RIGHT(F1256,2)="70","Infraestrutura de Planta","Prédios e Instalações"),IF(K1256="FPC",VLOOKUP(F1256,[1]Info!$E$2:$F$11,2,0),IF(K1256="FGP",VLOOKUP(F1256,[1]Info!$E$9:$F$10,2,0),IF(K1256="F10",VLOOKUP(F1256,[1]Info!$E$2:$F$3,2,0),VLOOKUP(K1256,[1]Info!$A$1:$B$21,2,0))))))</f>
        <v>Fornos / Carbonização (Setup)</v>
      </c>
    </row>
    <row r="1257" spans="1:24" x14ac:dyDescent="0.35">
      <c r="A1257" t="s">
        <v>41</v>
      </c>
      <c r="B1257" t="s">
        <v>73</v>
      </c>
      <c r="C1257" t="s">
        <v>74</v>
      </c>
      <c r="D1257" t="s">
        <v>100</v>
      </c>
      <c r="E1257" t="s">
        <v>65</v>
      </c>
      <c r="F1257">
        <v>7091770</v>
      </c>
      <c r="G1257" t="s">
        <v>77</v>
      </c>
      <c r="H1257" t="s">
        <v>43</v>
      </c>
      <c r="I1257" t="s">
        <v>44</v>
      </c>
      <c r="J1257" t="s">
        <v>78</v>
      </c>
      <c r="K1257" t="s">
        <v>0</v>
      </c>
      <c r="L1257" t="s">
        <v>59</v>
      </c>
      <c r="M1257" t="s">
        <v>2011</v>
      </c>
      <c r="N1257" t="s">
        <v>2012</v>
      </c>
      <c r="O1257" t="s">
        <v>1521</v>
      </c>
      <c r="P1257" t="s">
        <v>1292</v>
      </c>
      <c r="Q1257" t="s">
        <v>46</v>
      </c>
      <c r="R1257" t="s">
        <v>47</v>
      </c>
      <c r="S1257" t="s">
        <v>46</v>
      </c>
      <c r="T1257" t="s">
        <v>46</v>
      </c>
      <c r="U1257" s="4">
        <v>1944.53</v>
      </c>
      <c r="V1257" t="str">
        <f t="shared" si="19"/>
        <v>-065</v>
      </c>
      <c r="W1257" t="str">
        <f>VLOOKUP(K1257,[1]Info!A$1:B$21,2,0)</f>
        <v>Carboval</v>
      </c>
      <c r="X1257" t="str">
        <f>IF(M1257="109595132","Material de Limpeza-Não Avaliar",IF(AND(K1257="F20",M1257&lt;&gt;109595132),IF(RIGHT(F1257,2)="70","Infraestrutura de Planta","Prédios e Instalações"),IF(K1257="FPC",VLOOKUP(F1257,[1]Info!$E$2:$F$11,2,0),IF(K1257="FGP",VLOOKUP(F1257,[1]Info!$E$9:$F$10,2,0),IF(K1257="F10",VLOOKUP(F1257,[1]Info!$E$2:$F$3,2,0),VLOOKUP(K1257,[1]Info!$A$1:$B$21,2,0))))))</f>
        <v>Carboval Diamante</v>
      </c>
    </row>
    <row r="1258" spans="1:24" x14ac:dyDescent="0.35">
      <c r="A1258" t="s">
        <v>41</v>
      </c>
      <c r="B1258" t="s">
        <v>73</v>
      </c>
      <c r="C1258" t="s">
        <v>74</v>
      </c>
      <c r="D1258" t="s">
        <v>100</v>
      </c>
      <c r="E1258" t="s">
        <v>65</v>
      </c>
      <c r="F1258">
        <v>7091770</v>
      </c>
      <c r="G1258" t="s">
        <v>77</v>
      </c>
      <c r="H1258" t="s">
        <v>43</v>
      </c>
      <c r="I1258" t="s">
        <v>44</v>
      </c>
      <c r="J1258" t="s">
        <v>78</v>
      </c>
      <c r="K1258" t="s">
        <v>0</v>
      </c>
      <c r="L1258" t="s">
        <v>59</v>
      </c>
      <c r="M1258" t="s">
        <v>2013</v>
      </c>
      <c r="N1258" t="s">
        <v>2014</v>
      </c>
      <c r="O1258" t="s">
        <v>1522</v>
      </c>
      <c r="P1258" t="s">
        <v>1292</v>
      </c>
      <c r="Q1258" t="s">
        <v>46</v>
      </c>
      <c r="R1258" t="s">
        <v>47</v>
      </c>
      <c r="S1258" t="s">
        <v>46</v>
      </c>
      <c r="T1258" t="s">
        <v>46</v>
      </c>
      <c r="U1258" s="4">
        <v>2563.2600000000002</v>
      </c>
      <c r="V1258" t="str">
        <f t="shared" si="19"/>
        <v>-120</v>
      </c>
      <c r="W1258" t="str">
        <f>VLOOKUP(K1258,[1]Info!A$1:B$21,2,0)</f>
        <v>Carboval</v>
      </c>
      <c r="X1258" t="str">
        <f>IF(M1258="109595132","Material de Limpeza-Não Avaliar",IF(AND(K1258="F20",M1258&lt;&gt;109595132),IF(RIGHT(F1258,2)="70","Infraestrutura de Planta","Prédios e Instalações"),IF(K1258="FPC",VLOOKUP(F1258,[1]Info!$E$2:$F$11,2,0),IF(K1258="FGP",VLOOKUP(F1258,[1]Info!$E$9:$F$10,2,0),IF(K1258="F10",VLOOKUP(F1258,[1]Info!$E$2:$F$3,2,0),VLOOKUP(K1258,[1]Info!$A$1:$B$21,2,0))))))</f>
        <v>Carboval Diamante</v>
      </c>
    </row>
    <row r="1259" spans="1:24" x14ac:dyDescent="0.35">
      <c r="A1259" t="s">
        <v>41</v>
      </c>
      <c r="B1259" t="s">
        <v>73</v>
      </c>
      <c r="C1259" t="s">
        <v>74</v>
      </c>
      <c r="D1259" t="s">
        <v>100</v>
      </c>
      <c r="E1259" t="s">
        <v>65</v>
      </c>
      <c r="F1259">
        <v>7091770</v>
      </c>
      <c r="G1259" t="s">
        <v>77</v>
      </c>
      <c r="H1259" t="s">
        <v>43</v>
      </c>
      <c r="I1259" t="s">
        <v>44</v>
      </c>
      <c r="J1259" t="s">
        <v>78</v>
      </c>
      <c r="K1259" t="s">
        <v>0</v>
      </c>
      <c r="L1259" t="s">
        <v>59</v>
      </c>
      <c r="M1259" t="s">
        <v>1197</v>
      </c>
      <c r="N1259" t="s">
        <v>1198</v>
      </c>
      <c r="O1259" t="s">
        <v>1199</v>
      </c>
      <c r="P1259" t="s">
        <v>1292</v>
      </c>
      <c r="Q1259" t="s">
        <v>46</v>
      </c>
      <c r="R1259" t="s">
        <v>47</v>
      </c>
      <c r="S1259" t="s">
        <v>46</v>
      </c>
      <c r="T1259" t="s">
        <v>46</v>
      </c>
      <c r="U1259" s="4">
        <v>2695.87</v>
      </c>
      <c r="V1259" t="str">
        <f t="shared" si="19"/>
        <v>-095</v>
      </c>
      <c r="W1259" t="str">
        <f>VLOOKUP(K1259,[1]Info!A$1:B$21,2,0)</f>
        <v>Carboval</v>
      </c>
      <c r="X1259" t="str">
        <f>IF(M1259="109595132","Material de Limpeza-Não Avaliar",IF(AND(K1259="F20",M1259&lt;&gt;109595132),IF(RIGHT(F1259,2)="70","Infraestrutura de Planta","Prédios e Instalações"),IF(K1259="FPC",VLOOKUP(F1259,[1]Info!$E$2:$F$11,2,0),IF(K1259="FGP",VLOOKUP(F1259,[1]Info!$E$9:$F$10,2,0),IF(K1259="F10",VLOOKUP(F1259,[1]Info!$E$2:$F$3,2,0),VLOOKUP(K1259,[1]Info!$A$1:$B$21,2,0))))))</f>
        <v>Carboval Diamante</v>
      </c>
    </row>
    <row r="1260" spans="1:24" x14ac:dyDescent="0.35">
      <c r="A1260" t="s">
        <v>41</v>
      </c>
      <c r="B1260" t="s">
        <v>73</v>
      </c>
      <c r="C1260" t="s">
        <v>74</v>
      </c>
      <c r="D1260" t="s">
        <v>100</v>
      </c>
      <c r="E1260" t="s">
        <v>65</v>
      </c>
      <c r="F1260">
        <v>7091770</v>
      </c>
      <c r="G1260" t="s">
        <v>77</v>
      </c>
      <c r="H1260" t="s">
        <v>43</v>
      </c>
      <c r="I1260" t="s">
        <v>44</v>
      </c>
      <c r="J1260" t="s">
        <v>78</v>
      </c>
      <c r="K1260" t="s">
        <v>0</v>
      </c>
      <c r="L1260" t="s">
        <v>59</v>
      </c>
      <c r="M1260" t="s">
        <v>2015</v>
      </c>
      <c r="N1260" t="s">
        <v>2016</v>
      </c>
      <c r="O1260" t="s">
        <v>1529</v>
      </c>
      <c r="P1260" t="s">
        <v>1292</v>
      </c>
      <c r="Q1260" t="s">
        <v>46</v>
      </c>
      <c r="R1260" t="s">
        <v>47</v>
      </c>
      <c r="S1260" t="s">
        <v>46</v>
      </c>
      <c r="T1260" t="s">
        <v>46</v>
      </c>
      <c r="U1260" s="4">
        <v>1458.43</v>
      </c>
      <c r="V1260" t="str">
        <f t="shared" si="19"/>
        <v>0050</v>
      </c>
      <c r="W1260" t="str">
        <f>VLOOKUP(K1260,[1]Info!A$1:B$21,2,0)</f>
        <v>Carboval</v>
      </c>
      <c r="X1260" t="str">
        <f>IF(M1260="109595132","Material de Limpeza-Não Avaliar",IF(AND(K1260="F20",M1260&lt;&gt;109595132),IF(RIGHT(F1260,2)="70","Infraestrutura de Planta","Prédios e Instalações"),IF(K1260="FPC",VLOOKUP(F1260,[1]Info!$E$2:$F$11,2,0),IF(K1260="FGP",VLOOKUP(F1260,[1]Info!$E$9:$F$10,2,0),IF(K1260="F10",VLOOKUP(F1260,[1]Info!$E$2:$F$3,2,0),VLOOKUP(K1260,[1]Info!$A$1:$B$21,2,0))))))</f>
        <v>Carboval Diamante</v>
      </c>
    </row>
    <row r="1261" spans="1:24" x14ac:dyDescent="0.35">
      <c r="A1261" t="s">
        <v>41</v>
      </c>
      <c r="B1261" t="s">
        <v>73</v>
      </c>
      <c r="C1261" t="s">
        <v>74</v>
      </c>
      <c r="D1261" t="s">
        <v>100</v>
      </c>
      <c r="E1261" t="s">
        <v>65</v>
      </c>
      <c r="F1261">
        <v>7091770</v>
      </c>
      <c r="G1261" t="s">
        <v>77</v>
      </c>
      <c r="H1261" t="s">
        <v>43</v>
      </c>
      <c r="I1261" t="s">
        <v>44</v>
      </c>
      <c r="J1261" t="s">
        <v>78</v>
      </c>
      <c r="K1261" t="s">
        <v>0</v>
      </c>
      <c r="L1261" t="s">
        <v>59</v>
      </c>
      <c r="M1261" t="s">
        <v>1206</v>
      </c>
      <c r="N1261" t="s">
        <v>1207</v>
      </c>
      <c r="O1261" t="s">
        <v>1208</v>
      </c>
      <c r="P1261" t="s">
        <v>1292</v>
      </c>
      <c r="Q1261" t="s">
        <v>46</v>
      </c>
      <c r="R1261" t="s">
        <v>47</v>
      </c>
      <c r="S1261" t="s">
        <v>46</v>
      </c>
      <c r="T1261" t="s">
        <v>46</v>
      </c>
      <c r="U1261" s="4">
        <v>3933.31</v>
      </c>
      <c r="V1261" t="str">
        <f t="shared" si="19"/>
        <v>-095</v>
      </c>
      <c r="W1261" t="str">
        <f>VLOOKUP(K1261,[1]Info!A$1:B$21,2,0)</f>
        <v>Carboval</v>
      </c>
      <c r="X1261" t="str">
        <f>IF(M1261="109595132","Material de Limpeza-Não Avaliar",IF(AND(K1261="F20",M1261&lt;&gt;109595132),IF(RIGHT(F1261,2)="70","Infraestrutura de Planta","Prédios e Instalações"),IF(K1261="FPC",VLOOKUP(F1261,[1]Info!$E$2:$F$11,2,0),IF(K1261="FGP",VLOOKUP(F1261,[1]Info!$E$9:$F$10,2,0),IF(K1261="F10",VLOOKUP(F1261,[1]Info!$E$2:$F$3,2,0),VLOOKUP(K1261,[1]Info!$A$1:$B$21,2,0))))))</f>
        <v>Carboval Diamante</v>
      </c>
    </row>
    <row r="1262" spans="1:24" x14ac:dyDescent="0.35">
      <c r="A1262" t="s">
        <v>41</v>
      </c>
      <c r="B1262" t="s">
        <v>73</v>
      </c>
      <c r="C1262" t="s">
        <v>74</v>
      </c>
      <c r="D1262" t="s">
        <v>100</v>
      </c>
      <c r="E1262" t="s">
        <v>65</v>
      </c>
      <c r="F1262">
        <v>7091770</v>
      </c>
      <c r="G1262" t="s">
        <v>77</v>
      </c>
      <c r="H1262" t="s">
        <v>43</v>
      </c>
      <c r="I1262" t="s">
        <v>44</v>
      </c>
      <c r="J1262" t="s">
        <v>78</v>
      </c>
      <c r="K1262" t="s">
        <v>0</v>
      </c>
      <c r="L1262" t="s">
        <v>59</v>
      </c>
      <c r="M1262" t="s">
        <v>2017</v>
      </c>
      <c r="N1262" t="s">
        <v>2018</v>
      </c>
      <c r="O1262" t="s">
        <v>1208</v>
      </c>
      <c r="P1262" t="s">
        <v>1292</v>
      </c>
      <c r="Q1262" t="s">
        <v>46</v>
      </c>
      <c r="R1262" t="s">
        <v>47</v>
      </c>
      <c r="S1262" t="s">
        <v>46</v>
      </c>
      <c r="T1262" t="s">
        <v>46</v>
      </c>
      <c r="U1262" s="4">
        <v>1900.35</v>
      </c>
      <c r="V1262" t="str">
        <f t="shared" si="19"/>
        <v>-095</v>
      </c>
      <c r="W1262" t="str">
        <f>VLOOKUP(K1262,[1]Info!A$1:B$21,2,0)</f>
        <v>Carboval</v>
      </c>
      <c r="X1262" t="str">
        <f>IF(M1262="109595132","Material de Limpeza-Não Avaliar",IF(AND(K1262="F20",M1262&lt;&gt;109595132),IF(RIGHT(F1262,2)="70","Infraestrutura de Planta","Prédios e Instalações"),IF(K1262="FPC",VLOOKUP(F1262,[1]Info!$E$2:$F$11,2,0),IF(K1262="FGP",VLOOKUP(F1262,[1]Info!$E$9:$F$10,2,0),IF(K1262="F10",VLOOKUP(F1262,[1]Info!$E$2:$F$3,2,0),VLOOKUP(K1262,[1]Info!$A$1:$B$21,2,0))))))</f>
        <v>Carboval Diamante</v>
      </c>
    </row>
    <row r="1263" spans="1:24" x14ac:dyDescent="0.35">
      <c r="A1263" t="s">
        <v>41</v>
      </c>
      <c r="B1263" t="s">
        <v>73</v>
      </c>
      <c r="C1263" t="s">
        <v>74</v>
      </c>
      <c r="D1263" t="s">
        <v>100</v>
      </c>
      <c r="E1263" t="s">
        <v>65</v>
      </c>
      <c r="F1263">
        <v>7091770</v>
      </c>
      <c r="G1263" t="s">
        <v>77</v>
      </c>
      <c r="H1263" t="s">
        <v>43</v>
      </c>
      <c r="I1263" t="s">
        <v>44</v>
      </c>
      <c r="J1263" t="s">
        <v>78</v>
      </c>
      <c r="K1263" t="s">
        <v>0</v>
      </c>
      <c r="L1263" t="s">
        <v>59</v>
      </c>
      <c r="M1263" t="s">
        <v>2019</v>
      </c>
      <c r="N1263" t="s">
        <v>2020</v>
      </c>
      <c r="O1263" t="s">
        <v>1530</v>
      </c>
      <c r="P1263" t="s">
        <v>1292</v>
      </c>
      <c r="Q1263" t="s">
        <v>46</v>
      </c>
      <c r="R1263" t="s">
        <v>47</v>
      </c>
      <c r="S1263" t="s">
        <v>46</v>
      </c>
      <c r="T1263" t="s">
        <v>46</v>
      </c>
      <c r="U1263" s="4">
        <v>278.42</v>
      </c>
      <c r="V1263" t="str">
        <f t="shared" si="19"/>
        <v>0060</v>
      </c>
      <c r="W1263" t="str">
        <f>VLOOKUP(K1263,[1]Info!A$1:B$21,2,0)</f>
        <v>Carboval</v>
      </c>
      <c r="X1263" t="str">
        <f>IF(M1263="109595132","Material de Limpeza-Não Avaliar",IF(AND(K1263="F20",M1263&lt;&gt;109595132),IF(RIGHT(F1263,2)="70","Infraestrutura de Planta","Prédios e Instalações"),IF(K1263="FPC",VLOOKUP(F1263,[1]Info!$E$2:$F$11,2,0),IF(K1263="FGP",VLOOKUP(F1263,[1]Info!$E$9:$F$10,2,0),IF(K1263="F10",VLOOKUP(F1263,[1]Info!$E$2:$F$3,2,0),VLOOKUP(K1263,[1]Info!$A$1:$B$21,2,0))))))</f>
        <v>Carboval Diamante</v>
      </c>
    </row>
    <row r="1264" spans="1:24" x14ac:dyDescent="0.35">
      <c r="A1264" t="s">
        <v>41</v>
      </c>
      <c r="B1264" t="s">
        <v>73</v>
      </c>
      <c r="C1264" t="s">
        <v>74</v>
      </c>
      <c r="D1264" t="s">
        <v>100</v>
      </c>
      <c r="E1264" t="s">
        <v>65</v>
      </c>
      <c r="F1264">
        <v>7091770</v>
      </c>
      <c r="G1264" t="s">
        <v>77</v>
      </c>
      <c r="H1264" t="s">
        <v>43</v>
      </c>
      <c r="I1264" t="s">
        <v>44</v>
      </c>
      <c r="J1264" t="s">
        <v>78</v>
      </c>
      <c r="K1264" t="s">
        <v>0</v>
      </c>
      <c r="L1264" t="s">
        <v>59</v>
      </c>
      <c r="M1264" t="s">
        <v>2021</v>
      </c>
      <c r="N1264" t="s">
        <v>2022</v>
      </c>
      <c r="O1264" t="s">
        <v>1527</v>
      </c>
      <c r="P1264" t="s">
        <v>1292</v>
      </c>
      <c r="Q1264" t="s">
        <v>46</v>
      </c>
      <c r="R1264" t="s">
        <v>47</v>
      </c>
      <c r="S1264" t="s">
        <v>46</v>
      </c>
      <c r="T1264" t="s">
        <v>46</v>
      </c>
      <c r="U1264" s="4">
        <v>132.58000000000001</v>
      </c>
      <c r="V1264" t="str">
        <f t="shared" si="19"/>
        <v>-040</v>
      </c>
      <c r="W1264" t="str">
        <f>VLOOKUP(K1264,[1]Info!A$1:B$21,2,0)</f>
        <v>Carboval</v>
      </c>
      <c r="X1264" t="str">
        <f>IF(M1264="109595132","Material de Limpeza-Não Avaliar",IF(AND(K1264="F20",M1264&lt;&gt;109595132),IF(RIGHT(F1264,2)="70","Infraestrutura de Planta","Prédios e Instalações"),IF(K1264="FPC",VLOOKUP(F1264,[1]Info!$E$2:$F$11,2,0),IF(K1264="FGP",VLOOKUP(F1264,[1]Info!$E$9:$F$10,2,0),IF(K1264="F10",VLOOKUP(F1264,[1]Info!$E$2:$F$3,2,0),VLOOKUP(K1264,[1]Info!$A$1:$B$21,2,0))))))</f>
        <v>Carboval Diamante</v>
      </c>
    </row>
    <row r="1265" spans="1:24" x14ac:dyDescent="0.35">
      <c r="A1265" t="s">
        <v>41</v>
      </c>
      <c r="B1265" t="s">
        <v>73</v>
      </c>
      <c r="C1265" t="s">
        <v>74</v>
      </c>
      <c r="D1265" t="s">
        <v>100</v>
      </c>
      <c r="E1265" t="s">
        <v>65</v>
      </c>
      <c r="F1265">
        <v>7091770</v>
      </c>
      <c r="G1265" t="s">
        <v>77</v>
      </c>
      <c r="H1265" t="s">
        <v>43</v>
      </c>
      <c r="I1265" t="s">
        <v>44</v>
      </c>
      <c r="J1265" t="s">
        <v>78</v>
      </c>
      <c r="K1265" t="s">
        <v>0</v>
      </c>
      <c r="L1265" t="s">
        <v>59</v>
      </c>
      <c r="M1265" t="s">
        <v>2023</v>
      </c>
      <c r="N1265" t="s">
        <v>2024</v>
      </c>
      <c r="O1265" t="s">
        <v>1216</v>
      </c>
      <c r="P1265" t="s">
        <v>1292</v>
      </c>
      <c r="Q1265" t="s">
        <v>46</v>
      </c>
      <c r="R1265" t="s">
        <v>47</v>
      </c>
      <c r="S1265" t="s">
        <v>46</v>
      </c>
      <c r="T1265" t="s">
        <v>46</v>
      </c>
      <c r="U1265" s="4">
        <v>44.19</v>
      </c>
      <c r="V1265" t="str">
        <f t="shared" si="19"/>
        <v>0080</v>
      </c>
      <c r="W1265" t="str">
        <f>VLOOKUP(K1265,[1]Info!A$1:B$21,2,0)</f>
        <v>Carboval</v>
      </c>
      <c r="X1265" t="str">
        <f>IF(M1265="109595132","Material de Limpeza-Não Avaliar",IF(AND(K1265="F20",M1265&lt;&gt;109595132),IF(RIGHT(F1265,2)="70","Infraestrutura de Planta","Prédios e Instalações"),IF(K1265="FPC",VLOOKUP(F1265,[1]Info!$E$2:$F$11,2,0),IF(K1265="FGP",VLOOKUP(F1265,[1]Info!$E$9:$F$10,2,0),IF(K1265="F10",VLOOKUP(F1265,[1]Info!$E$2:$F$3,2,0),VLOOKUP(K1265,[1]Info!$A$1:$B$21,2,0))))))</f>
        <v>Carboval Diamante</v>
      </c>
    </row>
    <row r="1266" spans="1:24" x14ac:dyDescent="0.35">
      <c r="A1266" t="s">
        <v>41</v>
      </c>
      <c r="B1266" t="s">
        <v>73</v>
      </c>
      <c r="C1266" t="s">
        <v>74</v>
      </c>
      <c r="D1266" t="s">
        <v>100</v>
      </c>
      <c r="E1266" t="s">
        <v>65</v>
      </c>
      <c r="F1266">
        <v>7091770</v>
      </c>
      <c r="G1266" t="s">
        <v>77</v>
      </c>
      <c r="H1266" t="s">
        <v>43</v>
      </c>
      <c r="I1266" t="s">
        <v>44</v>
      </c>
      <c r="J1266" t="s">
        <v>78</v>
      </c>
      <c r="K1266" t="s">
        <v>0</v>
      </c>
      <c r="L1266" t="s">
        <v>59</v>
      </c>
      <c r="M1266" t="s">
        <v>2025</v>
      </c>
      <c r="N1266" t="s">
        <v>2026</v>
      </c>
      <c r="O1266" t="s">
        <v>256</v>
      </c>
      <c r="P1266" t="s">
        <v>1292</v>
      </c>
      <c r="Q1266" t="s">
        <v>46</v>
      </c>
      <c r="R1266" t="s">
        <v>47</v>
      </c>
      <c r="S1266" t="s">
        <v>46</v>
      </c>
      <c r="T1266" t="s">
        <v>46</v>
      </c>
      <c r="U1266" s="4">
        <v>441.94</v>
      </c>
      <c r="V1266" t="str">
        <f t="shared" si="19"/>
        <v>-010</v>
      </c>
      <c r="W1266" t="str">
        <f>VLOOKUP(K1266,[1]Info!A$1:B$21,2,0)</f>
        <v>Carboval</v>
      </c>
      <c r="X1266" t="str">
        <f>IF(M1266="109595132","Material de Limpeza-Não Avaliar",IF(AND(K1266="F20",M1266&lt;&gt;109595132),IF(RIGHT(F1266,2)="70","Infraestrutura de Planta","Prédios e Instalações"),IF(K1266="FPC",VLOOKUP(F1266,[1]Info!$E$2:$F$11,2,0),IF(K1266="FGP",VLOOKUP(F1266,[1]Info!$E$9:$F$10,2,0),IF(K1266="F10",VLOOKUP(F1266,[1]Info!$E$2:$F$3,2,0),VLOOKUP(K1266,[1]Info!$A$1:$B$21,2,0))))))</f>
        <v>Carboval Diamante</v>
      </c>
    </row>
    <row r="1267" spans="1:24" x14ac:dyDescent="0.35">
      <c r="A1267" t="s">
        <v>41</v>
      </c>
      <c r="B1267" t="s">
        <v>73</v>
      </c>
      <c r="C1267" t="s">
        <v>74</v>
      </c>
      <c r="D1267" t="s">
        <v>100</v>
      </c>
      <c r="E1267" t="s">
        <v>65</v>
      </c>
      <c r="F1267">
        <v>7091770</v>
      </c>
      <c r="G1267" t="s">
        <v>77</v>
      </c>
      <c r="H1267" t="s">
        <v>43</v>
      </c>
      <c r="I1267" t="s">
        <v>44</v>
      </c>
      <c r="J1267" t="s">
        <v>78</v>
      </c>
      <c r="K1267" t="s">
        <v>0</v>
      </c>
      <c r="L1267" t="s">
        <v>59</v>
      </c>
      <c r="M1267" t="s">
        <v>2027</v>
      </c>
      <c r="N1267" t="s">
        <v>2028</v>
      </c>
      <c r="O1267" t="s">
        <v>1523</v>
      </c>
      <c r="P1267" t="s">
        <v>1292</v>
      </c>
      <c r="Q1267" t="s">
        <v>46</v>
      </c>
      <c r="R1267" t="s">
        <v>47</v>
      </c>
      <c r="S1267" t="s">
        <v>46</v>
      </c>
      <c r="T1267" t="s">
        <v>46</v>
      </c>
      <c r="U1267" s="4">
        <v>66.290000000000006</v>
      </c>
      <c r="V1267" t="str">
        <f t="shared" si="19"/>
        <v>-010</v>
      </c>
      <c r="W1267" t="str">
        <f>VLOOKUP(K1267,[1]Info!A$1:B$21,2,0)</f>
        <v>Carboval</v>
      </c>
      <c r="X1267" t="str">
        <f>IF(M1267="109595132","Material de Limpeza-Não Avaliar",IF(AND(K1267="F20",M1267&lt;&gt;109595132),IF(RIGHT(F1267,2)="70","Infraestrutura de Planta","Prédios e Instalações"),IF(K1267="FPC",VLOOKUP(F1267,[1]Info!$E$2:$F$11,2,0),IF(K1267="FGP",VLOOKUP(F1267,[1]Info!$E$9:$F$10,2,0),IF(K1267="F10",VLOOKUP(F1267,[1]Info!$E$2:$F$3,2,0),VLOOKUP(K1267,[1]Info!$A$1:$B$21,2,0))))))</f>
        <v>Carboval Diamante</v>
      </c>
    </row>
    <row r="1268" spans="1:24" x14ac:dyDescent="0.35">
      <c r="A1268" t="s">
        <v>41</v>
      </c>
      <c r="B1268" t="s">
        <v>73</v>
      </c>
      <c r="C1268" t="s">
        <v>74</v>
      </c>
      <c r="D1268" t="s">
        <v>100</v>
      </c>
      <c r="E1268" t="s">
        <v>65</v>
      </c>
      <c r="F1268">
        <v>7091770</v>
      </c>
      <c r="G1268" t="s">
        <v>77</v>
      </c>
      <c r="H1268" t="s">
        <v>43</v>
      </c>
      <c r="I1268" t="s">
        <v>44</v>
      </c>
      <c r="J1268" t="s">
        <v>78</v>
      </c>
      <c r="K1268" t="s">
        <v>0</v>
      </c>
      <c r="L1268" t="s">
        <v>59</v>
      </c>
      <c r="M1268" t="s">
        <v>2029</v>
      </c>
      <c r="N1268" t="s">
        <v>2030</v>
      </c>
      <c r="O1268" t="s">
        <v>256</v>
      </c>
      <c r="P1268" t="s">
        <v>1292</v>
      </c>
      <c r="Q1268" t="s">
        <v>46</v>
      </c>
      <c r="R1268" t="s">
        <v>47</v>
      </c>
      <c r="S1268" t="s">
        <v>46</v>
      </c>
      <c r="T1268" t="s">
        <v>46</v>
      </c>
      <c r="U1268" s="4">
        <v>22.1</v>
      </c>
      <c r="V1268" t="str">
        <f t="shared" si="19"/>
        <v>-010</v>
      </c>
      <c r="W1268" t="str">
        <f>VLOOKUP(K1268,[1]Info!A$1:B$21,2,0)</f>
        <v>Carboval</v>
      </c>
      <c r="X1268" t="str">
        <f>IF(M1268="109595132","Material de Limpeza-Não Avaliar",IF(AND(K1268="F20",M1268&lt;&gt;109595132),IF(RIGHT(F1268,2)="70","Infraestrutura de Planta","Prédios e Instalações"),IF(K1268="FPC",VLOOKUP(F1268,[1]Info!$E$2:$F$11,2,0),IF(K1268="FGP",VLOOKUP(F1268,[1]Info!$E$9:$F$10,2,0),IF(K1268="F10",VLOOKUP(F1268,[1]Info!$E$2:$F$3,2,0),VLOOKUP(K1268,[1]Info!$A$1:$B$21,2,0))))))</f>
        <v>Carboval Diamante</v>
      </c>
    </row>
    <row r="1269" spans="1:24" x14ac:dyDescent="0.35">
      <c r="A1269" t="s">
        <v>41</v>
      </c>
      <c r="B1269" t="s">
        <v>73</v>
      </c>
      <c r="C1269" t="s">
        <v>74</v>
      </c>
      <c r="D1269" t="s">
        <v>100</v>
      </c>
      <c r="E1269" t="s">
        <v>65</v>
      </c>
      <c r="F1269">
        <v>7091770</v>
      </c>
      <c r="G1269" t="s">
        <v>77</v>
      </c>
      <c r="H1269" t="s">
        <v>43</v>
      </c>
      <c r="I1269" t="s">
        <v>44</v>
      </c>
      <c r="J1269" t="s">
        <v>78</v>
      </c>
      <c r="K1269" t="s">
        <v>0</v>
      </c>
      <c r="L1269" t="s">
        <v>59</v>
      </c>
      <c r="M1269" t="s">
        <v>2031</v>
      </c>
      <c r="N1269" t="s">
        <v>2032</v>
      </c>
      <c r="O1269" t="s">
        <v>1525</v>
      </c>
      <c r="P1269" t="s">
        <v>1292</v>
      </c>
      <c r="Q1269" t="s">
        <v>46</v>
      </c>
      <c r="R1269" t="s">
        <v>47</v>
      </c>
      <c r="S1269" t="s">
        <v>46</v>
      </c>
      <c r="T1269" t="s">
        <v>46</v>
      </c>
      <c r="U1269" s="4">
        <v>265.17</v>
      </c>
      <c r="V1269" t="str">
        <f t="shared" si="19"/>
        <v>-120</v>
      </c>
      <c r="W1269" t="str">
        <f>VLOOKUP(K1269,[1]Info!A$1:B$21,2,0)</f>
        <v>Carboval</v>
      </c>
      <c r="X1269" t="str">
        <f>IF(M1269="109595132","Material de Limpeza-Não Avaliar",IF(AND(K1269="F20",M1269&lt;&gt;109595132),IF(RIGHT(F1269,2)="70","Infraestrutura de Planta","Prédios e Instalações"),IF(K1269="FPC",VLOOKUP(F1269,[1]Info!$E$2:$F$11,2,0),IF(K1269="FGP",VLOOKUP(F1269,[1]Info!$E$9:$F$10,2,0),IF(K1269="F10",VLOOKUP(F1269,[1]Info!$E$2:$F$3,2,0),VLOOKUP(K1269,[1]Info!$A$1:$B$21,2,0))))))</f>
        <v>Carboval Diamante</v>
      </c>
    </row>
    <row r="1270" spans="1:24" x14ac:dyDescent="0.35">
      <c r="A1270" t="s">
        <v>41</v>
      </c>
      <c r="B1270" t="s">
        <v>73</v>
      </c>
      <c r="C1270" t="s">
        <v>74</v>
      </c>
      <c r="D1270" t="s">
        <v>100</v>
      </c>
      <c r="E1270" t="s">
        <v>65</v>
      </c>
      <c r="F1270">
        <v>7091770</v>
      </c>
      <c r="G1270" t="s">
        <v>77</v>
      </c>
      <c r="H1270" t="s">
        <v>43</v>
      </c>
      <c r="I1270" t="s">
        <v>44</v>
      </c>
      <c r="J1270" t="s">
        <v>78</v>
      </c>
      <c r="K1270" t="s">
        <v>0</v>
      </c>
      <c r="L1270" t="s">
        <v>59</v>
      </c>
      <c r="M1270" t="s">
        <v>2033</v>
      </c>
      <c r="N1270" t="s">
        <v>2034</v>
      </c>
      <c r="O1270" t="s">
        <v>1208</v>
      </c>
      <c r="P1270" t="s">
        <v>1292</v>
      </c>
      <c r="Q1270" t="s">
        <v>46</v>
      </c>
      <c r="R1270" t="s">
        <v>47</v>
      </c>
      <c r="S1270" t="s">
        <v>46</v>
      </c>
      <c r="T1270" t="s">
        <v>46</v>
      </c>
      <c r="U1270" s="4">
        <v>220.97</v>
      </c>
      <c r="V1270" t="str">
        <f t="shared" si="19"/>
        <v>-095</v>
      </c>
      <c r="W1270" t="str">
        <f>VLOOKUP(K1270,[1]Info!A$1:B$21,2,0)</f>
        <v>Carboval</v>
      </c>
      <c r="X1270" t="str">
        <f>IF(M1270="109595132","Material de Limpeza-Não Avaliar",IF(AND(K1270="F20",M1270&lt;&gt;109595132),IF(RIGHT(F1270,2)="70","Infraestrutura de Planta","Prédios e Instalações"),IF(K1270="FPC",VLOOKUP(F1270,[1]Info!$E$2:$F$11,2,0),IF(K1270="FGP",VLOOKUP(F1270,[1]Info!$E$9:$F$10,2,0),IF(K1270="F10",VLOOKUP(F1270,[1]Info!$E$2:$F$3,2,0),VLOOKUP(K1270,[1]Info!$A$1:$B$21,2,0))))))</f>
        <v>Carboval Diamante</v>
      </c>
    </row>
    <row r="1271" spans="1:24" x14ac:dyDescent="0.35">
      <c r="A1271" t="s">
        <v>41</v>
      </c>
      <c r="B1271" t="s">
        <v>73</v>
      </c>
      <c r="C1271" t="s">
        <v>74</v>
      </c>
      <c r="D1271" t="s">
        <v>100</v>
      </c>
      <c r="E1271" t="s">
        <v>65</v>
      </c>
      <c r="F1271">
        <v>7091770</v>
      </c>
      <c r="G1271" t="s">
        <v>77</v>
      </c>
      <c r="H1271" t="s">
        <v>43</v>
      </c>
      <c r="I1271" t="s">
        <v>44</v>
      </c>
      <c r="J1271" t="s">
        <v>78</v>
      </c>
      <c r="K1271" t="s">
        <v>0</v>
      </c>
      <c r="L1271" t="s">
        <v>59</v>
      </c>
      <c r="M1271" t="s">
        <v>2035</v>
      </c>
      <c r="N1271" t="s">
        <v>2036</v>
      </c>
      <c r="O1271" t="s">
        <v>1530</v>
      </c>
      <c r="P1271" t="s">
        <v>1292</v>
      </c>
      <c r="Q1271" t="s">
        <v>46</v>
      </c>
      <c r="R1271" t="s">
        <v>47</v>
      </c>
      <c r="S1271" t="s">
        <v>46</v>
      </c>
      <c r="T1271" t="s">
        <v>46</v>
      </c>
      <c r="U1271" s="4">
        <v>33.15</v>
      </c>
      <c r="V1271" t="str">
        <f t="shared" si="19"/>
        <v>0060</v>
      </c>
      <c r="W1271" t="str">
        <f>VLOOKUP(K1271,[1]Info!A$1:B$21,2,0)</f>
        <v>Carboval</v>
      </c>
      <c r="X1271" t="str">
        <f>IF(M1271="109595132","Material de Limpeza-Não Avaliar",IF(AND(K1271="F20",M1271&lt;&gt;109595132),IF(RIGHT(F1271,2)="70","Infraestrutura de Planta","Prédios e Instalações"),IF(K1271="FPC",VLOOKUP(F1271,[1]Info!$E$2:$F$11,2,0),IF(K1271="FGP",VLOOKUP(F1271,[1]Info!$E$9:$F$10,2,0),IF(K1271="F10",VLOOKUP(F1271,[1]Info!$E$2:$F$3,2,0),VLOOKUP(K1271,[1]Info!$A$1:$B$21,2,0))))))</f>
        <v>Carboval Diamante</v>
      </c>
    </row>
    <row r="1272" spans="1:24" x14ac:dyDescent="0.35">
      <c r="A1272" t="s">
        <v>41</v>
      </c>
      <c r="B1272" t="s">
        <v>73</v>
      </c>
      <c r="C1272" t="s">
        <v>74</v>
      </c>
      <c r="D1272" t="s">
        <v>100</v>
      </c>
      <c r="E1272" t="s">
        <v>65</v>
      </c>
      <c r="F1272">
        <v>7091770</v>
      </c>
      <c r="G1272" t="s">
        <v>77</v>
      </c>
      <c r="H1272" t="s">
        <v>43</v>
      </c>
      <c r="I1272" t="s">
        <v>44</v>
      </c>
      <c r="J1272" t="s">
        <v>78</v>
      </c>
      <c r="K1272" t="s">
        <v>0</v>
      </c>
      <c r="L1272" t="s">
        <v>59</v>
      </c>
      <c r="M1272" t="s">
        <v>2037</v>
      </c>
      <c r="N1272" t="s">
        <v>2038</v>
      </c>
      <c r="O1272" t="s">
        <v>1528</v>
      </c>
      <c r="P1272" t="s">
        <v>1292</v>
      </c>
      <c r="Q1272" t="s">
        <v>46</v>
      </c>
      <c r="R1272" t="s">
        <v>47</v>
      </c>
      <c r="S1272" t="s">
        <v>46</v>
      </c>
      <c r="T1272" t="s">
        <v>46</v>
      </c>
      <c r="U1272" s="4">
        <v>22.1</v>
      </c>
      <c r="V1272" t="str">
        <f t="shared" si="19"/>
        <v>-005</v>
      </c>
      <c r="W1272" t="str">
        <f>VLOOKUP(K1272,[1]Info!A$1:B$21,2,0)</f>
        <v>Carboval</v>
      </c>
      <c r="X1272" t="str">
        <f>IF(M1272="109595132","Material de Limpeza-Não Avaliar",IF(AND(K1272="F20",M1272&lt;&gt;109595132),IF(RIGHT(F1272,2)="70","Infraestrutura de Planta","Prédios e Instalações"),IF(K1272="FPC",VLOOKUP(F1272,[1]Info!$E$2:$F$11,2,0),IF(K1272="FGP",VLOOKUP(F1272,[1]Info!$E$9:$F$10,2,0),IF(K1272="F10",VLOOKUP(F1272,[1]Info!$E$2:$F$3,2,0),VLOOKUP(K1272,[1]Info!$A$1:$B$21,2,0))))))</f>
        <v>Carboval Diamante</v>
      </c>
    </row>
    <row r="1273" spans="1:24" x14ac:dyDescent="0.35">
      <c r="A1273" t="s">
        <v>41</v>
      </c>
      <c r="B1273" t="s">
        <v>73</v>
      </c>
      <c r="C1273" t="s">
        <v>74</v>
      </c>
      <c r="D1273" t="s">
        <v>100</v>
      </c>
      <c r="E1273" t="s">
        <v>65</v>
      </c>
      <c r="F1273">
        <v>7091770</v>
      </c>
      <c r="G1273" t="s">
        <v>77</v>
      </c>
      <c r="H1273" t="s">
        <v>43</v>
      </c>
      <c r="I1273" t="s">
        <v>44</v>
      </c>
      <c r="J1273" t="s">
        <v>78</v>
      </c>
      <c r="K1273" t="s">
        <v>0</v>
      </c>
      <c r="L1273" t="s">
        <v>59</v>
      </c>
      <c r="M1273" t="s">
        <v>2039</v>
      </c>
      <c r="N1273" t="s">
        <v>2040</v>
      </c>
      <c r="O1273" t="s">
        <v>1524</v>
      </c>
      <c r="P1273" t="s">
        <v>1292</v>
      </c>
      <c r="Q1273" t="s">
        <v>46</v>
      </c>
      <c r="R1273" t="s">
        <v>47</v>
      </c>
      <c r="S1273" t="s">
        <v>46</v>
      </c>
      <c r="T1273" t="s">
        <v>46</v>
      </c>
      <c r="U1273" s="4">
        <v>22.1</v>
      </c>
      <c r="V1273" t="str">
        <f t="shared" si="19"/>
        <v>-110</v>
      </c>
      <c r="W1273" t="str">
        <f>VLOOKUP(K1273,[1]Info!A$1:B$21,2,0)</f>
        <v>Carboval</v>
      </c>
      <c r="X1273" t="str">
        <f>IF(M1273="109595132","Material de Limpeza-Não Avaliar",IF(AND(K1273="F20",M1273&lt;&gt;109595132),IF(RIGHT(F1273,2)="70","Infraestrutura de Planta","Prédios e Instalações"),IF(K1273="FPC",VLOOKUP(F1273,[1]Info!$E$2:$F$11,2,0),IF(K1273="FGP",VLOOKUP(F1273,[1]Info!$E$9:$F$10,2,0),IF(K1273="F10",VLOOKUP(F1273,[1]Info!$E$2:$F$3,2,0),VLOOKUP(K1273,[1]Info!$A$1:$B$21,2,0))))))</f>
        <v>Carboval Diamante</v>
      </c>
    </row>
    <row r="1274" spans="1:24" x14ac:dyDescent="0.35">
      <c r="A1274" t="s">
        <v>41</v>
      </c>
      <c r="B1274" t="s">
        <v>73</v>
      </c>
      <c r="C1274" t="s">
        <v>74</v>
      </c>
      <c r="D1274" t="s">
        <v>100</v>
      </c>
      <c r="E1274" t="s">
        <v>65</v>
      </c>
      <c r="F1274">
        <v>7091770</v>
      </c>
      <c r="G1274" t="s">
        <v>77</v>
      </c>
      <c r="H1274" t="s">
        <v>43</v>
      </c>
      <c r="I1274" t="s">
        <v>44</v>
      </c>
      <c r="J1274" t="s">
        <v>78</v>
      </c>
      <c r="K1274" t="s">
        <v>0</v>
      </c>
      <c r="L1274" t="s">
        <v>59</v>
      </c>
      <c r="M1274" t="s">
        <v>2041</v>
      </c>
      <c r="N1274" t="s">
        <v>2042</v>
      </c>
      <c r="O1274" t="s">
        <v>1216</v>
      </c>
      <c r="P1274" t="s">
        <v>1292</v>
      </c>
      <c r="Q1274" t="s">
        <v>46</v>
      </c>
      <c r="R1274" t="s">
        <v>47</v>
      </c>
      <c r="S1274" t="s">
        <v>46</v>
      </c>
      <c r="T1274" t="s">
        <v>46</v>
      </c>
      <c r="U1274" s="4">
        <v>57.45</v>
      </c>
      <c r="V1274" t="str">
        <f t="shared" si="19"/>
        <v>0080</v>
      </c>
      <c r="W1274" t="str">
        <f>VLOOKUP(K1274,[1]Info!A$1:B$21,2,0)</f>
        <v>Carboval</v>
      </c>
      <c r="X1274" t="str">
        <f>IF(M1274="109595132","Material de Limpeza-Não Avaliar",IF(AND(K1274="F20",M1274&lt;&gt;109595132),IF(RIGHT(F1274,2)="70","Infraestrutura de Planta","Prédios e Instalações"),IF(K1274="FPC",VLOOKUP(F1274,[1]Info!$E$2:$F$11,2,0),IF(K1274="FGP",VLOOKUP(F1274,[1]Info!$E$9:$F$10,2,0),IF(K1274="F10",VLOOKUP(F1274,[1]Info!$E$2:$F$3,2,0),VLOOKUP(K1274,[1]Info!$A$1:$B$21,2,0))))))</f>
        <v>Carboval Diamante</v>
      </c>
    </row>
    <row r="1275" spans="1:24" x14ac:dyDescent="0.35">
      <c r="A1275" t="s">
        <v>41</v>
      </c>
      <c r="B1275" t="s">
        <v>73</v>
      </c>
      <c r="C1275" t="s">
        <v>74</v>
      </c>
      <c r="D1275" t="s">
        <v>100</v>
      </c>
      <c r="E1275" t="s">
        <v>65</v>
      </c>
      <c r="F1275">
        <v>7091770</v>
      </c>
      <c r="G1275" t="s">
        <v>77</v>
      </c>
      <c r="H1275" t="s">
        <v>43</v>
      </c>
      <c r="I1275" t="s">
        <v>44</v>
      </c>
      <c r="J1275" t="s">
        <v>78</v>
      </c>
      <c r="K1275" t="s">
        <v>0</v>
      </c>
      <c r="L1275" t="s">
        <v>59</v>
      </c>
      <c r="M1275" t="s">
        <v>2043</v>
      </c>
      <c r="N1275" t="s">
        <v>2044</v>
      </c>
      <c r="O1275" t="s">
        <v>1528</v>
      </c>
      <c r="P1275" t="s">
        <v>1292</v>
      </c>
      <c r="Q1275" t="s">
        <v>46</v>
      </c>
      <c r="R1275" t="s">
        <v>47</v>
      </c>
      <c r="S1275" t="s">
        <v>46</v>
      </c>
      <c r="T1275" t="s">
        <v>46</v>
      </c>
      <c r="U1275" s="4">
        <v>44.19</v>
      </c>
      <c r="V1275" t="str">
        <f t="shared" si="19"/>
        <v>-005</v>
      </c>
      <c r="W1275" t="str">
        <f>VLOOKUP(K1275,[1]Info!A$1:B$21,2,0)</f>
        <v>Carboval</v>
      </c>
      <c r="X1275" t="str">
        <f>IF(M1275="109595132","Material de Limpeza-Não Avaliar",IF(AND(K1275="F20",M1275&lt;&gt;109595132),IF(RIGHT(F1275,2)="70","Infraestrutura de Planta","Prédios e Instalações"),IF(K1275="FPC",VLOOKUP(F1275,[1]Info!$E$2:$F$11,2,0),IF(K1275="FGP",VLOOKUP(F1275,[1]Info!$E$9:$F$10,2,0),IF(K1275="F10",VLOOKUP(F1275,[1]Info!$E$2:$F$3,2,0),VLOOKUP(K1275,[1]Info!$A$1:$B$21,2,0))))))</f>
        <v>Carboval Diamante</v>
      </c>
    </row>
    <row r="1276" spans="1:24" x14ac:dyDescent="0.35">
      <c r="A1276" t="s">
        <v>41</v>
      </c>
      <c r="B1276" t="s">
        <v>73</v>
      </c>
      <c r="C1276" t="s">
        <v>74</v>
      </c>
      <c r="D1276" t="s">
        <v>100</v>
      </c>
      <c r="E1276" t="s">
        <v>65</v>
      </c>
      <c r="F1276">
        <v>7091770</v>
      </c>
      <c r="G1276" t="s">
        <v>77</v>
      </c>
      <c r="H1276" t="s">
        <v>43</v>
      </c>
      <c r="I1276" t="s">
        <v>44</v>
      </c>
      <c r="J1276" t="s">
        <v>78</v>
      </c>
      <c r="K1276" t="s">
        <v>0</v>
      </c>
      <c r="L1276" t="s">
        <v>59</v>
      </c>
      <c r="M1276" t="s">
        <v>2045</v>
      </c>
      <c r="N1276" t="s">
        <v>2046</v>
      </c>
      <c r="O1276" t="s">
        <v>1528</v>
      </c>
      <c r="P1276" t="s">
        <v>1292</v>
      </c>
      <c r="Q1276" t="s">
        <v>46</v>
      </c>
      <c r="R1276" t="s">
        <v>47</v>
      </c>
      <c r="S1276" t="s">
        <v>46</v>
      </c>
      <c r="T1276" t="s">
        <v>46</v>
      </c>
      <c r="U1276" s="4">
        <v>48.61</v>
      </c>
      <c r="V1276" t="str">
        <f t="shared" si="19"/>
        <v>-005</v>
      </c>
      <c r="W1276" t="str">
        <f>VLOOKUP(K1276,[1]Info!A$1:B$21,2,0)</f>
        <v>Carboval</v>
      </c>
      <c r="X1276" t="str">
        <f>IF(M1276="109595132","Material de Limpeza-Não Avaliar",IF(AND(K1276="F20",M1276&lt;&gt;109595132),IF(RIGHT(F1276,2)="70","Infraestrutura de Planta","Prédios e Instalações"),IF(K1276="FPC",VLOOKUP(F1276,[1]Info!$E$2:$F$11,2,0),IF(K1276="FGP",VLOOKUP(F1276,[1]Info!$E$9:$F$10,2,0),IF(K1276="F10",VLOOKUP(F1276,[1]Info!$E$2:$F$3,2,0),VLOOKUP(K1276,[1]Info!$A$1:$B$21,2,0))))))</f>
        <v>Carboval Diamante</v>
      </c>
    </row>
    <row r="1277" spans="1:24" x14ac:dyDescent="0.35">
      <c r="A1277" t="s">
        <v>41</v>
      </c>
      <c r="B1277" t="s">
        <v>73</v>
      </c>
      <c r="C1277" t="s">
        <v>74</v>
      </c>
      <c r="D1277" t="s">
        <v>100</v>
      </c>
      <c r="E1277" t="s">
        <v>65</v>
      </c>
      <c r="F1277">
        <v>7091770</v>
      </c>
      <c r="G1277" t="s">
        <v>77</v>
      </c>
      <c r="H1277" t="s">
        <v>43</v>
      </c>
      <c r="I1277" t="s">
        <v>44</v>
      </c>
      <c r="J1277" t="s">
        <v>78</v>
      </c>
      <c r="K1277" t="s">
        <v>0</v>
      </c>
      <c r="L1277" t="s">
        <v>59</v>
      </c>
      <c r="M1277" t="s">
        <v>2047</v>
      </c>
      <c r="N1277" t="s">
        <v>2048</v>
      </c>
      <c r="O1277" t="s">
        <v>1526</v>
      </c>
      <c r="P1277" t="s">
        <v>1292</v>
      </c>
      <c r="Q1277" t="s">
        <v>46</v>
      </c>
      <c r="R1277" t="s">
        <v>47</v>
      </c>
      <c r="S1277" t="s">
        <v>46</v>
      </c>
      <c r="T1277" t="s">
        <v>46</v>
      </c>
      <c r="U1277" s="4">
        <v>353.56</v>
      </c>
      <c r="V1277" t="str">
        <f t="shared" si="19"/>
        <v>-025</v>
      </c>
      <c r="W1277" t="str">
        <f>VLOOKUP(K1277,[1]Info!A$1:B$21,2,0)</f>
        <v>Carboval</v>
      </c>
      <c r="X1277" t="str">
        <f>IF(M1277="109595132","Material de Limpeza-Não Avaliar",IF(AND(K1277="F20",M1277&lt;&gt;109595132),IF(RIGHT(F1277,2)="70","Infraestrutura de Planta","Prédios e Instalações"),IF(K1277="FPC",VLOOKUP(F1277,[1]Info!$E$2:$F$11,2,0),IF(K1277="FGP",VLOOKUP(F1277,[1]Info!$E$9:$F$10,2,0),IF(K1277="F10",VLOOKUP(F1277,[1]Info!$E$2:$F$3,2,0),VLOOKUP(K1277,[1]Info!$A$1:$B$21,2,0))))))</f>
        <v>Carboval Diamante</v>
      </c>
    </row>
    <row r="1278" spans="1:24" x14ac:dyDescent="0.35">
      <c r="A1278" t="s">
        <v>41</v>
      </c>
      <c r="B1278" t="s">
        <v>73</v>
      </c>
      <c r="C1278" t="s">
        <v>74</v>
      </c>
      <c r="D1278" t="s">
        <v>100</v>
      </c>
      <c r="E1278" t="s">
        <v>65</v>
      </c>
      <c r="F1278">
        <v>7091770</v>
      </c>
      <c r="G1278" t="s">
        <v>77</v>
      </c>
      <c r="H1278" t="s">
        <v>43</v>
      </c>
      <c r="I1278" t="s">
        <v>44</v>
      </c>
      <c r="J1278" t="s">
        <v>78</v>
      </c>
      <c r="K1278" t="s">
        <v>0</v>
      </c>
      <c r="L1278" t="s">
        <v>59</v>
      </c>
      <c r="M1278" t="s">
        <v>2049</v>
      </c>
      <c r="N1278" t="s">
        <v>2050</v>
      </c>
      <c r="O1278" t="s">
        <v>1528</v>
      </c>
      <c r="P1278" t="s">
        <v>1292</v>
      </c>
      <c r="Q1278" t="s">
        <v>46</v>
      </c>
      <c r="R1278" t="s">
        <v>47</v>
      </c>
      <c r="S1278" t="s">
        <v>46</v>
      </c>
      <c r="T1278" t="s">
        <v>46</v>
      </c>
      <c r="U1278" s="4">
        <v>44.19</v>
      </c>
      <c r="V1278" t="str">
        <f t="shared" si="19"/>
        <v>-005</v>
      </c>
      <c r="W1278" t="str">
        <f>VLOOKUP(K1278,[1]Info!A$1:B$21,2,0)</f>
        <v>Carboval</v>
      </c>
      <c r="X1278" t="str">
        <f>IF(M1278="109595132","Material de Limpeza-Não Avaliar",IF(AND(K1278="F20",M1278&lt;&gt;109595132),IF(RIGHT(F1278,2)="70","Infraestrutura de Planta","Prédios e Instalações"),IF(K1278="FPC",VLOOKUP(F1278,[1]Info!$E$2:$F$11,2,0),IF(K1278="FGP",VLOOKUP(F1278,[1]Info!$E$9:$F$10,2,0),IF(K1278="F10",VLOOKUP(F1278,[1]Info!$E$2:$F$3,2,0),VLOOKUP(K1278,[1]Info!$A$1:$B$21,2,0))))))</f>
        <v>Carboval Diamante</v>
      </c>
    </row>
    <row r="1279" spans="1:24" x14ac:dyDescent="0.35">
      <c r="A1279" t="s">
        <v>41</v>
      </c>
      <c r="B1279" t="s">
        <v>73</v>
      </c>
      <c r="C1279" t="s">
        <v>74</v>
      </c>
      <c r="D1279" t="s">
        <v>100</v>
      </c>
      <c r="E1279" t="s">
        <v>65</v>
      </c>
      <c r="F1279">
        <v>7091770</v>
      </c>
      <c r="G1279" t="s">
        <v>77</v>
      </c>
      <c r="H1279" t="s">
        <v>43</v>
      </c>
      <c r="I1279" t="s">
        <v>44</v>
      </c>
      <c r="J1279" t="s">
        <v>78</v>
      </c>
      <c r="K1279" t="s">
        <v>0</v>
      </c>
      <c r="L1279" t="s">
        <v>59</v>
      </c>
      <c r="M1279" t="s">
        <v>2051</v>
      </c>
      <c r="N1279" t="s">
        <v>2052</v>
      </c>
      <c r="O1279" t="s">
        <v>1528</v>
      </c>
      <c r="P1279" t="s">
        <v>1292</v>
      </c>
      <c r="Q1279" t="s">
        <v>46</v>
      </c>
      <c r="R1279" t="s">
        <v>47</v>
      </c>
      <c r="S1279" t="s">
        <v>46</v>
      </c>
      <c r="T1279" t="s">
        <v>46</v>
      </c>
      <c r="U1279" s="4">
        <v>44.19</v>
      </c>
      <c r="V1279" t="str">
        <f t="shared" si="19"/>
        <v>-005</v>
      </c>
      <c r="W1279" t="str">
        <f>VLOOKUP(K1279,[1]Info!A$1:B$21,2,0)</f>
        <v>Carboval</v>
      </c>
      <c r="X1279" t="str">
        <f>IF(M1279="109595132","Material de Limpeza-Não Avaliar",IF(AND(K1279="F20",M1279&lt;&gt;109595132),IF(RIGHT(F1279,2)="70","Infraestrutura de Planta","Prédios e Instalações"),IF(K1279="FPC",VLOOKUP(F1279,[1]Info!$E$2:$F$11,2,0),IF(K1279="FGP",VLOOKUP(F1279,[1]Info!$E$9:$F$10,2,0),IF(K1279="F10",VLOOKUP(F1279,[1]Info!$E$2:$F$3,2,0),VLOOKUP(K1279,[1]Info!$A$1:$B$21,2,0))))))</f>
        <v>Carboval Diamante</v>
      </c>
    </row>
    <row r="1280" spans="1:24" x14ac:dyDescent="0.35">
      <c r="A1280" t="s">
        <v>41</v>
      </c>
      <c r="B1280" t="s">
        <v>73</v>
      </c>
      <c r="C1280" t="s">
        <v>74</v>
      </c>
      <c r="D1280" t="s">
        <v>100</v>
      </c>
      <c r="E1280" t="s">
        <v>65</v>
      </c>
      <c r="F1280">
        <v>7091770</v>
      </c>
      <c r="G1280" t="s">
        <v>77</v>
      </c>
      <c r="H1280" t="s">
        <v>43</v>
      </c>
      <c r="I1280" t="s">
        <v>44</v>
      </c>
      <c r="J1280" t="s">
        <v>78</v>
      </c>
      <c r="K1280" t="s">
        <v>0</v>
      </c>
      <c r="L1280" t="s">
        <v>59</v>
      </c>
      <c r="M1280" t="s">
        <v>1209</v>
      </c>
      <c r="N1280" t="s">
        <v>1210</v>
      </c>
      <c r="O1280" t="s">
        <v>1211</v>
      </c>
      <c r="P1280" t="s">
        <v>1292</v>
      </c>
      <c r="Q1280" t="s">
        <v>46</v>
      </c>
      <c r="R1280" t="s">
        <v>47</v>
      </c>
      <c r="S1280" t="s">
        <v>46</v>
      </c>
      <c r="T1280" t="s">
        <v>46</v>
      </c>
      <c r="U1280" s="4">
        <v>3314.59</v>
      </c>
      <c r="V1280" t="str">
        <f t="shared" si="19"/>
        <v>-095</v>
      </c>
      <c r="W1280" t="str">
        <f>VLOOKUP(K1280,[1]Info!A$1:B$21,2,0)</f>
        <v>Carboval</v>
      </c>
      <c r="X1280" t="str">
        <f>IF(M1280="109595132","Material de Limpeza-Não Avaliar",IF(AND(K1280="F20",M1280&lt;&gt;109595132),IF(RIGHT(F1280,2)="70","Infraestrutura de Planta","Prédios e Instalações"),IF(K1280="FPC",VLOOKUP(F1280,[1]Info!$E$2:$F$11,2,0),IF(K1280="FGP",VLOOKUP(F1280,[1]Info!$E$9:$F$10,2,0),IF(K1280="F10",VLOOKUP(F1280,[1]Info!$E$2:$F$3,2,0),VLOOKUP(K1280,[1]Info!$A$1:$B$21,2,0))))))</f>
        <v>Carboval Diamante</v>
      </c>
    </row>
    <row r="1281" spans="1:24" x14ac:dyDescent="0.35">
      <c r="A1281" t="s">
        <v>41</v>
      </c>
      <c r="B1281" t="s">
        <v>73</v>
      </c>
      <c r="C1281" t="s">
        <v>74</v>
      </c>
      <c r="D1281" t="s">
        <v>100</v>
      </c>
      <c r="E1281" t="s">
        <v>65</v>
      </c>
      <c r="F1281">
        <v>7091770</v>
      </c>
      <c r="G1281" t="s">
        <v>77</v>
      </c>
      <c r="H1281" t="s">
        <v>43</v>
      </c>
      <c r="I1281" t="s">
        <v>44</v>
      </c>
      <c r="J1281" t="s">
        <v>78</v>
      </c>
      <c r="K1281" t="s">
        <v>0</v>
      </c>
      <c r="L1281" t="s">
        <v>59</v>
      </c>
      <c r="M1281" t="s">
        <v>1212</v>
      </c>
      <c r="N1281" t="s">
        <v>1213</v>
      </c>
      <c r="O1281" t="s">
        <v>1208</v>
      </c>
      <c r="P1281" t="s">
        <v>1292</v>
      </c>
      <c r="Q1281" t="s">
        <v>46</v>
      </c>
      <c r="R1281" t="s">
        <v>47</v>
      </c>
      <c r="S1281" t="s">
        <v>46</v>
      </c>
      <c r="T1281" t="s">
        <v>46</v>
      </c>
      <c r="U1281" s="4">
        <v>4905.6099999999997</v>
      </c>
      <c r="V1281" t="str">
        <f t="shared" si="19"/>
        <v>-095</v>
      </c>
      <c r="W1281" t="str">
        <f>VLOOKUP(K1281,[1]Info!A$1:B$21,2,0)</f>
        <v>Carboval</v>
      </c>
      <c r="X1281" t="str">
        <f>IF(M1281="109595132","Material de Limpeza-Não Avaliar",IF(AND(K1281="F20",M1281&lt;&gt;109595132),IF(RIGHT(F1281,2)="70","Infraestrutura de Planta","Prédios e Instalações"),IF(K1281="FPC",VLOOKUP(F1281,[1]Info!$E$2:$F$11,2,0),IF(K1281="FGP",VLOOKUP(F1281,[1]Info!$E$9:$F$10,2,0),IF(K1281="F10",VLOOKUP(F1281,[1]Info!$E$2:$F$3,2,0),VLOOKUP(K1281,[1]Info!$A$1:$B$21,2,0))))))</f>
        <v>Carboval Diamante</v>
      </c>
    </row>
    <row r="1282" spans="1:24" x14ac:dyDescent="0.35">
      <c r="A1282" t="s">
        <v>41</v>
      </c>
      <c r="B1282" t="s">
        <v>73</v>
      </c>
      <c r="C1282" t="s">
        <v>74</v>
      </c>
      <c r="D1282" t="s">
        <v>100</v>
      </c>
      <c r="E1282" t="s">
        <v>65</v>
      </c>
      <c r="F1282">
        <v>7091770</v>
      </c>
      <c r="G1282" t="s">
        <v>77</v>
      </c>
      <c r="H1282" t="s">
        <v>43</v>
      </c>
      <c r="I1282" t="s">
        <v>44</v>
      </c>
      <c r="J1282" t="s">
        <v>78</v>
      </c>
      <c r="K1282" t="s">
        <v>0</v>
      </c>
      <c r="L1282" t="s">
        <v>59</v>
      </c>
      <c r="M1282" t="s">
        <v>2053</v>
      </c>
      <c r="N1282" t="s">
        <v>2054</v>
      </c>
      <c r="O1282" t="s">
        <v>1525</v>
      </c>
      <c r="P1282" t="s">
        <v>1292</v>
      </c>
      <c r="Q1282" t="s">
        <v>46</v>
      </c>
      <c r="R1282" t="s">
        <v>47</v>
      </c>
      <c r="S1282" t="s">
        <v>46</v>
      </c>
      <c r="T1282" t="s">
        <v>46</v>
      </c>
      <c r="U1282" s="4">
        <v>3712.35</v>
      </c>
      <c r="V1282" t="str">
        <f t="shared" si="19"/>
        <v>-120</v>
      </c>
      <c r="W1282" t="str">
        <f>VLOOKUP(K1282,[1]Info!A$1:B$21,2,0)</f>
        <v>Carboval</v>
      </c>
      <c r="X1282" t="str">
        <f>IF(M1282="109595132","Material de Limpeza-Não Avaliar",IF(AND(K1282="F20",M1282&lt;&gt;109595132),IF(RIGHT(F1282,2)="70","Infraestrutura de Planta","Prédios e Instalações"),IF(K1282="FPC",VLOOKUP(F1282,[1]Info!$E$2:$F$11,2,0),IF(K1282="FGP",VLOOKUP(F1282,[1]Info!$E$9:$F$10,2,0),IF(K1282="F10",VLOOKUP(F1282,[1]Info!$E$2:$F$3,2,0),VLOOKUP(K1282,[1]Info!$A$1:$B$21,2,0))))))</f>
        <v>Carboval Diamante</v>
      </c>
    </row>
    <row r="1283" spans="1:24" x14ac:dyDescent="0.35">
      <c r="A1283" t="s">
        <v>41</v>
      </c>
      <c r="B1283" t="s">
        <v>73</v>
      </c>
      <c r="C1283" t="s">
        <v>74</v>
      </c>
      <c r="D1283" t="s">
        <v>100</v>
      </c>
      <c r="E1283" t="s">
        <v>65</v>
      </c>
      <c r="F1283">
        <v>7091770</v>
      </c>
      <c r="G1283" t="s">
        <v>77</v>
      </c>
      <c r="H1283" t="s">
        <v>43</v>
      </c>
      <c r="I1283" t="s">
        <v>44</v>
      </c>
      <c r="J1283" t="s">
        <v>78</v>
      </c>
      <c r="K1283" t="s">
        <v>0</v>
      </c>
      <c r="L1283" t="s">
        <v>51</v>
      </c>
      <c r="M1283" t="s">
        <v>2055</v>
      </c>
      <c r="N1283" t="s">
        <v>2056</v>
      </c>
      <c r="O1283" t="s">
        <v>338</v>
      </c>
      <c r="P1283" t="s">
        <v>1292</v>
      </c>
      <c r="Q1283" t="s">
        <v>46</v>
      </c>
      <c r="R1283" t="s">
        <v>47</v>
      </c>
      <c r="S1283" t="s">
        <v>46</v>
      </c>
      <c r="T1283" t="s">
        <v>46</v>
      </c>
      <c r="U1283" s="4">
        <v>220.97</v>
      </c>
      <c r="V1283" t="str">
        <f t="shared" si="19"/>
        <v>0035</v>
      </c>
      <c r="W1283" t="str">
        <f>VLOOKUP(K1283,[1]Info!A$1:B$21,2,0)</f>
        <v>Carboval</v>
      </c>
      <c r="X1283" t="str">
        <f>IF(M1283="109595132","Material de Limpeza-Não Avaliar",IF(AND(K1283="F20",M1283&lt;&gt;109595132),IF(RIGHT(F1283,2)="70","Infraestrutura de Planta","Prédios e Instalações"),IF(K1283="FPC",VLOOKUP(F1283,[1]Info!$E$2:$F$11,2,0),IF(K1283="FGP",VLOOKUP(F1283,[1]Info!$E$9:$F$10,2,0),IF(K1283="F10",VLOOKUP(F1283,[1]Info!$E$2:$F$3,2,0),VLOOKUP(K1283,[1]Info!$A$1:$B$21,2,0))))))</f>
        <v>Carboval Diamante</v>
      </c>
    </row>
    <row r="1284" spans="1:24" x14ac:dyDescent="0.35">
      <c r="A1284" t="s">
        <v>41</v>
      </c>
      <c r="B1284" t="s">
        <v>73</v>
      </c>
      <c r="C1284" t="s">
        <v>74</v>
      </c>
      <c r="D1284" t="s">
        <v>100</v>
      </c>
      <c r="E1284" t="s">
        <v>65</v>
      </c>
      <c r="F1284">
        <v>7091770</v>
      </c>
      <c r="G1284" t="s">
        <v>77</v>
      </c>
      <c r="H1284" t="s">
        <v>43</v>
      </c>
      <c r="I1284" t="s">
        <v>44</v>
      </c>
      <c r="J1284" t="s">
        <v>78</v>
      </c>
      <c r="K1284" t="s">
        <v>0</v>
      </c>
      <c r="L1284" t="s">
        <v>51</v>
      </c>
      <c r="M1284" t="s">
        <v>2057</v>
      </c>
      <c r="N1284" t="s">
        <v>2058</v>
      </c>
      <c r="O1284" t="s">
        <v>1536</v>
      </c>
      <c r="P1284" t="s">
        <v>1292</v>
      </c>
      <c r="Q1284" t="s">
        <v>46</v>
      </c>
      <c r="R1284" t="s">
        <v>47</v>
      </c>
      <c r="S1284" t="s">
        <v>46</v>
      </c>
      <c r="T1284" t="s">
        <v>46</v>
      </c>
      <c r="U1284" s="4">
        <v>397.75</v>
      </c>
      <c r="V1284" t="str">
        <f t="shared" ref="V1284:V1347" si="20">RIGHT(O1284,4)</f>
        <v>-090</v>
      </c>
      <c r="W1284" t="str">
        <f>VLOOKUP(K1284,[1]Info!A$1:B$21,2,0)</f>
        <v>Carboval</v>
      </c>
      <c r="X1284" t="str">
        <f>IF(M1284="109595132","Material de Limpeza-Não Avaliar",IF(AND(K1284="F20",M1284&lt;&gt;109595132),IF(RIGHT(F1284,2)="70","Infraestrutura de Planta","Prédios e Instalações"),IF(K1284="FPC",VLOOKUP(F1284,[1]Info!$E$2:$F$11,2,0),IF(K1284="FGP",VLOOKUP(F1284,[1]Info!$E$9:$F$10,2,0),IF(K1284="F10",VLOOKUP(F1284,[1]Info!$E$2:$F$3,2,0),VLOOKUP(K1284,[1]Info!$A$1:$B$21,2,0))))))</f>
        <v>Carboval Diamante</v>
      </c>
    </row>
    <row r="1285" spans="1:24" x14ac:dyDescent="0.35">
      <c r="A1285" t="s">
        <v>41</v>
      </c>
      <c r="B1285" t="s">
        <v>73</v>
      </c>
      <c r="C1285" t="s">
        <v>74</v>
      </c>
      <c r="D1285" t="s">
        <v>100</v>
      </c>
      <c r="E1285" t="s">
        <v>65</v>
      </c>
      <c r="F1285">
        <v>7091770</v>
      </c>
      <c r="G1285" t="s">
        <v>77</v>
      </c>
      <c r="H1285" t="s">
        <v>43</v>
      </c>
      <c r="I1285" t="s">
        <v>44</v>
      </c>
      <c r="J1285" t="s">
        <v>78</v>
      </c>
      <c r="K1285" t="s">
        <v>0</v>
      </c>
      <c r="L1285" t="s">
        <v>51</v>
      </c>
      <c r="M1285" t="s">
        <v>2059</v>
      </c>
      <c r="N1285" t="s">
        <v>2060</v>
      </c>
      <c r="O1285" t="s">
        <v>1542</v>
      </c>
      <c r="P1285" t="s">
        <v>1292</v>
      </c>
      <c r="Q1285" t="s">
        <v>46</v>
      </c>
      <c r="R1285" t="s">
        <v>47</v>
      </c>
      <c r="S1285" t="s">
        <v>46</v>
      </c>
      <c r="T1285" t="s">
        <v>46</v>
      </c>
      <c r="U1285" s="4">
        <v>1723.59</v>
      </c>
      <c r="V1285" t="str">
        <f t="shared" si="20"/>
        <v>-005</v>
      </c>
      <c r="W1285" t="str">
        <f>VLOOKUP(K1285,[1]Info!A$1:B$21,2,0)</f>
        <v>Carboval</v>
      </c>
      <c r="X1285" t="str">
        <f>IF(M1285="109595132","Material de Limpeza-Não Avaliar",IF(AND(K1285="F20",M1285&lt;&gt;109595132),IF(RIGHT(F1285,2)="70","Infraestrutura de Planta","Prédios e Instalações"),IF(K1285="FPC",VLOOKUP(F1285,[1]Info!$E$2:$F$11,2,0),IF(K1285="FGP",VLOOKUP(F1285,[1]Info!$E$9:$F$10,2,0),IF(K1285="F10",VLOOKUP(F1285,[1]Info!$E$2:$F$3,2,0),VLOOKUP(K1285,[1]Info!$A$1:$B$21,2,0))))))</f>
        <v>Carboval Diamante</v>
      </c>
    </row>
    <row r="1286" spans="1:24" x14ac:dyDescent="0.35">
      <c r="A1286" t="s">
        <v>41</v>
      </c>
      <c r="B1286" t="s">
        <v>73</v>
      </c>
      <c r="C1286" t="s">
        <v>74</v>
      </c>
      <c r="D1286" t="s">
        <v>100</v>
      </c>
      <c r="E1286" t="s">
        <v>65</v>
      </c>
      <c r="F1286">
        <v>7091770</v>
      </c>
      <c r="G1286" t="s">
        <v>77</v>
      </c>
      <c r="H1286" t="s">
        <v>43</v>
      </c>
      <c r="I1286" t="s">
        <v>44</v>
      </c>
      <c r="J1286" t="s">
        <v>78</v>
      </c>
      <c r="K1286" t="s">
        <v>0</v>
      </c>
      <c r="L1286" t="s">
        <v>51</v>
      </c>
      <c r="M1286" t="s">
        <v>2061</v>
      </c>
      <c r="N1286" t="s">
        <v>2062</v>
      </c>
      <c r="O1286" t="s">
        <v>1533</v>
      </c>
      <c r="P1286" t="s">
        <v>1292</v>
      </c>
      <c r="Q1286" t="s">
        <v>46</v>
      </c>
      <c r="R1286" t="s">
        <v>47</v>
      </c>
      <c r="S1286" t="s">
        <v>46</v>
      </c>
      <c r="T1286" t="s">
        <v>46</v>
      </c>
      <c r="U1286" s="4">
        <v>2077.14</v>
      </c>
      <c r="V1286" t="str">
        <f t="shared" si="20"/>
        <v>-055</v>
      </c>
      <c r="W1286" t="str">
        <f>VLOOKUP(K1286,[1]Info!A$1:B$21,2,0)</f>
        <v>Carboval</v>
      </c>
      <c r="X1286" t="str">
        <f>IF(M1286="109595132","Material de Limpeza-Não Avaliar",IF(AND(K1286="F20",M1286&lt;&gt;109595132),IF(RIGHT(F1286,2)="70","Infraestrutura de Planta","Prédios e Instalações"),IF(K1286="FPC",VLOOKUP(F1286,[1]Info!$E$2:$F$11,2,0),IF(K1286="FGP",VLOOKUP(F1286,[1]Info!$E$9:$F$10,2,0),IF(K1286="F10",VLOOKUP(F1286,[1]Info!$E$2:$F$3,2,0),VLOOKUP(K1286,[1]Info!$A$1:$B$21,2,0))))))</f>
        <v>Carboval Diamante</v>
      </c>
    </row>
    <row r="1287" spans="1:24" x14ac:dyDescent="0.35">
      <c r="A1287" t="s">
        <v>41</v>
      </c>
      <c r="B1287" t="s">
        <v>73</v>
      </c>
      <c r="C1287" t="s">
        <v>74</v>
      </c>
      <c r="D1287" t="s">
        <v>100</v>
      </c>
      <c r="E1287" t="s">
        <v>65</v>
      </c>
      <c r="F1287">
        <v>7091770</v>
      </c>
      <c r="G1287" t="s">
        <v>77</v>
      </c>
      <c r="H1287" t="s">
        <v>43</v>
      </c>
      <c r="I1287" t="s">
        <v>44</v>
      </c>
      <c r="J1287" t="s">
        <v>78</v>
      </c>
      <c r="K1287" t="s">
        <v>0</v>
      </c>
      <c r="L1287" t="s">
        <v>51</v>
      </c>
      <c r="M1287" t="s">
        <v>2063</v>
      </c>
      <c r="N1287" t="s">
        <v>2064</v>
      </c>
      <c r="O1287" t="s">
        <v>1534</v>
      </c>
      <c r="P1287" t="s">
        <v>1292</v>
      </c>
      <c r="Q1287" t="s">
        <v>46</v>
      </c>
      <c r="R1287" t="s">
        <v>47</v>
      </c>
      <c r="S1287" t="s">
        <v>46</v>
      </c>
      <c r="T1287" t="s">
        <v>46</v>
      </c>
      <c r="U1287" s="4">
        <v>1193.25</v>
      </c>
      <c r="V1287" t="str">
        <f t="shared" si="20"/>
        <v>-060</v>
      </c>
      <c r="W1287" t="str">
        <f>VLOOKUP(K1287,[1]Info!A$1:B$21,2,0)</f>
        <v>Carboval</v>
      </c>
      <c r="X1287" t="str">
        <f>IF(M1287="109595132","Material de Limpeza-Não Avaliar",IF(AND(K1287="F20",M1287&lt;&gt;109595132),IF(RIGHT(F1287,2)="70","Infraestrutura de Planta","Prédios e Instalações"),IF(K1287="FPC",VLOOKUP(F1287,[1]Info!$E$2:$F$11,2,0),IF(K1287="FGP",VLOOKUP(F1287,[1]Info!$E$9:$F$10,2,0),IF(K1287="F10",VLOOKUP(F1287,[1]Info!$E$2:$F$3,2,0),VLOOKUP(K1287,[1]Info!$A$1:$B$21,2,0))))))</f>
        <v>Carboval Diamante</v>
      </c>
    </row>
    <row r="1288" spans="1:24" x14ac:dyDescent="0.35">
      <c r="A1288" t="s">
        <v>41</v>
      </c>
      <c r="B1288" t="s">
        <v>73</v>
      </c>
      <c r="C1288" t="s">
        <v>74</v>
      </c>
      <c r="D1288" t="s">
        <v>100</v>
      </c>
      <c r="E1288" t="s">
        <v>65</v>
      </c>
      <c r="F1288">
        <v>7091770</v>
      </c>
      <c r="G1288" t="s">
        <v>77</v>
      </c>
      <c r="H1288" t="s">
        <v>43</v>
      </c>
      <c r="I1288" t="s">
        <v>44</v>
      </c>
      <c r="J1288" t="s">
        <v>78</v>
      </c>
      <c r="K1288" t="s">
        <v>0</v>
      </c>
      <c r="L1288" t="s">
        <v>51</v>
      </c>
      <c r="M1288" t="s">
        <v>1219</v>
      </c>
      <c r="N1288" t="s">
        <v>1220</v>
      </c>
      <c r="O1288" t="s">
        <v>1211</v>
      </c>
      <c r="P1288" t="s">
        <v>1292</v>
      </c>
      <c r="Q1288" t="s">
        <v>46</v>
      </c>
      <c r="R1288" t="s">
        <v>47</v>
      </c>
      <c r="S1288" t="s">
        <v>46</v>
      </c>
      <c r="T1288" t="s">
        <v>46</v>
      </c>
      <c r="U1288" s="4">
        <v>3579.76</v>
      </c>
      <c r="V1288" t="str">
        <f t="shared" si="20"/>
        <v>-095</v>
      </c>
      <c r="W1288" t="str">
        <f>VLOOKUP(K1288,[1]Info!A$1:B$21,2,0)</f>
        <v>Carboval</v>
      </c>
      <c r="X1288" t="str">
        <f>IF(M1288="109595132","Material de Limpeza-Não Avaliar",IF(AND(K1288="F20",M1288&lt;&gt;109595132),IF(RIGHT(F1288,2)="70","Infraestrutura de Planta","Prédios e Instalações"),IF(K1288="FPC",VLOOKUP(F1288,[1]Info!$E$2:$F$11,2,0),IF(K1288="FGP",VLOOKUP(F1288,[1]Info!$E$9:$F$10,2,0),IF(K1288="F10",VLOOKUP(F1288,[1]Info!$E$2:$F$3,2,0),VLOOKUP(K1288,[1]Info!$A$1:$B$21,2,0))))))</f>
        <v>Carboval Diamante</v>
      </c>
    </row>
    <row r="1289" spans="1:24" x14ac:dyDescent="0.35">
      <c r="A1289" t="s">
        <v>41</v>
      </c>
      <c r="B1289" t="s">
        <v>73</v>
      </c>
      <c r="C1289" t="s">
        <v>74</v>
      </c>
      <c r="D1289" t="s">
        <v>100</v>
      </c>
      <c r="E1289" t="s">
        <v>65</v>
      </c>
      <c r="F1289">
        <v>7091770</v>
      </c>
      <c r="G1289" t="s">
        <v>77</v>
      </c>
      <c r="H1289" t="s">
        <v>43</v>
      </c>
      <c r="I1289" t="s">
        <v>44</v>
      </c>
      <c r="J1289" t="s">
        <v>78</v>
      </c>
      <c r="K1289" t="s">
        <v>0</v>
      </c>
      <c r="L1289" t="s">
        <v>51</v>
      </c>
      <c r="M1289" t="s">
        <v>2065</v>
      </c>
      <c r="N1289" t="s">
        <v>2066</v>
      </c>
      <c r="O1289" t="s">
        <v>1540</v>
      </c>
      <c r="P1289" t="s">
        <v>1292</v>
      </c>
      <c r="Q1289" t="s">
        <v>46</v>
      </c>
      <c r="R1289" t="s">
        <v>47</v>
      </c>
      <c r="S1289" t="s">
        <v>46</v>
      </c>
      <c r="T1289" t="s">
        <v>46</v>
      </c>
      <c r="U1289" s="4">
        <v>132.58000000000001</v>
      </c>
      <c r="V1289" t="str">
        <f t="shared" si="20"/>
        <v>0060</v>
      </c>
      <c r="W1289" t="str">
        <f>VLOOKUP(K1289,[1]Info!A$1:B$21,2,0)</f>
        <v>Carboval</v>
      </c>
      <c r="X1289" t="str">
        <f>IF(M1289="109595132","Material de Limpeza-Não Avaliar",IF(AND(K1289="F20",M1289&lt;&gt;109595132),IF(RIGHT(F1289,2)="70","Infraestrutura de Planta","Prédios e Instalações"),IF(K1289="FPC",VLOOKUP(F1289,[1]Info!$E$2:$F$11,2,0),IF(K1289="FGP",VLOOKUP(F1289,[1]Info!$E$9:$F$10,2,0),IF(K1289="F10",VLOOKUP(F1289,[1]Info!$E$2:$F$3,2,0),VLOOKUP(K1289,[1]Info!$A$1:$B$21,2,0))))))</f>
        <v>Carboval Diamante</v>
      </c>
    </row>
    <row r="1290" spans="1:24" x14ac:dyDescent="0.35">
      <c r="A1290" t="s">
        <v>41</v>
      </c>
      <c r="B1290" t="s">
        <v>73</v>
      </c>
      <c r="C1290" t="s">
        <v>74</v>
      </c>
      <c r="D1290" t="s">
        <v>100</v>
      </c>
      <c r="E1290" t="s">
        <v>65</v>
      </c>
      <c r="F1290">
        <v>7091770</v>
      </c>
      <c r="G1290" t="s">
        <v>77</v>
      </c>
      <c r="H1290" t="s">
        <v>43</v>
      </c>
      <c r="I1290" t="s">
        <v>44</v>
      </c>
      <c r="J1290" t="s">
        <v>78</v>
      </c>
      <c r="K1290" t="s">
        <v>0</v>
      </c>
      <c r="L1290" t="s">
        <v>51</v>
      </c>
      <c r="M1290" t="s">
        <v>1058</v>
      </c>
      <c r="N1290" t="s">
        <v>1059</v>
      </c>
      <c r="O1290" t="s">
        <v>1060</v>
      </c>
      <c r="P1290" t="s">
        <v>1292</v>
      </c>
      <c r="Q1290" t="s">
        <v>46</v>
      </c>
      <c r="R1290" t="s">
        <v>47</v>
      </c>
      <c r="S1290" t="s">
        <v>46</v>
      </c>
      <c r="T1290" t="s">
        <v>46</v>
      </c>
      <c r="U1290" s="4">
        <v>3139.36</v>
      </c>
      <c r="V1290" t="str">
        <f t="shared" si="20"/>
        <v>0005</v>
      </c>
      <c r="W1290" t="str">
        <f>VLOOKUP(K1290,[1]Info!A$1:B$21,2,0)</f>
        <v>Carboval</v>
      </c>
      <c r="X1290" t="str">
        <f>IF(M1290="109595132","Material de Limpeza-Não Avaliar",IF(AND(K1290="F20",M1290&lt;&gt;109595132),IF(RIGHT(F1290,2)="70","Infraestrutura de Planta","Prédios e Instalações"),IF(K1290="FPC",VLOOKUP(F1290,[1]Info!$E$2:$F$11,2,0),IF(K1290="FGP",VLOOKUP(F1290,[1]Info!$E$9:$F$10,2,0),IF(K1290="F10",VLOOKUP(F1290,[1]Info!$E$2:$F$3,2,0),VLOOKUP(K1290,[1]Info!$A$1:$B$21,2,0))))))</f>
        <v>Carboval Diamante</v>
      </c>
    </row>
    <row r="1291" spans="1:24" x14ac:dyDescent="0.35">
      <c r="A1291" t="s">
        <v>41</v>
      </c>
      <c r="B1291" t="s">
        <v>73</v>
      </c>
      <c r="C1291" t="s">
        <v>74</v>
      </c>
      <c r="D1291" t="s">
        <v>100</v>
      </c>
      <c r="E1291" t="s">
        <v>65</v>
      </c>
      <c r="F1291">
        <v>7091770</v>
      </c>
      <c r="G1291" t="s">
        <v>77</v>
      </c>
      <c r="H1291" t="s">
        <v>43</v>
      </c>
      <c r="I1291" t="s">
        <v>44</v>
      </c>
      <c r="J1291" t="s">
        <v>78</v>
      </c>
      <c r="K1291" t="s">
        <v>0</v>
      </c>
      <c r="L1291" t="s">
        <v>51</v>
      </c>
      <c r="M1291" t="s">
        <v>2067</v>
      </c>
      <c r="N1291" t="s">
        <v>2068</v>
      </c>
      <c r="O1291" t="s">
        <v>1540</v>
      </c>
      <c r="P1291" t="s">
        <v>1292</v>
      </c>
      <c r="Q1291" t="s">
        <v>46</v>
      </c>
      <c r="R1291" t="s">
        <v>47</v>
      </c>
      <c r="S1291" t="s">
        <v>46</v>
      </c>
      <c r="T1291" t="s">
        <v>46</v>
      </c>
      <c r="U1291" s="4">
        <v>132.58000000000001</v>
      </c>
      <c r="V1291" t="str">
        <f t="shared" si="20"/>
        <v>0060</v>
      </c>
      <c r="W1291" t="str">
        <f>VLOOKUP(K1291,[1]Info!A$1:B$21,2,0)</f>
        <v>Carboval</v>
      </c>
      <c r="X1291" t="str">
        <f>IF(M1291="109595132","Material de Limpeza-Não Avaliar",IF(AND(K1291="F20",M1291&lt;&gt;109595132),IF(RIGHT(F1291,2)="70","Infraestrutura de Planta","Prédios e Instalações"),IF(K1291="FPC",VLOOKUP(F1291,[1]Info!$E$2:$F$11,2,0),IF(K1291="FGP",VLOOKUP(F1291,[1]Info!$E$9:$F$10,2,0),IF(K1291="F10",VLOOKUP(F1291,[1]Info!$E$2:$F$3,2,0),VLOOKUP(K1291,[1]Info!$A$1:$B$21,2,0))))))</f>
        <v>Carboval Diamante</v>
      </c>
    </row>
    <row r="1292" spans="1:24" x14ac:dyDescent="0.35">
      <c r="A1292" t="s">
        <v>41</v>
      </c>
      <c r="B1292" t="s">
        <v>73</v>
      </c>
      <c r="C1292" t="s">
        <v>74</v>
      </c>
      <c r="D1292" t="s">
        <v>100</v>
      </c>
      <c r="E1292" t="s">
        <v>65</v>
      </c>
      <c r="F1292">
        <v>7091770</v>
      </c>
      <c r="G1292" t="s">
        <v>77</v>
      </c>
      <c r="H1292" t="s">
        <v>43</v>
      </c>
      <c r="I1292" t="s">
        <v>44</v>
      </c>
      <c r="J1292" t="s">
        <v>78</v>
      </c>
      <c r="K1292" t="s">
        <v>0</v>
      </c>
      <c r="L1292" t="s">
        <v>51</v>
      </c>
      <c r="M1292" t="s">
        <v>2069</v>
      </c>
      <c r="N1292" t="s">
        <v>2070</v>
      </c>
      <c r="O1292" t="s">
        <v>1540</v>
      </c>
      <c r="P1292" t="s">
        <v>1292</v>
      </c>
      <c r="Q1292" t="s">
        <v>46</v>
      </c>
      <c r="R1292" t="s">
        <v>47</v>
      </c>
      <c r="S1292" t="s">
        <v>46</v>
      </c>
      <c r="T1292" t="s">
        <v>46</v>
      </c>
      <c r="U1292" s="4">
        <v>44.19</v>
      </c>
      <c r="V1292" t="str">
        <f t="shared" si="20"/>
        <v>0060</v>
      </c>
      <c r="W1292" t="str">
        <f>VLOOKUP(K1292,[1]Info!A$1:B$21,2,0)</f>
        <v>Carboval</v>
      </c>
      <c r="X1292" t="str">
        <f>IF(M1292="109595132","Material de Limpeza-Não Avaliar",IF(AND(K1292="F20",M1292&lt;&gt;109595132),IF(RIGHT(F1292,2)="70","Infraestrutura de Planta","Prédios e Instalações"),IF(K1292="FPC",VLOOKUP(F1292,[1]Info!$E$2:$F$11,2,0),IF(K1292="FGP",VLOOKUP(F1292,[1]Info!$E$9:$F$10,2,0),IF(K1292="F10",VLOOKUP(F1292,[1]Info!$E$2:$F$3,2,0),VLOOKUP(K1292,[1]Info!$A$1:$B$21,2,0))))))</f>
        <v>Carboval Diamante</v>
      </c>
    </row>
    <row r="1293" spans="1:24" x14ac:dyDescent="0.35">
      <c r="A1293" t="s">
        <v>41</v>
      </c>
      <c r="B1293" t="s">
        <v>73</v>
      </c>
      <c r="C1293" t="s">
        <v>74</v>
      </c>
      <c r="D1293" t="s">
        <v>100</v>
      </c>
      <c r="E1293" t="s">
        <v>65</v>
      </c>
      <c r="F1293">
        <v>7091770</v>
      </c>
      <c r="G1293" t="s">
        <v>77</v>
      </c>
      <c r="H1293" t="s">
        <v>43</v>
      </c>
      <c r="I1293" t="s">
        <v>44</v>
      </c>
      <c r="J1293" t="s">
        <v>78</v>
      </c>
      <c r="K1293" t="s">
        <v>0</v>
      </c>
      <c r="L1293" t="s">
        <v>51</v>
      </c>
      <c r="M1293" t="s">
        <v>1221</v>
      </c>
      <c r="N1293" t="s">
        <v>1222</v>
      </c>
      <c r="O1293" t="s">
        <v>1223</v>
      </c>
      <c r="P1293" t="s">
        <v>1292</v>
      </c>
      <c r="Q1293" t="s">
        <v>46</v>
      </c>
      <c r="R1293" t="s">
        <v>47</v>
      </c>
      <c r="S1293" t="s">
        <v>46</v>
      </c>
      <c r="T1293" t="s">
        <v>46</v>
      </c>
      <c r="U1293" s="4">
        <v>309.36</v>
      </c>
      <c r="V1293" t="str">
        <f t="shared" si="20"/>
        <v>0050</v>
      </c>
      <c r="W1293" t="str">
        <f>VLOOKUP(K1293,[1]Info!A$1:B$21,2,0)</f>
        <v>Carboval</v>
      </c>
      <c r="X1293" t="str">
        <f>IF(M1293="109595132","Material de Limpeza-Não Avaliar",IF(AND(K1293="F20",M1293&lt;&gt;109595132),IF(RIGHT(F1293,2)="70","Infraestrutura de Planta","Prédios e Instalações"),IF(K1293="FPC",VLOOKUP(F1293,[1]Info!$E$2:$F$11,2,0),IF(K1293="FGP",VLOOKUP(F1293,[1]Info!$E$9:$F$10,2,0),IF(K1293="F10",VLOOKUP(F1293,[1]Info!$E$2:$F$3,2,0),VLOOKUP(K1293,[1]Info!$A$1:$B$21,2,0))))))</f>
        <v>Carboval Diamante</v>
      </c>
    </row>
    <row r="1294" spans="1:24" x14ac:dyDescent="0.35">
      <c r="A1294" t="s">
        <v>41</v>
      </c>
      <c r="B1294" t="s">
        <v>73</v>
      </c>
      <c r="C1294" t="s">
        <v>74</v>
      </c>
      <c r="D1294" t="s">
        <v>100</v>
      </c>
      <c r="E1294" t="s">
        <v>65</v>
      </c>
      <c r="F1294">
        <v>7091770</v>
      </c>
      <c r="G1294" t="s">
        <v>77</v>
      </c>
      <c r="H1294" t="s">
        <v>43</v>
      </c>
      <c r="I1294" t="s">
        <v>44</v>
      </c>
      <c r="J1294" t="s">
        <v>78</v>
      </c>
      <c r="K1294" t="s">
        <v>0</v>
      </c>
      <c r="L1294" t="s">
        <v>51</v>
      </c>
      <c r="M1294" t="s">
        <v>2071</v>
      </c>
      <c r="N1294" t="s">
        <v>2072</v>
      </c>
      <c r="O1294" t="s">
        <v>1531</v>
      </c>
      <c r="P1294" t="s">
        <v>1292</v>
      </c>
      <c r="Q1294" t="s">
        <v>46</v>
      </c>
      <c r="R1294" t="s">
        <v>47</v>
      </c>
      <c r="S1294" t="s">
        <v>46</v>
      </c>
      <c r="T1294" t="s">
        <v>46</v>
      </c>
      <c r="U1294" s="4">
        <v>353.55</v>
      </c>
      <c r="V1294" t="str">
        <f t="shared" si="20"/>
        <v>0080</v>
      </c>
      <c r="W1294" t="str">
        <f>VLOOKUP(K1294,[1]Info!A$1:B$21,2,0)</f>
        <v>Carboval</v>
      </c>
      <c r="X1294" t="str">
        <f>IF(M1294="109595132","Material de Limpeza-Não Avaliar",IF(AND(K1294="F20",M1294&lt;&gt;109595132),IF(RIGHT(F1294,2)="70","Infraestrutura de Planta","Prédios e Instalações"),IF(K1294="FPC",VLOOKUP(F1294,[1]Info!$E$2:$F$11,2,0),IF(K1294="FGP",VLOOKUP(F1294,[1]Info!$E$9:$F$10,2,0),IF(K1294="F10",VLOOKUP(F1294,[1]Info!$E$2:$F$3,2,0),VLOOKUP(K1294,[1]Info!$A$1:$B$21,2,0))))))</f>
        <v>Carboval Diamante</v>
      </c>
    </row>
    <row r="1295" spans="1:24" x14ac:dyDescent="0.35">
      <c r="A1295" t="s">
        <v>41</v>
      </c>
      <c r="B1295" t="s">
        <v>73</v>
      </c>
      <c r="C1295" t="s">
        <v>74</v>
      </c>
      <c r="D1295" t="s">
        <v>100</v>
      </c>
      <c r="E1295" t="s">
        <v>65</v>
      </c>
      <c r="F1295">
        <v>7091770</v>
      </c>
      <c r="G1295" t="s">
        <v>77</v>
      </c>
      <c r="H1295" t="s">
        <v>43</v>
      </c>
      <c r="I1295" t="s">
        <v>44</v>
      </c>
      <c r="J1295" t="s">
        <v>78</v>
      </c>
      <c r="K1295" t="s">
        <v>0</v>
      </c>
      <c r="L1295" t="s">
        <v>51</v>
      </c>
      <c r="M1295" t="s">
        <v>2073</v>
      </c>
      <c r="N1295" t="s">
        <v>2074</v>
      </c>
      <c r="O1295" t="s">
        <v>1541</v>
      </c>
      <c r="P1295" t="s">
        <v>1292</v>
      </c>
      <c r="Q1295" t="s">
        <v>46</v>
      </c>
      <c r="R1295" t="s">
        <v>47</v>
      </c>
      <c r="S1295" t="s">
        <v>46</v>
      </c>
      <c r="T1295" t="s">
        <v>46</v>
      </c>
      <c r="U1295" s="4">
        <v>441.93</v>
      </c>
      <c r="V1295" t="str">
        <f t="shared" si="20"/>
        <v>0125</v>
      </c>
      <c r="W1295" t="str">
        <f>VLOOKUP(K1295,[1]Info!A$1:B$21,2,0)</f>
        <v>Carboval</v>
      </c>
      <c r="X1295" t="str">
        <f>IF(M1295="109595132","Material de Limpeza-Não Avaliar",IF(AND(K1295="F20",M1295&lt;&gt;109595132),IF(RIGHT(F1295,2)="70","Infraestrutura de Planta","Prédios e Instalações"),IF(K1295="FPC",VLOOKUP(F1295,[1]Info!$E$2:$F$11,2,0),IF(K1295="FGP",VLOOKUP(F1295,[1]Info!$E$9:$F$10,2,0),IF(K1295="F10",VLOOKUP(F1295,[1]Info!$E$2:$F$3,2,0),VLOOKUP(K1295,[1]Info!$A$1:$B$21,2,0))))))</f>
        <v>Carboval Diamante</v>
      </c>
    </row>
    <row r="1296" spans="1:24" x14ac:dyDescent="0.35">
      <c r="A1296" t="s">
        <v>41</v>
      </c>
      <c r="B1296" t="s">
        <v>73</v>
      </c>
      <c r="C1296" t="s">
        <v>74</v>
      </c>
      <c r="D1296" t="s">
        <v>100</v>
      </c>
      <c r="E1296" t="s">
        <v>65</v>
      </c>
      <c r="F1296">
        <v>7091770</v>
      </c>
      <c r="G1296" t="s">
        <v>77</v>
      </c>
      <c r="H1296" t="s">
        <v>43</v>
      </c>
      <c r="I1296" t="s">
        <v>44</v>
      </c>
      <c r="J1296" t="s">
        <v>78</v>
      </c>
      <c r="K1296" t="s">
        <v>0</v>
      </c>
      <c r="L1296" t="s">
        <v>51</v>
      </c>
      <c r="M1296" t="s">
        <v>2075</v>
      </c>
      <c r="N1296" t="s">
        <v>2076</v>
      </c>
      <c r="O1296" t="s">
        <v>1538</v>
      </c>
      <c r="P1296" t="s">
        <v>1292</v>
      </c>
      <c r="Q1296" t="s">
        <v>46</v>
      </c>
      <c r="R1296" t="s">
        <v>47</v>
      </c>
      <c r="S1296" t="s">
        <v>46</v>
      </c>
      <c r="T1296" t="s">
        <v>46</v>
      </c>
      <c r="U1296" s="4">
        <v>220.97</v>
      </c>
      <c r="V1296" t="str">
        <f t="shared" si="20"/>
        <v>-100</v>
      </c>
      <c r="W1296" t="str">
        <f>VLOOKUP(K1296,[1]Info!A$1:B$21,2,0)</f>
        <v>Carboval</v>
      </c>
      <c r="X1296" t="str">
        <f>IF(M1296="109595132","Material de Limpeza-Não Avaliar",IF(AND(K1296="F20",M1296&lt;&gt;109595132),IF(RIGHT(F1296,2)="70","Infraestrutura de Planta","Prédios e Instalações"),IF(K1296="FPC",VLOOKUP(F1296,[1]Info!$E$2:$F$11,2,0),IF(K1296="FGP",VLOOKUP(F1296,[1]Info!$E$9:$F$10,2,0),IF(K1296="F10",VLOOKUP(F1296,[1]Info!$E$2:$F$3,2,0),VLOOKUP(K1296,[1]Info!$A$1:$B$21,2,0))))))</f>
        <v>Carboval Diamante</v>
      </c>
    </row>
    <row r="1297" spans="1:24" x14ac:dyDescent="0.35">
      <c r="A1297" t="s">
        <v>41</v>
      </c>
      <c r="B1297" t="s">
        <v>73</v>
      </c>
      <c r="C1297" t="s">
        <v>74</v>
      </c>
      <c r="D1297" t="s">
        <v>100</v>
      </c>
      <c r="E1297" t="s">
        <v>65</v>
      </c>
      <c r="F1297">
        <v>7091770</v>
      </c>
      <c r="G1297" t="s">
        <v>77</v>
      </c>
      <c r="H1297" t="s">
        <v>43</v>
      </c>
      <c r="I1297" t="s">
        <v>44</v>
      </c>
      <c r="J1297" t="s">
        <v>78</v>
      </c>
      <c r="K1297" t="s">
        <v>0</v>
      </c>
      <c r="L1297" t="s">
        <v>51</v>
      </c>
      <c r="M1297" t="s">
        <v>2077</v>
      </c>
      <c r="N1297" t="s">
        <v>2078</v>
      </c>
      <c r="O1297" t="s">
        <v>1537</v>
      </c>
      <c r="P1297" t="s">
        <v>1292</v>
      </c>
      <c r="Q1297" t="s">
        <v>46</v>
      </c>
      <c r="R1297" t="s">
        <v>47</v>
      </c>
      <c r="S1297" t="s">
        <v>46</v>
      </c>
      <c r="T1297" t="s">
        <v>46</v>
      </c>
      <c r="U1297" s="4">
        <v>265.17</v>
      </c>
      <c r="V1297" t="str">
        <f t="shared" si="20"/>
        <v>-100</v>
      </c>
      <c r="W1297" t="str">
        <f>VLOOKUP(K1297,[1]Info!A$1:B$21,2,0)</f>
        <v>Carboval</v>
      </c>
      <c r="X1297" t="str">
        <f>IF(M1297="109595132","Material de Limpeza-Não Avaliar",IF(AND(K1297="F20",M1297&lt;&gt;109595132),IF(RIGHT(F1297,2)="70","Infraestrutura de Planta","Prédios e Instalações"),IF(K1297="FPC",VLOOKUP(F1297,[1]Info!$E$2:$F$11,2,0),IF(K1297="FGP",VLOOKUP(F1297,[1]Info!$E$9:$F$10,2,0),IF(K1297="F10",VLOOKUP(F1297,[1]Info!$E$2:$F$3,2,0),VLOOKUP(K1297,[1]Info!$A$1:$B$21,2,0))))))</f>
        <v>Carboval Diamante</v>
      </c>
    </row>
    <row r="1298" spans="1:24" x14ac:dyDescent="0.35">
      <c r="A1298" t="s">
        <v>41</v>
      </c>
      <c r="B1298" t="s">
        <v>73</v>
      </c>
      <c r="C1298" t="s">
        <v>74</v>
      </c>
      <c r="D1298" t="s">
        <v>100</v>
      </c>
      <c r="E1298" t="s">
        <v>65</v>
      </c>
      <c r="F1298">
        <v>7091770</v>
      </c>
      <c r="G1298" t="s">
        <v>77</v>
      </c>
      <c r="H1298" t="s">
        <v>43</v>
      </c>
      <c r="I1298" t="s">
        <v>44</v>
      </c>
      <c r="J1298" t="s">
        <v>78</v>
      </c>
      <c r="K1298" t="s">
        <v>0</v>
      </c>
      <c r="L1298" t="s">
        <v>51</v>
      </c>
      <c r="M1298" t="s">
        <v>2079</v>
      </c>
      <c r="N1298" t="s">
        <v>2080</v>
      </c>
      <c r="O1298" t="s">
        <v>1535</v>
      </c>
      <c r="P1298" t="s">
        <v>1292</v>
      </c>
      <c r="Q1298" t="s">
        <v>46</v>
      </c>
      <c r="R1298" t="s">
        <v>47</v>
      </c>
      <c r="S1298" t="s">
        <v>46</v>
      </c>
      <c r="T1298" t="s">
        <v>46</v>
      </c>
      <c r="U1298" s="4">
        <v>220.95</v>
      </c>
      <c r="V1298" t="str">
        <f t="shared" si="20"/>
        <v>-100</v>
      </c>
      <c r="W1298" t="str">
        <f>VLOOKUP(K1298,[1]Info!A$1:B$21,2,0)</f>
        <v>Carboval</v>
      </c>
      <c r="X1298" t="str">
        <f>IF(M1298="109595132","Material de Limpeza-Não Avaliar",IF(AND(K1298="F20",M1298&lt;&gt;109595132),IF(RIGHT(F1298,2)="70","Infraestrutura de Planta","Prédios e Instalações"),IF(K1298="FPC",VLOOKUP(F1298,[1]Info!$E$2:$F$11,2,0),IF(K1298="FGP",VLOOKUP(F1298,[1]Info!$E$9:$F$10,2,0),IF(K1298="F10",VLOOKUP(F1298,[1]Info!$E$2:$F$3,2,0),VLOOKUP(K1298,[1]Info!$A$1:$B$21,2,0))))))</f>
        <v>Carboval Diamante</v>
      </c>
    </row>
    <row r="1299" spans="1:24" x14ac:dyDescent="0.35">
      <c r="A1299" t="s">
        <v>41</v>
      </c>
      <c r="B1299" t="s">
        <v>73</v>
      </c>
      <c r="C1299" t="s">
        <v>74</v>
      </c>
      <c r="D1299" t="s">
        <v>100</v>
      </c>
      <c r="E1299" t="s">
        <v>65</v>
      </c>
      <c r="F1299">
        <v>7091770</v>
      </c>
      <c r="G1299" t="s">
        <v>77</v>
      </c>
      <c r="H1299" t="s">
        <v>43</v>
      </c>
      <c r="I1299" t="s">
        <v>44</v>
      </c>
      <c r="J1299" t="s">
        <v>78</v>
      </c>
      <c r="K1299" t="s">
        <v>0</v>
      </c>
      <c r="L1299" t="s">
        <v>51</v>
      </c>
      <c r="M1299" t="s">
        <v>2081</v>
      </c>
      <c r="N1299" t="s">
        <v>2082</v>
      </c>
      <c r="O1299" t="s">
        <v>1532</v>
      </c>
      <c r="P1299" t="s">
        <v>1292</v>
      </c>
      <c r="Q1299" t="s">
        <v>46</v>
      </c>
      <c r="R1299" t="s">
        <v>47</v>
      </c>
      <c r="S1299" t="s">
        <v>46</v>
      </c>
      <c r="T1299" t="s">
        <v>46</v>
      </c>
      <c r="U1299" s="4">
        <v>309.36</v>
      </c>
      <c r="V1299" t="str">
        <f t="shared" si="20"/>
        <v>-045</v>
      </c>
      <c r="W1299" t="str">
        <f>VLOOKUP(K1299,[1]Info!A$1:B$21,2,0)</f>
        <v>Carboval</v>
      </c>
      <c r="X1299" t="str">
        <f>IF(M1299="109595132","Material de Limpeza-Não Avaliar",IF(AND(K1299="F20",M1299&lt;&gt;109595132),IF(RIGHT(F1299,2)="70","Infraestrutura de Planta","Prédios e Instalações"),IF(K1299="FPC",VLOOKUP(F1299,[1]Info!$E$2:$F$11,2,0),IF(K1299="FGP",VLOOKUP(F1299,[1]Info!$E$9:$F$10,2,0),IF(K1299="F10",VLOOKUP(F1299,[1]Info!$E$2:$F$3,2,0),VLOOKUP(K1299,[1]Info!$A$1:$B$21,2,0))))))</f>
        <v>Carboval Diamante</v>
      </c>
    </row>
    <row r="1300" spans="1:24" x14ac:dyDescent="0.35">
      <c r="A1300" t="s">
        <v>41</v>
      </c>
      <c r="B1300" t="s">
        <v>73</v>
      </c>
      <c r="C1300" t="s">
        <v>74</v>
      </c>
      <c r="D1300" t="s">
        <v>100</v>
      </c>
      <c r="E1300" t="s">
        <v>65</v>
      </c>
      <c r="F1300">
        <v>7091770</v>
      </c>
      <c r="G1300" t="s">
        <v>77</v>
      </c>
      <c r="H1300" t="s">
        <v>43</v>
      </c>
      <c r="I1300" t="s">
        <v>44</v>
      </c>
      <c r="J1300" t="s">
        <v>78</v>
      </c>
      <c r="K1300" t="s">
        <v>0</v>
      </c>
      <c r="L1300" t="s">
        <v>51</v>
      </c>
      <c r="M1300" t="s">
        <v>2083</v>
      </c>
      <c r="N1300" t="s">
        <v>2084</v>
      </c>
      <c r="O1300" t="s">
        <v>1540</v>
      </c>
      <c r="P1300" t="s">
        <v>1292</v>
      </c>
      <c r="Q1300" t="s">
        <v>46</v>
      </c>
      <c r="R1300" t="s">
        <v>47</v>
      </c>
      <c r="S1300" t="s">
        <v>46</v>
      </c>
      <c r="T1300" t="s">
        <v>46</v>
      </c>
      <c r="U1300" s="4">
        <v>265.17</v>
      </c>
      <c r="V1300" t="str">
        <f t="shared" si="20"/>
        <v>0060</v>
      </c>
      <c r="W1300" t="str">
        <f>VLOOKUP(K1300,[1]Info!A$1:B$21,2,0)</f>
        <v>Carboval</v>
      </c>
      <c r="X1300" t="str">
        <f>IF(M1300="109595132","Material de Limpeza-Não Avaliar",IF(AND(K1300="F20",M1300&lt;&gt;109595132),IF(RIGHT(F1300,2)="70","Infraestrutura de Planta","Prédios e Instalações"),IF(K1300="FPC",VLOOKUP(F1300,[1]Info!$E$2:$F$11,2,0),IF(K1300="FGP",VLOOKUP(F1300,[1]Info!$E$9:$F$10,2,0),IF(K1300="F10",VLOOKUP(F1300,[1]Info!$E$2:$F$3,2,0),VLOOKUP(K1300,[1]Info!$A$1:$B$21,2,0))))))</f>
        <v>Carboval Diamante</v>
      </c>
    </row>
    <row r="1301" spans="1:24" x14ac:dyDescent="0.35">
      <c r="A1301" t="s">
        <v>41</v>
      </c>
      <c r="B1301" t="s">
        <v>73</v>
      </c>
      <c r="C1301" t="s">
        <v>74</v>
      </c>
      <c r="D1301" t="s">
        <v>100</v>
      </c>
      <c r="E1301" t="s">
        <v>65</v>
      </c>
      <c r="F1301">
        <v>7091770</v>
      </c>
      <c r="G1301" t="s">
        <v>77</v>
      </c>
      <c r="H1301" t="s">
        <v>43</v>
      </c>
      <c r="I1301" t="s">
        <v>44</v>
      </c>
      <c r="J1301" t="s">
        <v>78</v>
      </c>
      <c r="K1301" t="s">
        <v>0</v>
      </c>
      <c r="L1301" t="s">
        <v>51</v>
      </c>
      <c r="M1301" t="s">
        <v>391</v>
      </c>
      <c r="N1301" t="s">
        <v>392</v>
      </c>
      <c r="O1301" t="s">
        <v>358</v>
      </c>
      <c r="P1301" t="s">
        <v>1292</v>
      </c>
      <c r="Q1301" t="s">
        <v>46</v>
      </c>
      <c r="R1301" t="s">
        <v>47</v>
      </c>
      <c r="S1301" t="s">
        <v>46</v>
      </c>
      <c r="T1301" t="s">
        <v>46</v>
      </c>
      <c r="U1301" s="4">
        <v>309.36</v>
      </c>
      <c r="V1301" t="str">
        <f t="shared" si="20"/>
        <v>0050</v>
      </c>
      <c r="W1301" t="str">
        <f>VLOOKUP(K1301,[1]Info!A$1:B$21,2,0)</f>
        <v>Carboval</v>
      </c>
      <c r="X1301" t="str">
        <f>IF(M1301="109595132","Material de Limpeza-Não Avaliar",IF(AND(K1301="F20",M1301&lt;&gt;109595132),IF(RIGHT(F1301,2)="70","Infraestrutura de Planta","Prédios e Instalações"),IF(K1301="FPC",VLOOKUP(F1301,[1]Info!$E$2:$F$11,2,0),IF(K1301="FGP",VLOOKUP(F1301,[1]Info!$E$9:$F$10,2,0),IF(K1301="F10",VLOOKUP(F1301,[1]Info!$E$2:$F$3,2,0),VLOOKUP(K1301,[1]Info!$A$1:$B$21,2,0))))))</f>
        <v>Carboval Diamante</v>
      </c>
    </row>
    <row r="1302" spans="1:24" x14ac:dyDescent="0.35">
      <c r="A1302" t="s">
        <v>41</v>
      </c>
      <c r="B1302" t="s">
        <v>73</v>
      </c>
      <c r="C1302" t="s">
        <v>74</v>
      </c>
      <c r="D1302" t="s">
        <v>100</v>
      </c>
      <c r="E1302" t="s">
        <v>65</v>
      </c>
      <c r="F1302">
        <v>7091770</v>
      </c>
      <c r="G1302" t="s">
        <v>77</v>
      </c>
      <c r="H1302" t="s">
        <v>43</v>
      </c>
      <c r="I1302" t="s">
        <v>44</v>
      </c>
      <c r="J1302" t="s">
        <v>78</v>
      </c>
      <c r="K1302" t="s">
        <v>0</v>
      </c>
      <c r="L1302" t="s">
        <v>51</v>
      </c>
      <c r="M1302" t="s">
        <v>2085</v>
      </c>
      <c r="N1302" t="s">
        <v>2086</v>
      </c>
      <c r="O1302" t="s">
        <v>1539</v>
      </c>
      <c r="P1302" t="s">
        <v>1292</v>
      </c>
      <c r="Q1302" t="s">
        <v>46</v>
      </c>
      <c r="R1302" t="s">
        <v>47</v>
      </c>
      <c r="S1302" t="s">
        <v>46</v>
      </c>
      <c r="T1302" t="s">
        <v>46</v>
      </c>
      <c r="U1302" s="4">
        <v>57.45</v>
      </c>
      <c r="V1302" t="str">
        <f t="shared" si="20"/>
        <v>0040</v>
      </c>
      <c r="W1302" t="str">
        <f>VLOOKUP(K1302,[1]Info!A$1:B$21,2,0)</f>
        <v>Carboval</v>
      </c>
      <c r="X1302" t="str">
        <f>IF(M1302="109595132","Material de Limpeza-Não Avaliar",IF(AND(K1302="F20",M1302&lt;&gt;109595132),IF(RIGHT(F1302,2)="70","Infraestrutura de Planta","Prédios e Instalações"),IF(K1302="FPC",VLOOKUP(F1302,[1]Info!$E$2:$F$11,2,0),IF(K1302="FGP",VLOOKUP(F1302,[1]Info!$E$9:$F$10,2,0),IF(K1302="F10",VLOOKUP(F1302,[1]Info!$E$2:$F$3,2,0),VLOOKUP(K1302,[1]Info!$A$1:$B$21,2,0))))))</f>
        <v>Carboval Diamante</v>
      </c>
    </row>
    <row r="1303" spans="1:24" x14ac:dyDescent="0.35">
      <c r="A1303" t="s">
        <v>41</v>
      </c>
      <c r="B1303" t="s">
        <v>73</v>
      </c>
      <c r="C1303" t="s">
        <v>74</v>
      </c>
      <c r="D1303" t="s">
        <v>100</v>
      </c>
      <c r="E1303" t="s">
        <v>65</v>
      </c>
      <c r="F1303">
        <v>7091670</v>
      </c>
      <c r="G1303" t="s">
        <v>1864</v>
      </c>
      <c r="H1303" t="s">
        <v>43</v>
      </c>
      <c r="I1303" t="s">
        <v>44</v>
      </c>
      <c r="J1303" t="s">
        <v>1573</v>
      </c>
      <c r="K1303" t="s">
        <v>6</v>
      </c>
      <c r="L1303" t="s">
        <v>62</v>
      </c>
      <c r="M1303" t="s">
        <v>2087</v>
      </c>
      <c r="N1303" t="s">
        <v>2088</v>
      </c>
      <c r="O1303" t="s">
        <v>1574</v>
      </c>
      <c r="P1303" t="s">
        <v>1292</v>
      </c>
      <c r="Q1303" t="s">
        <v>46</v>
      </c>
      <c r="R1303" t="s">
        <v>47</v>
      </c>
      <c r="S1303" t="s">
        <v>46</v>
      </c>
      <c r="T1303" t="s">
        <v>46</v>
      </c>
      <c r="U1303" s="4">
        <v>139.52000000000001</v>
      </c>
      <c r="V1303" t="str">
        <f t="shared" si="20"/>
        <v>BSTC</v>
      </c>
      <c r="W1303" t="str">
        <f>VLOOKUP(K1303,[1]Info!A$1:B$21,2,0)</f>
        <v>Equipamentos Carbonização</v>
      </c>
      <c r="X1303" t="str">
        <f>IF(M1303="109595132","Material de Limpeza-Não Avaliar",IF(AND(K1303="F20",M1303&lt;&gt;109595132),IF(RIGHT(F1303,2)="70","Infraestrutura de Planta","Prédios e Instalações"),IF(K1303="FPC",VLOOKUP(F1303,[1]Info!$E$2:$F$11,2,0),IF(K1303="FGP",VLOOKUP(F1303,[1]Info!$E$9:$F$10,2,0),IF(K1303="F10",VLOOKUP(F1303,[1]Info!$E$2:$F$3,2,0),VLOOKUP(K1303,[1]Info!$A$1:$B$21,2,0))))))</f>
        <v>Equipamentos Carbonização</v>
      </c>
    </row>
    <row r="1304" spans="1:24" x14ac:dyDescent="0.35">
      <c r="A1304" t="s">
        <v>41</v>
      </c>
      <c r="B1304" t="s">
        <v>73</v>
      </c>
      <c r="C1304" t="s">
        <v>74</v>
      </c>
      <c r="D1304" t="s">
        <v>100</v>
      </c>
      <c r="E1304" t="s">
        <v>65</v>
      </c>
      <c r="F1304">
        <v>7091670</v>
      </c>
      <c r="G1304" t="s">
        <v>1864</v>
      </c>
      <c r="H1304" t="s">
        <v>43</v>
      </c>
      <c r="I1304" t="s">
        <v>44</v>
      </c>
      <c r="J1304" t="s">
        <v>1573</v>
      </c>
      <c r="K1304" t="s">
        <v>6</v>
      </c>
      <c r="L1304" t="s">
        <v>62</v>
      </c>
      <c r="M1304" t="s">
        <v>2089</v>
      </c>
      <c r="N1304" t="s">
        <v>2088</v>
      </c>
      <c r="O1304" t="s">
        <v>1574</v>
      </c>
      <c r="P1304" t="s">
        <v>1292</v>
      </c>
      <c r="Q1304" t="s">
        <v>46</v>
      </c>
      <c r="R1304" t="s">
        <v>47</v>
      </c>
      <c r="S1304" t="s">
        <v>46</v>
      </c>
      <c r="T1304" t="s">
        <v>46</v>
      </c>
      <c r="U1304" s="4">
        <v>348.82</v>
      </c>
      <c r="V1304" t="str">
        <f t="shared" si="20"/>
        <v>BSTC</v>
      </c>
      <c r="W1304" t="str">
        <f>VLOOKUP(K1304,[1]Info!A$1:B$21,2,0)</f>
        <v>Equipamentos Carbonização</v>
      </c>
      <c r="X1304" t="str">
        <f>IF(M1304="109595132","Material de Limpeza-Não Avaliar",IF(AND(K1304="F20",M1304&lt;&gt;109595132),IF(RIGHT(F1304,2)="70","Infraestrutura de Planta","Prédios e Instalações"),IF(K1304="FPC",VLOOKUP(F1304,[1]Info!$E$2:$F$11,2,0),IF(K1304="FGP",VLOOKUP(F1304,[1]Info!$E$9:$F$10,2,0),IF(K1304="F10",VLOOKUP(F1304,[1]Info!$E$2:$F$3,2,0),VLOOKUP(K1304,[1]Info!$A$1:$B$21,2,0))))))</f>
        <v>Equipamentos Carbonização</v>
      </c>
    </row>
    <row r="1305" spans="1:24" x14ac:dyDescent="0.35">
      <c r="A1305" t="s">
        <v>41</v>
      </c>
      <c r="B1305" t="s">
        <v>73</v>
      </c>
      <c r="C1305" t="s">
        <v>74</v>
      </c>
      <c r="D1305" t="s">
        <v>100</v>
      </c>
      <c r="E1305" t="s">
        <v>65</v>
      </c>
      <c r="F1305">
        <v>7091670</v>
      </c>
      <c r="G1305" t="s">
        <v>1864</v>
      </c>
      <c r="H1305" t="s">
        <v>43</v>
      </c>
      <c r="I1305" t="s">
        <v>44</v>
      </c>
      <c r="J1305" t="s">
        <v>1573</v>
      </c>
      <c r="K1305" t="s">
        <v>6</v>
      </c>
      <c r="L1305" t="s">
        <v>51</v>
      </c>
      <c r="M1305" t="s">
        <v>2090</v>
      </c>
      <c r="N1305" t="s">
        <v>2091</v>
      </c>
      <c r="O1305" t="s">
        <v>1575</v>
      </c>
      <c r="P1305" t="s">
        <v>1292</v>
      </c>
      <c r="Q1305" t="s">
        <v>46</v>
      </c>
      <c r="R1305" t="s">
        <v>47</v>
      </c>
      <c r="S1305" t="s">
        <v>46</v>
      </c>
      <c r="T1305" t="s">
        <v>46</v>
      </c>
      <c r="U1305" s="4">
        <v>2385.9299999999998</v>
      </c>
      <c r="V1305" t="str">
        <f t="shared" si="20"/>
        <v>0050</v>
      </c>
      <c r="W1305" t="str">
        <f>VLOOKUP(K1305,[1]Info!A$1:B$21,2,0)</f>
        <v>Equipamentos Carbonização</v>
      </c>
      <c r="X1305" t="str">
        <f>IF(M1305="109595132","Material de Limpeza-Não Avaliar",IF(AND(K1305="F20",M1305&lt;&gt;109595132),IF(RIGHT(F1305,2)="70","Infraestrutura de Planta","Prédios e Instalações"),IF(K1305="FPC",VLOOKUP(F1305,[1]Info!$E$2:$F$11,2,0),IF(K1305="FGP",VLOOKUP(F1305,[1]Info!$E$9:$F$10,2,0),IF(K1305="F10",VLOOKUP(F1305,[1]Info!$E$2:$F$3,2,0),VLOOKUP(K1305,[1]Info!$A$1:$B$21,2,0))))))</f>
        <v>Equipamentos Carbonização</v>
      </c>
    </row>
    <row r="1306" spans="1:24" x14ac:dyDescent="0.35">
      <c r="A1306" t="s">
        <v>41</v>
      </c>
      <c r="B1306" t="s">
        <v>73</v>
      </c>
      <c r="C1306" t="s">
        <v>74</v>
      </c>
      <c r="D1306" t="s">
        <v>100</v>
      </c>
      <c r="E1306" t="s">
        <v>65</v>
      </c>
      <c r="F1306">
        <v>7091670</v>
      </c>
      <c r="G1306" t="s">
        <v>1864</v>
      </c>
      <c r="H1306" t="s">
        <v>43</v>
      </c>
      <c r="I1306" t="s">
        <v>44</v>
      </c>
      <c r="J1306" t="s">
        <v>1573</v>
      </c>
      <c r="K1306" t="s">
        <v>6</v>
      </c>
      <c r="L1306" t="s">
        <v>51</v>
      </c>
      <c r="M1306" t="s">
        <v>2092</v>
      </c>
      <c r="N1306" t="s">
        <v>2093</v>
      </c>
      <c r="O1306" t="s">
        <v>1576</v>
      </c>
      <c r="P1306" t="s">
        <v>1292</v>
      </c>
      <c r="Q1306" t="s">
        <v>46</v>
      </c>
      <c r="R1306" t="s">
        <v>47</v>
      </c>
      <c r="S1306" t="s">
        <v>46</v>
      </c>
      <c r="T1306" t="s">
        <v>46</v>
      </c>
      <c r="U1306" s="4">
        <v>599.96</v>
      </c>
      <c r="V1306" t="str">
        <f t="shared" si="20"/>
        <v>-005</v>
      </c>
      <c r="W1306" t="str">
        <f>VLOOKUP(K1306,[1]Info!A$1:B$21,2,0)</f>
        <v>Equipamentos Carbonização</v>
      </c>
      <c r="X1306" t="str">
        <f>IF(M1306="109595132","Material de Limpeza-Não Avaliar",IF(AND(K1306="F20",M1306&lt;&gt;109595132),IF(RIGHT(F1306,2)="70","Infraestrutura de Planta","Prédios e Instalações"),IF(K1306="FPC",VLOOKUP(F1306,[1]Info!$E$2:$F$11,2,0),IF(K1306="FGP",VLOOKUP(F1306,[1]Info!$E$9:$F$10,2,0),IF(K1306="F10",VLOOKUP(F1306,[1]Info!$E$2:$F$3,2,0),VLOOKUP(K1306,[1]Info!$A$1:$B$21,2,0))))))</f>
        <v>Equipamentos Carbonização</v>
      </c>
    </row>
    <row r="1307" spans="1:24" x14ac:dyDescent="0.35">
      <c r="A1307" t="s">
        <v>41</v>
      </c>
      <c r="B1307" t="s">
        <v>73</v>
      </c>
      <c r="C1307" t="s">
        <v>74</v>
      </c>
      <c r="D1307" t="s">
        <v>100</v>
      </c>
      <c r="E1307" t="s">
        <v>65</v>
      </c>
      <c r="F1307">
        <v>7091570</v>
      </c>
      <c r="G1307" t="s">
        <v>1096</v>
      </c>
      <c r="H1307" t="s">
        <v>43</v>
      </c>
      <c r="I1307" t="s">
        <v>44</v>
      </c>
      <c r="J1307" t="s">
        <v>79</v>
      </c>
      <c r="K1307" t="s">
        <v>6</v>
      </c>
      <c r="L1307" t="s">
        <v>62</v>
      </c>
      <c r="M1307" t="s">
        <v>2094</v>
      </c>
      <c r="N1307" t="s">
        <v>2095</v>
      </c>
      <c r="O1307" t="s">
        <v>1563</v>
      </c>
      <c r="P1307" t="s">
        <v>1292</v>
      </c>
      <c r="Q1307" t="s">
        <v>46</v>
      </c>
      <c r="R1307" t="s">
        <v>47</v>
      </c>
      <c r="S1307" t="s">
        <v>46</v>
      </c>
      <c r="T1307" t="s">
        <v>46</v>
      </c>
      <c r="U1307" s="4">
        <v>627.87</v>
      </c>
      <c r="V1307" t="str">
        <f t="shared" si="20"/>
        <v>BITP</v>
      </c>
      <c r="W1307" t="str">
        <f>VLOOKUP(K1307,[1]Info!A$1:B$21,2,0)</f>
        <v>Equipamentos Carbonização</v>
      </c>
      <c r="X1307" t="str">
        <f>IF(M1307="109595132","Material de Limpeza-Não Avaliar",IF(AND(K1307="F20",M1307&lt;&gt;109595132),IF(RIGHT(F1307,2)="70","Infraestrutura de Planta","Prédios e Instalações"),IF(K1307="FPC",VLOOKUP(F1307,[1]Info!$E$2:$F$11,2,0),IF(K1307="FGP",VLOOKUP(F1307,[1]Info!$E$9:$F$10,2,0),IF(K1307="F10",VLOOKUP(F1307,[1]Info!$E$2:$F$3,2,0),VLOOKUP(K1307,[1]Info!$A$1:$B$21,2,0))))))</f>
        <v>Equipamentos Carbonização</v>
      </c>
    </row>
    <row r="1308" spans="1:24" x14ac:dyDescent="0.35">
      <c r="A1308" t="s">
        <v>41</v>
      </c>
      <c r="B1308" t="s">
        <v>73</v>
      </c>
      <c r="C1308" t="s">
        <v>74</v>
      </c>
      <c r="D1308" t="s">
        <v>100</v>
      </c>
      <c r="E1308" t="s">
        <v>65</v>
      </c>
      <c r="F1308">
        <v>7091570</v>
      </c>
      <c r="G1308" t="s">
        <v>1096</v>
      </c>
      <c r="H1308" t="s">
        <v>43</v>
      </c>
      <c r="I1308" t="s">
        <v>44</v>
      </c>
      <c r="J1308" t="s">
        <v>79</v>
      </c>
      <c r="K1308" t="s">
        <v>6</v>
      </c>
      <c r="L1308" t="s">
        <v>51</v>
      </c>
      <c r="M1308" t="s">
        <v>1097</v>
      </c>
      <c r="N1308" t="s">
        <v>1098</v>
      </c>
      <c r="O1308" t="s">
        <v>1099</v>
      </c>
      <c r="P1308" t="s">
        <v>1292</v>
      </c>
      <c r="Q1308" t="s">
        <v>46</v>
      </c>
      <c r="R1308" t="s">
        <v>47</v>
      </c>
      <c r="S1308" t="s">
        <v>46</v>
      </c>
      <c r="T1308" t="s">
        <v>46</v>
      </c>
      <c r="U1308" s="4">
        <v>15180.57</v>
      </c>
      <c r="V1308" t="str">
        <f t="shared" si="20"/>
        <v>-005</v>
      </c>
      <c r="W1308" t="str">
        <f>VLOOKUP(K1308,[1]Info!A$1:B$21,2,0)</f>
        <v>Equipamentos Carbonização</v>
      </c>
      <c r="X1308" t="str">
        <f>IF(M1308="109595132","Material de Limpeza-Não Avaliar",IF(AND(K1308="F20",M1308&lt;&gt;109595132),IF(RIGHT(F1308,2)="70","Infraestrutura de Planta","Prédios e Instalações"),IF(K1308="FPC",VLOOKUP(F1308,[1]Info!$E$2:$F$11,2,0),IF(K1308="FGP",VLOOKUP(F1308,[1]Info!$E$9:$F$10,2,0),IF(K1308="F10",VLOOKUP(F1308,[1]Info!$E$2:$F$3,2,0),VLOOKUP(K1308,[1]Info!$A$1:$B$21,2,0))))))</f>
        <v>Equipamentos Carbonização</v>
      </c>
    </row>
    <row r="1309" spans="1:24" x14ac:dyDescent="0.35">
      <c r="A1309" t="s">
        <v>41</v>
      </c>
      <c r="B1309" t="s">
        <v>73</v>
      </c>
      <c r="C1309" t="s">
        <v>74</v>
      </c>
      <c r="D1309" t="s">
        <v>100</v>
      </c>
      <c r="E1309" t="s">
        <v>65</v>
      </c>
      <c r="F1309">
        <v>7091570</v>
      </c>
      <c r="G1309" t="s">
        <v>1096</v>
      </c>
      <c r="H1309" t="s">
        <v>43</v>
      </c>
      <c r="I1309" t="s">
        <v>44</v>
      </c>
      <c r="J1309" t="s">
        <v>79</v>
      </c>
      <c r="K1309" t="s">
        <v>5</v>
      </c>
      <c r="L1309" t="s">
        <v>148</v>
      </c>
      <c r="M1309" t="s">
        <v>2096</v>
      </c>
      <c r="N1309" t="s">
        <v>2097</v>
      </c>
      <c r="O1309" t="s">
        <v>1572</v>
      </c>
      <c r="P1309" t="s">
        <v>1292</v>
      </c>
      <c r="Q1309" t="s">
        <v>46</v>
      </c>
      <c r="R1309" t="s">
        <v>47</v>
      </c>
      <c r="S1309" t="s">
        <v>46</v>
      </c>
      <c r="T1309" t="s">
        <v>46</v>
      </c>
      <c r="U1309" s="4">
        <v>209.29</v>
      </c>
      <c r="V1309" t="str">
        <f t="shared" si="20"/>
        <v>FR39</v>
      </c>
      <c r="W1309" t="str">
        <f>VLOOKUP(K1309,[1]Info!A$1:B$21,2,0)</f>
        <v>Fornos / Carbonização (Setup)</v>
      </c>
      <c r="X1309" t="str">
        <f>IF(M1309="109595132","Material de Limpeza-Não Avaliar",IF(AND(K1309="F20",M1309&lt;&gt;109595132),IF(RIGHT(F1309,2)="70","Infraestrutura de Planta","Prédios e Instalações"),IF(K1309="FPC",VLOOKUP(F1309,[1]Info!$E$2:$F$11,2,0),IF(K1309="FGP",VLOOKUP(F1309,[1]Info!$E$9:$F$10,2,0),IF(K1309="F10",VLOOKUP(F1309,[1]Info!$E$2:$F$3,2,0),VLOOKUP(K1309,[1]Info!$A$1:$B$21,2,0))))))</f>
        <v>Fornos / Carbonização (Setup)</v>
      </c>
    </row>
    <row r="1310" spans="1:24" x14ac:dyDescent="0.35">
      <c r="A1310" t="s">
        <v>41</v>
      </c>
      <c r="B1310" t="s">
        <v>73</v>
      </c>
      <c r="C1310" t="s">
        <v>74</v>
      </c>
      <c r="D1310" t="s">
        <v>100</v>
      </c>
      <c r="E1310" t="s">
        <v>65</v>
      </c>
      <c r="F1310">
        <v>7091570</v>
      </c>
      <c r="G1310" t="s">
        <v>1096</v>
      </c>
      <c r="H1310" t="s">
        <v>43</v>
      </c>
      <c r="I1310" t="s">
        <v>44</v>
      </c>
      <c r="J1310" t="s">
        <v>79</v>
      </c>
      <c r="K1310" t="s">
        <v>5</v>
      </c>
      <c r="L1310" t="s">
        <v>148</v>
      </c>
      <c r="M1310" t="s">
        <v>2098</v>
      </c>
      <c r="N1310" t="s">
        <v>2099</v>
      </c>
      <c r="O1310" t="s">
        <v>1565</v>
      </c>
      <c r="P1310" t="s">
        <v>1292</v>
      </c>
      <c r="Q1310" t="s">
        <v>46</v>
      </c>
      <c r="R1310" t="s">
        <v>47</v>
      </c>
      <c r="S1310" t="s">
        <v>46</v>
      </c>
      <c r="T1310" t="s">
        <v>46</v>
      </c>
      <c r="U1310" s="4">
        <v>627.87</v>
      </c>
      <c r="V1310" t="str">
        <f t="shared" si="20"/>
        <v>-035</v>
      </c>
      <c r="W1310" t="str">
        <f>VLOOKUP(K1310,[1]Info!A$1:B$21,2,0)</f>
        <v>Fornos / Carbonização (Setup)</v>
      </c>
      <c r="X1310" t="str">
        <f>IF(M1310="109595132","Material de Limpeza-Não Avaliar",IF(AND(K1310="F20",M1310&lt;&gt;109595132),IF(RIGHT(F1310,2)="70","Infraestrutura de Planta","Prédios e Instalações"),IF(K1310="FPC",VLOOKUP(F1310,[1]Info!$E$2:$F$11,2,0),IF(K1310="FGP",VLOOKUP(F1310,[1]Info!$E$9:$F$10,2,0),IF(K1310="F10",VLOOKUP(F1310,[1]Info!$E$2:$F$3,2,0),VLOOKUP(K1310,[1]Info!$A$1:$B$21,2,0))))))</f>
        <v>Fornos / Carbonização (Setup)</v>
      </c>
    </row>
    <row r="1311" spans="1:24" x14ac:dyDescent="0.35">
      <c r="A1311" t="s">
        <v>41</v>
      </c>
      <c r="B1311" t="s">
        <v>73</v>
      </c>
      <c r="C1311" t="s">
        <v>74</v>
      </c>
      <c r="D1311" t="s">
        <v>100</v>
      </c>
      <c r="E1311" t="s">
        <v>65</v>
      </c>
      <c r="F1311">
        <v>7091570</v>
      </c>
      <c r="G1311" t="s">
        <v>1096</v>
      </c>
      <c r="H1311" t="s">
        <v>43</v>
      </c>
      <c r="I1311" t="s">
        <v>44</v>
      </c>
      <c r="J1311" t="s">
        <v>79</v>
      </c>
      <c r="K1311" t="s">
        <v>5</v>
      </c>
      <c r="L1311" t="s">
        <v>148</v>
      </c>
      <c r="M1311" t="s">
        <v>2100</v>
      </c>
      <c r="N1311" t="s">
        <v>2101</v>
      </c>
      <c r="O1311" t="s">
        <v>1566</v>
      </c>
      <c r="P1311" t="s">
        <v>1292</v>
      </c>
      <c r="Q1311" t="s">
        <v>46</v>
      </c>
      <c r="R1311" t="s">
        <v>47</v>
      </c>
      <c r="S1311" t="s">
        <v>46</v>
      </c>
      <c r="T1311" t="s">
        <v>46</v>
      </c>
      <c r="U1311" s="4">
        <v>348.82</v>
      </c>
      <c r="V1311" t="str">
        <f t="shared" si="20"/>
        <v>-035</v>
      </c>
      <c r="W1311" t="str">
        <f>VLOOKUP(K1311,[1]Info!A$1:B$21,2,0)</f>
        <v>Fornos / Carbonização (Setup)</v>
      </c>
      <c r="X1311" t="str">
        <f>IF(M1311="109595132","Material de Limpeza-Não Avaliar",IF(AND(K1311="F20",M1311&lt;&gt;109595132),IF(RIGHT(F1311,2)="70","Infraestrutura de Planta","Prédios e Instalações"),IF(K1311="FPC",VLOOKUP(F1311,[1]Info!$E$2:$F$11,2,0),IF(K1311="FGP",VLOOKUP(F1311,[1]Info!$E$9:$F$10,2,0),IF(K1311="F10",VLOOKUP(F1311,[1]Info!$E$2:$F$3,2,0),VLOOKUP(K1311,[1]Info!$A$1:$B$21,2,0))))))</f>
        <v>Fornos / Carbonização (Setup)</v>
      </c>
    </row>
    <row r="1312" spans="1:24" x14ac:dyDescent="0.35">
      <c r="A1312" t="s">
        <v>41</v>
      </c>
      <c r="B1312" t="s">
        <v>73</v>
      </c>
      <c r="C1312" t="s">
        <v>74</v>
      </c>
      <c r="D1312" t="s">
        <v>100</v>
      </c>
      <c r="E1312" t="s">
        <v>65</v>
      </c>
      <c r="F1312">
        <v>7091370</v>
      </c>
      <c r="G1312" t="s">
        <v>242</v>
      </c>
      <c r="H1312" t="s">
        <v>43</v>
      </c>
      <c r="I1312" t="s">
        <v>44</v>
      </c>
      <c r="J1312" t="s">
        <v>50</v>
      </c>
      <c r="K1312" t="s">
        <v>7</v>
      </c>
      <c r="L1312" t="s">
        <v>148</v>
      </c>
      <c r="M1312" t="s">
        <v>2102</v>
      </c>
      <c r="N1312" t="s">
        <v>2103</v>
      </c>
      <c r="O1312" t="s">
        <v>1258</v>
      </c>
      <c r="P1312" t="s">
        <v>1292</v>
      </c>
      <c r="Q1312" t="s">
        <v>46</v>
      </c>
      <c r="R1312" t="s">
        <v>47</v>
      </c>
      <c r="S1312" t="s">
        <v>46</v>
      </c>
      <c r="T1312" t="s">
        <v>46</v>
      </c>
      <c r="U1312" s="4">
        <v>69.760000000000005</v>
      </c>
      <c r="V1312" t="str">
        <f t="shared" si="20"/>
        <v>FR39</v>
      </c>
      <c r="W1312" t="str">
        <f>VLOOKUP(K1312,[1]Info!A$1:B$21,2,0)</f>
        <v>Fornos Retangulares - Engenharia e Obras</v>
      </c>
      <c r="X1312" t="str">
        <f>IF(M1312="109595132","Material de Limpeza-Não Avaliar",IF(AND(K1312="F20",M1312&lt;&gt;109595132),IF(RIGHT(F1312,2)="70","Infraestrutura de Planta","Prédios e Instalações"),IF(K1312="FPC",VLOOKUP(F1312,[1]Info!$E$2:$F$11,2,0),IF(K1312="FGP",VLOOKUP(F1312,[1]Info!$E$9:$F$10,2,0),IF(K1312="F10",VLOOKUP(F1312,[1]Info!$E$2:$F$3,2,0),VLOOKUP(K1312,[1]Info!$A$1:$B$21,2,0))))))</f>
        <v>Fornos Retangulares - Engenharia e Obras</v>
      </c>
    </row>
    <row r="1313" spans="1:24" x14ac:dyDescent="0.35">
      <c r="A1313" t="s">
        <v>41</v>
      </c>
      <c r="B1313" t="s">
        <v>73</v>
      </c>
      <c r="C1313" t="s">
        <v>74</v>
      </c>
      <c r="D1313" t="s">
        <v>100</v>
      </c>
      <c r="E1313" t="s">
        <v>65</v>
      </c>
      <c r="F1313">
        <v>7091370</v>
      </c>
      <c r="G1313" t="s">
        <v>242</v>
      </c>
      <c r="H1313" t="s">
        <v>43</v>
      </c>
      <c r="I1313" t="s">
        <v>44</v>
      </c>
      <c r="J1313" t="s">
        <v>50</v>
      </c>
      <c r="K1313" t="s">
        <v>6</v>
      </c>
      <c r="L1313" t="s">
        <v>62</v>
      </c>
      <c r="M1313" t="s">
        <v>1224</v>
      </c>
      <c r="N1313" t="s">
        <v>1225</v>
      </c>
      <c r="O1313" t="s">
        <v>1226</v>
      </c>
      <c r="P1313" t="s">
        <v>1292</v>
      </c>
      <c r="Q1313" t="s">
        <v>46</v>
      </c>
      <c r="R1313" t="s">
        <v>47</v>
      </c>
      <c r="S1313" t="s">
        <v>46</v>
      </c>
      <c r="T1313" t="s">
        <v>46</v>
      </c>
      <c r="U1313" s="4">
        <v>139.53</v>
      </c>
      <c r="V1313" t="str">
        <f t="shared" si="20"/>
        <v>BPIN</v>
      </c>
      <c r="W1313" t="str">
        <f>VLOOKUP(K1313,[1]Info!A$1:B$21,2,0)</f>
        <v>Equipamentos Carbonização</v>
      </c>
      <c r="X1313" t="str">
        <f>IF(M1313="109595132","Material de Limpeza-Não Avaliar",IF(AND(K1313="F20",M1313&lt;&gt;109595132),IF(RIGHT(F1313,2)="70","Infraestrutura de Planta","Prédios e Instalações"),IF(K1313="FPC",VLOOKUP(F1313,[1]Info!$E$2:$F$11,2,0),IF(K1313="FGP",VLOOKUP(F1313,[1]Info!$E$9:$F$10,2,0),IF(K1313="F10",VLOOKUP(F1313,[1]Info!$E$2:$F$3,2,0),VLOOKUP(K1313,[1]Info!$A$1:$B$21,2,0))))))</f>
        <v>Equipamentos Carbonização</v>
      </c>
    </row>
    <row r="1314" spans="1:24" x14ac:dyDescent="0.35">
      <c r="A1314" t="s">
        <v>41</v>
      </c>
      <c r="B1314" t="s">
        <v>73</v>
      </c>
      <c r="C1314" t="s">
        <v>74</v>
      </c>
      <c r="D1314" t="s">
        <v>100</v>
      </c>
      <c r="E1314" t="s">
        <v>65</v>
      </c>
      <c r="F1314">
        <v>7091370</v>
      </c>
      <c r="G1314" t="s">
        <v>242</v>
      </c>
      <c r="H1314" t="s">
        <v>43</v>
      </c>
      <c r="I1314" t="s">
        <v>44</v>
      </c>
      <c r="J1314" t="s">
        <v>50</v>
      </c>
      <c r="K1314" t="s">
        <v>6</v>
      </c>
      <c r="L1314" t="s">
        <v>51</v>
      </c>
      <c r="M1314" t="s">
        <v>844</v>
      </c>
      <c r="N1314" t="s">
        <v>845</v>
      </c>
      <c r="O1314" t="s">
        <v>846</v>
      </c>
      <c r="P1314" t="s">
        <v>1292</v>
      </c>
      <c r="Q1314" t="s">
        <v>46</v>
      </c>
      <c r="R1314" t="s">
        <v>47</v>
      </c>
      <c r="S1314" t="s">
        <v>46</v>
      </c>
      <c r="T1314" t="s">
        <v>46</v>
      </c>
      <c r="U1314" s="4">
        <v>1674.32</v>
      </c>
      <c r="V1314" t="str">
        <f t="shared" si="20"/>
        <v>-005</v>
      </c>
      <c r="W1314" t="str">
        <f>VLOOKUP(K1314,[1]Info!A$1:B$21,2,0)</f>
        <v>Equipamentos Carbonização</v>
      </c>
      <c r="X1314" t="str">
        <f>IF(M1314="109595132","Material de Limpeza-Não Avaliar",IF(AND(K1314="F20",M1314&lt;&gt;109595132),IF(RIGHT(F1314,2)="70","Infraestrutura de Planta","Prédios e Instalações"),IF(K1314="FPC",VLOOKUP(F1314,[1]Info!$E$2:$F$11,2,0),IF(K1314="FGP",VLOOKUP(F1314,[1]Info!$E$9:$F$10,2,0),IF(K1314="F10",VLOOKUP(F1314,[1]Info!$E$2:$F$3,2,0),VLOOKUP(K1314,[1]Info!$A$1:$B$21,2,0))))))</f>
        <v>Equipamentos Carbonização</v>
      </c>
    </row>
    <row r="1315" spans="1:24" x14ac:dyDescent="0.35">
      <c r="A1315" t="s">
        <v>41</v>
      </c>
      <c r="B1315" t="s">
        <v>73</v>
      </c>
      <c r="C1315" t="s">
        <v>74</v>
      </c>
      <c r="D1315" t="s">
        <v>100</v>
      </c>
      <c r="E1315" t="s">
        <v>65</v>
      </c>
      <c r="F1315">
        <v>7091370</v>
      </c>
      <c r="G1315" t="s">
        <v>242</v>
      </c>
      <c r="H1315" t="s">
        <v>43</v>
      </c>
      <c r="I1315" t="s">
        <v>44</v>
      </c>
      <c r="J1315" t="s">
        <v>50</v>
      </c>
      <c r="K1315" t="s">
        <v>6</v>
      </c>
      <c r="L1315" t="s">
        <v>1560</v>
      </c>
      <c r="M1315" t="s">
        <v>2104</v>
      </c>
      <c r="N1315" t="s">
        <v>2105</v>
      </c>
      <c r="O1315" t="s">
        <v>1561</v>
      </c>
      <c r="P1315" t="s">
        <v>1292</v>
      </c>
      <c r="Q1315" t="s">
        <v>46</v>
      </c>
      <c r="R1315" t="s">
        <v>47</v>
      </c>
      <c r="S1315" t="s">
        <v>46</v>
      </c>
      <c r="T1315" t="s">
        <v>46</v>
      </c>
      <c r="U1315" s="4">
        <v>1465.03</v>
      </c>
      <c r="V1315" t="str">
        <f t="shared" si="20"/>
        <v>C001</v>
      </c>
      <c r="W1315" t="str">
        <f>VLOOKUP(K1315,[1]Info!A$1:B$21,2,0)</f>
        <v>Equipamentos Carbonização</v>
      </c>
      <c r="X1315" t="str">
        <f>IF(M1315="109595132","Material de Limpeza-Não Avaliar",IF(AND(K1315="F20",M1315&lt;&gt;109595132),IF(RIGHT(F1315,2)="70","Infraestrutura de Planta","Prédios e Instalações"),IF(K1315="FPC",VLOOKUP(F1315,[1]Info!$E$2:$F$11,2,0),IF(K1315="FGP",VLOOKUP(F1315,[1]Info!$E$9:$F$10,2,0),IF(K1315="F10",VLOOKUP(F1315,[1]Info!$E$2:$F$3,2,0),VLOOKUP(K1315,[1]Info!$A$1:$B$21,2,0))))))</f>
        <v>Equipamentos Carbonização</v>
      </c>
    </row>
    <row r="1316" spans="1:24" x14ac:dyDescent="0.35">
      <c r="A1316" t="s">
        <v>41</v>
      </c>
      <c r="B1316" t="s">
        <v>73</v>
      </c>
      <c r="C1316" t="s">
        <v>74</v>
      </c>
      <c r="D1316" t="s">
        <v>100</v>
      </c>
      <c r="E1316" t="s">
        <v>65</v>
      </c>
      <c r="F1316">
        <v>7091370</v>
      </c>
      <c r="G1316" t="s">
        <v>242</v>
      </c>
      <c r="H1316" t="s">
        <v>43</v>
      </c>
      <c r="I1316" t="s">
        <v>44</v>
      </c>
      <c r="J1316" t="s">
        <v>50</v>
      </c>
      <c r="K1316" t="s">
        <v>5</v>
      </c>
      <c r="L1316" t="s">
        <v>148</v>
      </c>
      <c r="M1316" t="s">
        <v>1100</v>
      </c>
      <c r="N1316" t="s">
        <v>1101</v>
      </c>
      <c r="O1316" t="s">
        <v>1102</v>
      </c>
      <c r="P1316" t="s">
        <v>1292</v>
      </c>
      <c r="Q1316" t="s">
        <v>46</v>
      </c>
      <c r="R1316" t="s">
        <v>47</v>
      </c>
      <c r="S1316" t="s">
        <v>46</v>
      </c>
      <c r="T1316" t="s">
        <v>46</v>
      </c>
      <c r="U1316" s="4">
        <v>418.58</v>
      </c>
      <c r="V1316" t="str">
        <f t="shared" si="20"/>
        <v>-035</v>
      </c>
      <c r="W1316" t="str">
        <f>VLOOKUP(K1316,[1]Info!A$1:B$21,2,0)</f>
        <v>Fornos / Carbonização (Setup)</v>
      </c>
      <c r="X1316" t="str">
        <f>IF(M1316="109595132","Material de Limpeza-Não Avaliar",IF(AND(K1316="F20",M1316&lt;&gt;109595132),IF(RIGHT(F1316,2)="70","Infraestrutura de Planta","Prédios e Instalações"),IF(K1316="FPC",VLOOKUP(F1316,[1]Info!$E$2:$F$11,2,0),IF(K1316="FGP",VLOOKUP(F1316,[1]Info!$E$9:$F$10,2,0),IF(K1316="F10",VLOOKUP(F1316,[1]Info!$E$2:$F$3,2,0),VLOOKUP(K1316,[1]Info!$A$1:$B$21,2,0))))))</f>
        <v>Fornos / Carbonização (Setup)</v>
      </c>
    </row>
    <row r="1317" spans="1:24" x14ac:dyDescent="0.35">
      <c r="A1317" t="s">
        <v>41</v>
      </c>
      <c r="B1317" t="s">
        <v>73</v>
      </c>
      <c r="C1317" t="s">
        <v>74</v>
      </c>
      <c r="D1317" t="s">
        <v>100</v>
      </c>
      <c r="E1317" t="s">
        <v>65</v>
      </c>
      <c r="F1317">
        <v>7091370</v>
      </c>
      <c r="G1317" t="s">
        <v>242</v>
      </c>
      <c r="H1317" t="s">
        <v>43</v>
      </c>
      <c r="I1317" t="s">
        <v>44</v>
      </c>
      <c r="J1317" t="s">
        <v>50</v>
      </c>
      <c r="K1317" t="s">
        <v>5</v>
      </c>
      <c r="L1317" t="s">
        <v>148</v>
      </c>
      <c r="M1317" t="s">
        <v>1103</v>
      </c>
      <c r="N1317" t="s">
        <v>1104</v>
      </c>
      <c r="O1317" t="s">
        <v>1105</v>
      </c>
      <c r="P1317" t="s">
        <v>1292</v>
      </c>
      <c r="Q1317" t="s">
        <v>46</v>
      </c>
      <c r="R1317" t="s">
        <v>47</v>
      </c>
      <c r="S1317" t="s">
        <v>46</v>
      </c>
      <c r="T1317" t="s">
        <v>46</v>
      </c>
      <c r="U1317" s="4">
        <v>348.82</v>
      </c>
      <c r="V1317" t="str">
        <f t="shared" si="20"/>
        <v>-035</v>
      </c>
      <c r="W1317" t="str">
        <f>VLOOKUP(K1317,[1]Info!A$1:B$21,2,0)</f>
        <v>Fornos / Carbonização (Setup)</v>
      </c>
      <c r="X1317" t="str">
        <f>IF(M1317="109595132","Material de Limpeza-Não Avaliar",IF(AND(K1317="F20",M1317&lt;&gt;109595132),IF(RIGHT(F1317,2)="70","Infraestrutura de Planta","Prédios e Instalações"),IF(K1317="FPC",VLOOKUP(F1317,[1]Info!$E$2:$F$11,2,0),IF(K1317="FGP",VLOOKUP(F1317,[1]Info!$E$9:$F$10,2,0),IF(K1317="F10",VLOOKUP(F1317,[1]Info!$E$2:$F$3,2,0),VLOOKUP(K1317,[1]Info!$A$1:$B$21,2,0))))))</f>
        <v>Fornos / Carbonização (Setup)</v>
      </c>
    </row>
    <row r="1318" spans="1:24" x14ac:dyDescent="0.35">
      <c r="A1318" t="s">
        <v>41</v>
      </c>
      <c r="B1318" t="s">
        <v>73</v>
      </c>
      <c r="C1318" t="s">
        <v>74</v>
      </c>
      <c r="D1318" t="s">
        <v>100</v>
      </c>
      <c r="E1318" t="s">
        <v>65</v>
      </c>
      <c r="F1318">
        <v>7091370</v>
      </c>
      <c r="G1318" t="s">
        <v>242</v>
      </c>
      <c r="H1318" t="s">
        <v>43</v>
      </c>
      <c r="I1318" t="s">
        <v>44</v>
      </c>
      <c r="J1318" t="s">
        <v>50</v>
      </c>
      <c r="K1318" t="s">
        <v>5</v>
      </c>
      <c r="L1318" t="s">
        <v>148</v>
      </c>
      <c r="M1318" t="s">
        <v>1256</v>
      </c>
      <c r="N1318" t="s">
        <v>1257</v>
      </c>
      <c r="O1318" t="s">
        <v>1258</v>
      </c>
      <c r="P1318" t="s">
        <v>1292</v>
      </c>
      <c r="Q1318" t="s">
        <v>46</v>
      </c>
      <c r="R1318" t="s">
        <v>47</v>
      </c>
      <c r="S1318" t="s">
        <v>46</v>
      </c>
      <c r="T1318" t="s">
        <v>46</v>
      </c>
      <c r="U1318" s="4">
        <v>2930.06</v>
      </c>
      <c r="V1318" t="str">
        <f t="shared" si="20"/>
        <v>FR39</v>
      </c>
      <c r="W1318" t="str">
        <f>VLOOKUP(K1318,[1]Info!A$1:B$21,2,0)</f>
        <v>Fornos / Carbonização (Setup)</v>
      </c>
      <c r="X1318" t="str">
        <f>IF(M1318="109595132","Material de Limpeza-Não Avaliar",IF(AND(K1318="F20",M1318&lt;&gt;109595132),IF(RIGHT(F1318,2)="70","Infraestrutura de Planta","Prédios e Instalações"),IF(K1318="FPC",VLOOKUP(F1318,[1]Info!$E$2:$F$11,2,0),IF(K1318="FGP",VLOOKUP(F1318,[1]Info!$E$9:$F$10,2,0),IF(K1318="F10",VLOOKUP(F1318,[1]Info!$E$2:$F$3,2,0),VLOOKUP(K1318,[1]Info!$A$1:$B$21,2,0))))))</f>
        <v>Fornos / Carbonização (Setup)</v>
      </c>
    </row>
    <row r="1319" spans="1:24" x14ac:dyDescent="0.35">
      <c r="A1319" t="s">
        <v>41</v>
      </c>
      <c r="B1319" t="s">
        <v>73</v>
      </c>
      <c r="C1319" t="s">
        <v>74</v>
      </c>
      <c r="D1319" t="s">
        <v>95</v>
      </c>
      <c r="E1319" t="s">
        <v>53</v>
      </c>
      <c r="F1319">
        <v>7098527</v>
      </c>
      <c r="G1319" t="s">
        <v>172</v>
      </c>
      <c r="H1319" t="s">
        <v>43</v>
      </c>
      <c r="I1319" t="s">
        <v>44</v>
      </c>
      <c r="J1319" t="s">
        <v>50</v>
      </c>
      <c r="K1319" t="s">
        <v>4</v>
      </c>
      <c r="L1319" t="s">
        <v>62</v>
      </c>
      <c r="M1319" t="s">
        <v>847</v>
      </c>
      <c r="N1319" t="s">
        <v>848</v>
      </c>
      <c r="O1319" t="s">
        <v>173</v>
      </c>
      <c r="P1319" t="s">
        <v>383</v>
      </c>
      <c r="Q1319" t="s">
        <v>102</v>
      </c>
      <c r="R1319" t="s">
        <v>103</v>
      </c>
      <c r="S1319" t="s">
        <v>46</v>
      </c>
      <c r="T1319" t="s">
        <v>46</v>
      </c>
      <c r="U1319" s="4">
        <v>16.170000000000002</v>
      </c>
      <c r="V1319" t="str">
        <f t="shared" si="20"/>
        <v>GP02</v>
      </c>
      <c r="W1319" t="str">
        <f>VLOOKUP(K1319,[1]Info!A$1:B$21,2,0)</f>
        <v>Garra Picadora</v>
      </c>
      <c r="X1319" t="str">
        <f>IF(M1319="109595132","Material de Limpeza-Não Avaliar",IF(AND(K1319="F20",M1319&lt;&gt;109595132),IF(RIGHT(F1319,2)="70","Infraestrutura de Planta","Prédios e Instalações"),IF(K1319="FPC",VLOOKUP(F1319,[1]Info!$E$2:$F$11,2,0),IF(K1319="FGP",VLOOKUP(F1319,[1]Info!$E$9:$F$10,2,0),IF(K1319="F10",VLOOKUP(F1319,[1]Info!$E$2:$F$3,2,0),VLOOKUP(K1319,[1]Info!$A$1:$B$21,2,0))))))</f>
        <v>Garra Picadora Diamante</v>
      </c>
    </row>
    <row r="1320" spans="1:24" x14ac:dyDescent="0.35">
      <c r="A1320" t="s">
        <v>41</v>
      </c>
      <c r="B1320" t="s">
        <v>73</v>
      </c>
      <c r="C1320" t="s">
        <v>74</v>
      </c>
      <c r="D1320" t="s">
        <v>95</v>
      </c>
      <c r="E1320" t="s">
        <v>53</v>
      </c>
      <c r="F1320">
        <v>7098134</v>
      </c>
      <c r="G1320" t="s">
        <v>851</v>
      </c>
      <c r="H1320" t="s">
        <v>43</v>
      </c>
      <c r="I1320" t="s">
        <v>44</v>
      </c>
      <c r="J1320" t="s">
        <v>50</v>
      </c>
      <c r="K1320" t="s">
        <v>3</v>
      </c>
      <c r="L1320" t="s">
        <v>62</v>
      </c>
      <c r="M1320" t="s">
        <v>852</v>
      </c>
      <c r="N1320" t="s">
        <v>853</v>
      </c>
      <c r="O1320" t="s">
        <v>854</v>
      </c>
      <c r="P1320" t="s">
        <v>383</v>
      </c>
      <c r="Q1320" t="s">
        <v>1234</v>
      </c>
      <c r="R1320" t="s">
        <v>1235</v>
      </c>
      <c r="S1320" t="s">
        <v>46</v>
      </c>
      <c r="T1320" t="s">
        <v>46</v>
      </c>
      <c r="U1320" s="4">
        <v>351.48</v>
      </c>
      <c r="V1320" t="str">
        <f t="shared" si="20"/>
        <v>C020</v>
      </c>
      <c r="W1320" t="str">
        <f>VLOOKUP(K1320,[1]Info!A$1:B$21,2,0)</f>
        <v>Carregadeira</v>
      </c>
      <c r="X1320" t="str">
        <f>IF(M1320="109595132","Material de Limpeza-Não Avaliar",IF(AND(K1320="F20",M1320&lt;&gt;109595132),IF(RIGHT(F1320,2)="70","Infraestrutura de Planta","Prédios e Instalações"),IF(K1320="FPC",VLOOKUP(F1320,[1]Info!$E$2:$F$11,2,0),IF(K1320="FGP",VLOOKUP(F1320,[1]Info!$E$9:$F$10,2,0),IF(K1320="F10",VLOOKUP(F1320,[1]Info!$E$2:$F$3,2,0),VLOOKUP(K1320,[1]Info!$A$1:$B$21,2,0))))))</f>
        <v>Carregadeira Diamante</v>
      </c>
    </row>
    <row r="1321" spans="1:24" x14ac:dyDescent="0.35">
      <c r="A1321" t="s">
        <v>41</v>
      </c>
      <c r="B1321" t="s">
        <v>73</v>
      </c>
      <c r="C1321" t="s">
        <v>74</v>
      </c>
      <c r="D1321" t="s">
        <v>95</v>
      </c>
      <c r="E1321" t="s">
        <v>53</v>
      </c>
      <c r="F1321">
        <v>7098131</v>
      </c>
      <c r="G1321" t="s">
        <v>75</v>
      </c>
      <c r="H1321" t="s">
        <v>43</v>
      </c>
      <c r="I1321" t="s">
        <v>44</v>
      </c>
      <c r="J1321" t="s">
        <v>50</v>
      </c>
      <c r="K1321" t="s">
        <v>3</v>
      </c>
      <c r="L1321" t="s">
        <v>62</v>
      </c>
      <c r="M1321" t="s">
        <v>926</v>
      </c>
      <c r="N1321" t="s">
        <v>927</v>
      </c>
      <c r="O1321" t="s">
        <v>89</v>
      </c>
      <c r="P1321" t="s">
        <v>383</v>
      </c>
      <c r="Q1321" t="s">
        <v>1234</v>
      </c>
      <c r="R1321" t="s">
        <v>1235</v>
      </c>
      <c r="S1321" t="s">
        <v>46</v>
      </c>
      <c r="T1321" t="s">
        <v>46</v>
      </c>
      <c r="U1321" s="4">
        <v>351.48</v>
      </c>
      <c r="V1321" t="str">
        <f t="shared" si="20"/>
        <v>C046</v>
      </c>
      <c r="W1321" t="str">
        <f>VLOOKUP(K1321,[1]Info!A$1:B$21,2,0)</f>
        <v>Carregadeira</v>
      </c>
      <c r="X1321" t="str">
        <f>IF(M1321="109595132","Material de Limpeza-Não Avaliar",IF(AND(K1321="F20",M1321&lt;&gt;109595132),IF(RIGHT(F1321,2)="70","Infraestrutura de Planta","Prédios e Instalações"),IF(K1321="FPC",VLOOKUP(F1321,[1]Info!$E$2:$F$11,2,0),IF(K1321="FGP",VLOOKUP(F1321,[1]Info!$E$9:$F$10,2,0),IF(K1321="F10",VLOOKUP(F1321,[1]Info!$E$2:$F$3,2,0),VLOOKUP(K1321,[1]Info!$A$1:$B$21,2,0))))))</f>
        <v>Carregadeira Plantas</v>
      </c>
    </row>
    <row r="1322" spans="1:24" x14ac:dyDescent="0.35">
      <c r="A1322" t="s">
        <v>41</v>
      </c>
      <c r="B1322" t="s">
        <v>73</v>
      </c>
      <c r="C1322" t="s">
        <v>74</v>
      </c>
      <c r="D1322" t="s">
        <v>95</v>
      </c>
      <c r="E1322" t="s">
        <v>53</v>
      </c>
      <c r="F1322">
        <v>7098131</v>
      </c>
      <c r="G1322" t="s">
        <v>75</v>
      </c>
      <c r="H1322" t="s">
        <v>43</v>
      </c>
      <c r="I1322" t="s">
        <v>44</v>
      </c>
      <c r="J1322" t="s">
        <v>50</v>
      </c>
      <c r="K1322" t="s">
        <v>3</v>
      </c>
      <c r="L1322" t="s">
        <v>62</v>
      </c>
      <c r="M1322" t="s">
        <v>928</v>
      </c>
      <c r="N1322" t="s">
        <v>929</v>
      </c>
      <c r="O1322" t="s">
        <v>170</v>
      </c>
      <c r="P1322" t="s">
        <v>383</v>
      </c>
      <c r="Q1322" t="s">
        <v>1234</v>
      </c>
      <c r="R1322" t="s">
        <v>1235</v>
      </c>
      <c r="S1322" t="s">
        <v>46</v>
      </c>
      <c r="T1322" t="s">
        <v>46</v>
      </c>
      <c r="U1322" s="4">
        <v>351.49</v>
      </c>
      <c r="V1322" t="str">
        <f t="shared" si="20"/>
        <v>C032</v>
      </c>
      <c r="W1322" t="str">
        <f>VLOOKUP(K1322,[1]Info!A$1:B$21,2,0)</f>
        <v>Carregadeira</v>
      </c>
      <c r="X1322" t="str">
        <f>IF(M1322="109595132","Material de Limpeza-Não Avaliar",IF(AND(K1322="F20",M1322&lt;&gt;109595132),IF(RIGHT(F1322,2)="70","Infraestrutura de Planta","Prédios e Instalações"),IF(K1322="FPC",VLOOKUP(F1322,[1]Info!$E$2:$F$11,2,0),IF(K1322="FGP",VLOOKUP(F1322,[1]Info!$E$9:$F$10,2,0),IF(K1322="F10",VLOOKUP(F1322,[1]Info!$E$2:$F$3,2,0),VLOOKUP(K1322,[1]Info!$A$1:$B$21,2,0))))))</f>
        <v>Carregadeira Plantas</v>
      </c>
    </row>
    <row r="1323" spans="1:24" x14ac:dyDescent="0.35">
      <c r="A1323" t="s">
        <v>41</v>
      </c>
      <c r="B1323" t="s">
        <v>73</v>
      </c>
      <c r="C1323" t="s">
        <v>74</v>
      </c>
      <c r="D1323" t="s">
        <v>95</v>
      </c>
      <c r="E1323" t="s">
        <v>53</v>
      </c>
      <c r="F1323">
        <v>7098131</v>
      </c>
      <c r="G1323" t="s">
        <v>75</v>
      </c>
      <c r="H1323" t="s">
        <v>43</v>
      </c>
      <c r="I1323" t="s">
        <v>44</v>
      </c>
      <c r="J1323" t="s">
        <v>50</v>
      </c>
      <c r="K1323" t="s">
        <v>3</v>
      </c>
      <c r="L1323" t="s">
        <v>62</v>
      </c>
      <c r="M1323" t="s">
        <v>397</v>
      </c>
      <c r="N1323" t="s">
        <v>398</v>
      </c>
      <c r="O1323" t="s">
        <v>143</v>
      </c>
      <c r="P1323" t="s">
        <v>383</v>
      </c>
      <c r="Q1323" t="s">
        <v>1234</v>
      </c>
      <c r="R1323" t="s">
        <v>1235</v>
      </c>
      <c r="S1323" t="s">
        <v>46</v>
      </c>
      <c r="T1323" t="s">
        <v>46</v>
      </c>
      <c r="U1323" s="4">
        <v>351.48</v>
      </c>
      <c r="V1323" t="str">
        <f t="shared" si="20"/>
        <v>C048</v>
      </c>
      <c r="W1323" t="str">
        <f>VLOOKUP(K1323,[1]Info!A$1:B$21,2,0)</f>
        <v>Carregadeira</v>
      </c>
      <c r="X1323" t="str">
        <f>IF(M1323="109595132","Material de Limpeza-Não Avaliar",IF(AND(K1323="F20",M1323&lt;&gt;109595132),IF(RIGHT(F1323,2)="70","Infraestrutura de Planta","Prédios e Instalações"),IF(K1323="FPC",VLOOKUP(F1323,[1]Info!$E$2:$F$11,2,0),IF(K1323="FGP",VLOOKUP(F1323,[1]Info!$E$9:$F$10,2,0),IF(K1323="F10",VLOOKUP(F1323,[1]Info!$E$2:$F$3,2,0),VLOOKUP(K1323,[1]Info!$A$1:$B$21,2,0))))))</f>
        <v>Carregadeira Plantas</v>
      </c>
    </row>
    <row r="1324" spans="1:24" x14ac:dyDescent="0.35">
      <c r="A1324" t="s">
        <v>41</v>
      </c>
      <c r="B1324" t="s">
        <v>73</v>
      </c>
      <c r="C1324" t="s">
        <v>74</v>
      </c>
      <c r="D1324" t="s">
        <v>95</v>
      </c>
      <c r="E1324" t="s">
        <v>53</v>
      </c>
      <c r="F1324">
        <v>7091770</v>
      </c>
      <c r="G1324" t="s">
        <v>77</v>
      </c>
      <c r="H1324" t="s">
        <v>43</v>
      </c>
      <c r="I1324" t="s">
        <v>44</v>
      </c>
      <c r="J1324" t="s">
        <v>78</v>
      </c>
      <c r="K1324" t="s">
        <v>0</v>
      </c>
      <c r="L1324" t="s">
        <v>51</v>
      </c>
      <c r="M1324" t="s">
        <v>2106</v>
      </c>
      <c r="N1324" t="s">
        <v>2107</v>
      </c>
      <c r="O1324" t="s">
        <v>2108</v>
      </c>
      <c r="P1324" t="s">
        <v>1292</v>
      </c>
      <c r="Q1324" t="s">
        <v>46</v>
      </c>
      <c r="R1324" t="s">
        <v>47</v>
      </c>
      <c r="S1324" t="s">
        <v>46</v>
      </c>
      <c r="T1324" t="s">
        <v>46</v>
      </c>
      <c r="U1324" s="4">
        <v>1019.28</v>
      </c>
      <c r="V1324" t="str">
        <f t="shared" si="20"/>
        <v>-150</v>
      </c>
      <c r="W1324" t="str">
        <f>VLOOKUP(K1324,[1]Info!A$1:B$21,2,0)</f>
        <v>Carboval</v>
      </c>
      <c r="X1324" t="str">
        <f>IF(M1324="109595132","Material de Limpeza-Não Avaliar",IF(AND(K1324="F20",M1324&lt;&gt;109595132),IF(RIGHT(F1324,2)="70","Infraestrutura de Planta","Prédios e Instalações"),IF(K1324="FPC",VLOOKUP(F1324,[1]Info!$E$2:$F$11,2,0),IF(K1324="FGP",VLOOKUP(F1324,[1]Info!$E$9:$F$10,2,0),IF(K1324="F10",VLOOKUP(F1324,[1]Info!$E$2:$F$3,2,0),VLOOKUP(K1324,[1]Info!$A$1:$B$21,2,0))))))</f>
        <v>Carboval Diamante</v>
      </c>
    </row>
    <row r="1325" spans="1:24" x14ac:dyDescent="0.35">
      <c r="A1325" t="s">
        <v>41</v>
      </c>
      <c r="B1325" t="s">
        <v>73</v>
      </c>
      <c r="C1325" t="s">
        <v>74</v>
      </c>
      <c r="D1325" t="s">
        <v>2109</v>
      </c>
      <c r="E1325" t="s">
        <v>2110</v>
      </c>
      <c r="F1325">
        <v>7091770</v>
      </c>
      <c r="G1325" t="s">
        <v>77</v>
      </c>
      <c r="H1325" t="s">
        <v>43</v>
      </c>
      <c r="I1325" t="s">
        <v>44</v>
      </c>
      <c r="J1325" t="s">
        <v>78</v>
      </c>
      <c r="K1325" t="s">
        <v>0</v>
      </c>
      <c r="L1325" t="s">
        <v>51</v>
      </c>
      <c r="M1325" t="s">
        <v>2111</v>
      </c>
      <c r="N1325" t="s">
        <v>2112</v>
      </c>
      <c r="O1325" t="s">
        <v>2113</v>
      </c>
      <c r="P1325" t="s">
        <v>1292</v>
      </c>
      <c r="Q1325" t="s">
        <v>46</v>
      </c>
      <c r="R1325" t="s">
        <v>47</v>
      </c>
      <c r="S1325" t="s">
        <v>46</v>
      </c>
      <c r="T1325" t="s">
        <v>46</v>
      </c>
      <c r="U1325" s="4">
        <v>-17820</v>
      </c>
      <c r="V1325" t="str">
        <f t="shared" si="20"/>
        <v>0010</v>
      </c>
      <c r="W1325" t="str">
        <f>VLOOKUP(K1325,[1]Info!A$1:B$21,2,0)</f>
        <v>Carboval</v>
      </c>
      <c r="X1325" t="str">
        <f>IF(M1325="109595132","Material de Limpeza-Não Avaliar",IF(AND(K1325="F20",M1325&lt;&gt;109595132),IF(RIGHT(F1325,2)="70","Infraestrutura de Planta","Prédios e Instalações"),IF(K1325="FPC",VLOOKUP(F1325,[1]Info!$E$2:$F$11,2,0),IF(K1325="FGP",VLOOKUP(F1325,[1]Info!$E$9:$F$10,2,0),IF(K1325="F10",VLOOKUP(F1325,[1]Info!$E$2:$F$3,2,0),VLOOKUP(K1325,[1]Info!$A$1:$B$21,2,0))))))</f>
        <v>Carboval Diamante</v>
      </c>
    </row>
    <row r="1326" spans="1:24" x14ac:dyDescent="0.35">
      <c r="A1326" t="s">
        <v>41</v>
      </c>
      <c r="B1326" t="s">
        <v>73</v>
      </c>
      <c r="C1326" t="s">
        <v>74</v>
      </c>
      <c r="D1326" t="s">
        <v>106</v>
      </c>
      <c r="E1326" t="s">
        <v>107</v>
      </c>
      <c r="F1326">
        <v>7098132</v>
      </c>
      <c r="G1326" t="s">
        <v>233</v>
      </c>
      <c r="H1326" t="s">
        <v>43</v>
      </c>
      <c r="I1326" t="s">
        <v>44</v>
      </c>
      <c r="J1326" t="s">
        <v>50</v>
      </c>
      <c r="K1326" t="s">
        <v>9</v>
      </c>
      <c r="L1326" t="s">
        <v>51</v>
      </c>
      <c r="M1326" t="s">
        <v>1885</v>
      </c>
      <c r="N1326" t="s">
        <v>1886</v>
      </c>
      <c r="O1326" t="s">
        <v>234</v>
      </c>
      <c r="P1326" t="s">
        <v>1292</v>
      </c>
      <c r="Q1326" t="s">
        <v>46</v>
      </c>
      <c r="R1326" t="s">
        <v>47</v>
      </c>
      <c r="S1326" t="s">
        <v>1604</v>
      </c>
      <c r="T1326" t="s">
        <v>1605</v>
      </c>
      <c r="U1326" s="4">
        <v>818.38</v>
      </c>
      <c r="V1326" t="str">
        <f t="shared" si="20"/>
        <v>CR01</v>
      </c>
      <c r="W1326" t="str">
        <f>VLOOKUP(K1326,[1]Info!A$1:B$21,2,0)</f>
        <v>Caminhão Barrelador</v>
      </c>
      <c r="X1326" t="str">
        <f>IF(M1326="109595132","Material de Limpeza-Não Avaliar",IF(AND(K1326="F20",M1326&lt;&gt;109595132),IF(RIGHT(F1326,2)="70","Infraestrutura de Planta","Prédios e Instalações"),IF(K1326="FPC",VLOOKUP(F1326,[1]Info!$E$2:$F$11,2,0),IF(K1326="FGP",VLOOKUP(F1326,[1]Info!$E$9:$F$10,2,0),IF(K1326="F10",VLOOKUP(F1326,[1]Info!$E$2:$F$3,2,0),VLOOKUP(K1326,[1]Info!$A$1:$B$21,2,0))))))</f>
        <v>Caminhão Barrelador</v>
      </c>
    </row>
    <row r="1327" spans="1:24" x14ac:dyDescent="0.35">
      <c r="A1327" t="s">
        <v>41</v>
      </c>
      <c r="B1327" t="s">
        <v>73</v>
      </c>
      <c r="C1327" t="s">
        <v>74</v>
      </c>
      <c r="D1327" t="s">
        <v>106</v>
      </c>
      <c r="E1327" t="s">
        <v>107</v>
      </c>
      <c r="F1327">
        <v>7098131</v>
      </c>
      <c r="G1327" t="s">
        <v>75</v>
      </c>
      <c r="H1327" t="s">
        <v>43</v>
      </c>
      <c r="I1327" t="s">
        <v>44</v>
      </c>
      <c r="J1327" t="s">
        <v>50</v>
      </c>
      <c r="K1327" t="s">
        <v>16</v>
      </c>
      <c r="L1327" t="s">
        <v>51</v>
      </c>
      <c r="M1327" t="s">
        <v>2114</v>
      </c>
      <c r="N1327" t="s">
        <v>2115</v>
      </c>
      <c r="O1327" t="s">
        <v>277</v>
      </c>
      <c r="P1327" t="s">
        <v>1292</v>
      </c>
      <c r="Q1327" t="s">
        <v>46</v>
      </c>
      <c r="R1327" t="s">
        <v>47</v>
      </c>
      <c r="S1327" t="s">
        <v>278</v>
      </c>
      <c r="T1327" t="s">
        <v>279</v>
      </c>
      <c r="U1327" s="4">
        <v>1987.42</v>
      </c>
      <c r="V1327" t="str">
        <f t="shared" si="20"/>
        <v>TP23</v>
      </c>
      <c r="W1327" t="str">
        <f>VLOOKUP(K1327,[1]Info!A$1:B$21,2,0)</f>
        <v>Trator Pneu</v>
      </c>
      <c r="X1327" t="str">
        <f>IF(M1327="109595132","Material de Limpeza-Não Avaliar",IF(AND(K1327="F20",M1327&lt;&gt;109595132),IF(RIGHT(F1327,2)="70","Infraestrutura de Planta","Prédios e Instalações"),IF(K1327="FPC",VLOOKUP(F1327,[1]Info!$E$2:$F$11,2,0),IF(K1327="FGP",VLOOKUP(F1327,[1]Info!$E$9:$F$10,2,0),IF(K1327="F10",VLOOKUP(F1327,[1]Info!$E$2:$F$3,2,0),VLOOKUP(K1327,[1]Info!$A$1:$B$21,2,0))))))</f>
        <v>Trator Pneu</v>
      </c>
    </row>
    <row r="1328" spans="1:24" x14ac:dyDescent="0.35">
      <c r="A1328" t="s">
        <v>41</v>
      </c>
      <c r="B1328" t="s">
        <v>73</v>
      </c>
      <c r="C1328" t="s">
        <v>74</v>
      </c>
      <c r="D1328" t="s">
        <v>106</v>
      </c>
      <c r="E1328" t="s">
        <v>107</v>
      </c>
      <c r="F1328">
        <v>7098131</v>
      </c>
      <c r="G1328" t="s">
        <v>75</v>
      </c>
      <c r="H1328" t="s">
        <v>43</v>
      </c>
      <c r="I1328" t="s">
        <v>44</v>
      </c>
      <c r="J1328" t="s">
        <v>50</v>
      </c>
      <c r="K1328" t="s">
        <v>3</v>
      </c>
      <c r="L1328" t="s">
        <v>51</v>
      </c>
      <c r="M1328" t="s">
        <v>2116</v>
      </c>
      <c r="N1328" t="s">
        <v>1930</v>
      </c>
      <c r="O1328" t="s">
        <v>1558</v>
      </c>
      <c r="P1328" t="s">
        <v>1292</v>
      </c>
      <c r="Q1328" t="s">
        <v>46</v>
      </c>
      <c r="R1328" t="s">
        <v>47</v>
      </c>
      <c r="S1328" t="s">
        <v>1483</v>
      </c>
      <c r="T1328" t="s">
        <v>1484</v>
      </c>
      <c r="U1328" s="4">
        <v>2786.09</v>
      </c>
      <c r="V1328" t="str">
        <f t="shared" si="20"/>
        <v>C034</v>
      </c>
      <c r="W1328" t="str">
        <f>VLOOKUP(K1328,[1]Info!A$1:B$21,2,0)</f>
        <v>Carregadeira</v>
      </c>
      <c r="X1328" t="str">
        <f>IF(M1328="109595132","Material de Limpeza-Não Avaliar",IF(AND(K1328="F20",M1328&lt;&gt;109595132),IF(RIGHT(F1328,2)="70","Infraestrutura de Planta","Prédios e Instalações"),IF(K1328="FPC",VLOOKUP(F1328,[1]Info!$E$2:$F$11,2,0),IF(K1328="FGP",VLOOKUP(F1328,[1]Info!$E$9:$F$10,2,0),IF(K1328="F10",VLOOKUP(F1328,[1]Info!$E$2:$F$3,2,0),VLOOKUP(K1328,[1]Info!$A$1:$B$21,2,0))))))</f>
        <v>Carregadeira Plantas</v>
      </c>
    </row>
    <row r="1329" spans="1:24" x14ac:dyDescent="0.35">
      <c r="A1329" t="s">
        <v>41</v>
      </c>
      <c r="B1329" t="s">
        <v>73</v>
      </c>
      <c r="C1329" t="s">
        <v>74</v>
      </c>
      <c r="D1329" t="s">
        <v>106</v>
      </c>
      <c r="E1329" t="s">
        <v>107</v>
      </c>
      <c r="F1329">
        <v>7098131</v>
      </c>
      <c r="G1329" t="s">
        <v>75</v>
      </c>
      <c r="H1329" t="s">
        <v>43</v>
      </c>
      <c r="I1329" t="s">
        <v>44</v>
      </c>
      <c r="J1329" t="s">
        <v>50</v>
      </c>
      <c r="K1329" t="s">
        <v>3</v>
      </c>
      <c r="L1329" t="s">
        <v>51</v>
      </c>
      <c r="M1329" t="s">
        <v>2117</v>
      </c>
      <c r="N1329" t="s">
        <v>1945</v>
      </c>
      <c r="O1329" t="s">
        <v>257</v>
      </c>
      <c r="P1329" t="s">
        <v>1292</v>
      </c>
      <c r="Q1329" t="s">
        <v>46</v>
      </c>
      <c r="R1329" t="s">
        <v>47</v>
      </c>
      <c r="S1329" t="s">
        <v>1483</v>
      </c>
      <c r="T1329" t="s">
        <v>1484</v>
      </c>
      <c r="U1329" s="4">
        <v>214.31</v>
      </c>
      <c r="V1329" t="str">
        <f t="shared" si="20"/>
        <v>C050</v>
      </c>
      <c r="W1329" t="str">
        <f>VLOOKUP(K1329,[1]Info!A$1:B$21,2,0)</f>
        <v>Carregadeira</v>
      </c>
      <c r="X1329" t="str">
        <f>IF(M1329="109595132","Material de Limpeza-Não Avaliar",IF(AND(K1329="F20",M1329&lt;&gt;109595132),IF(RIGHT(F1329,2)="70","Infraestrutura de Planta","Prédios e Instalações"),IF(K1329="FPC",VLOOKUP(F1329,[1]Info!$E$2:$F$11,2,0),IF(K1329="FGP",VLOOKUP(F1329,[1]Info!$E$9:$F$10,2,0),IF(K1329="F10",VLOOKUP(F1329,[1]Info!$E$2:$F$3,2,0),VLOOKUP(K1329,[1]Info!$A$1:$B$21,2,0))))))</f>
        <v>Carregadeira Plantas</v>
      </c>
    </row>
    <row r="1330" spans="1:24" x14ac:dyDescent="0.35">
      <c r="A1330" t="s">
        <v>41</v>
      </c>
      <c r="B1330" t="s">
        <v>73</v>
      </c>
      <c r="C1330" t="s">
        <v>74</v>
      </c>
      <c r="D1330" t="s">
        <v>106</v>
      </c>
      <c r="E1330" t="s">
        <v>107</v>
      </c>
      <c r="F1330">
        <v>7098131</v>
      </c>
      <c r="G1330" t="s">
        <v>75</v>
      </c>
      <c r="H1330" t="s">
        <v>43</v>
      </c>
      <c r="I1330" t="s">
        <v>44</v>
      </c>
      <c r="J1330" t="s">
        <v>50</v>
      </c>
      <c r="K1330" t="s">
        <v>3</v>
      </c>
      <c r="L1330" t="s">
        <v>51</v>
      </c>
      <c r="M1330" t="s">
        <v>937</v>
      </c>
      <c r="N1330" t="s">
        <v>938</v>
      </c>
      <c r="O1330" t="s">
        <v>939</v>
      </c>
      <c r="P1330" t="s">
        <v>1292</v>
      </c>
      <c r="Q1330" t="s">
        <v>46</v>
      </c>
      <c r="R1330" t="s">
        <v>47</v>
      </c>
      <c r="S1330" t="s">
        <v>1483</v>
      </c>
      <c r="T1330" t="s">
        <v>1484</v>
      </c>
      <c r="U1330" s="4">
        <v>710.38</v>
      </c>
      <c r="V1330" t="str">
        <f t="shared" si="20"/>
        <v>IG41</v>
      </c>
      <c r="W1330" t="str">
        <f>VLOOKUP(K1330,[1]Info!A$1:B$21,2,0)</f>
        <v>Carregadeira</v>
      </c>
      <c r="X1330" t="str">
        <f>IF(M1330="109595132","Material de Limpeza-Não Avaliar",IF(AND(K1330="F20",M1330&lt;&gt;109595132),IF(RIGHT(F1330,2)="70","Infraestrutura de Planta","Prédios e Instalações"),IF(K1330="FPC",VLOOKUP(F1330,[1]Info!$E$2:$F$11,2,0),IF(K1330="FGP",VLOOKUP(F1330,[1]Info!$E$9:$F$10,2,0),IF(K1330="F10",VLOOKUP(F1330,[1]Info!$E$2:$F$3,2,0),VLOOKUP(K1330,[1]Info!$A$1:$B$21,2,0))))))</f>
        <v>Carregadeira Plantas</v>
      </c>
    </row>
    <row r="1331" spans="1:24" x14ac:dyDescent="0.35">
      <c r="A1331" t="s">
        <v>41</v>
      </c>
      <c r="B1331" t="s">
        <v>73</v>
      </c>
      <c r="C1331" t="s">
        <v>74</v>
      </c>
      <c r="D1331" t="s">
        <v>106</v>
      </c>
      <c r="E1331" t="s">
        <v>107</v>
      </c>
      <c r="F1331">
        <v>7098131</v>
      </c>
      <c r="G1331" t="s">
        <v>75</v>
      </c>
      <c r="H1331" t="s">
        <v>43</v>
      </c>
      <c r="I1331" t="s">
        <v>44</v>
      </c>
      <c r="J1331" t="s">
        <v>50</v>
      </c>
      <c r="K1331" t="s">
        <v>3</v>
      </c>
      <c r="L1331" t="s">
        <v>51</v>
      </c>
      <c r="M1331" t="s">
        <v>940</v>
      </c>
      <c r="N1331" t="s">
        <v>941</v>
      </c>
      <c r="O1331" t="s">
        <v>942</v>
      </c>
      <c r="P1331" t="s">
        <v>1292</v>
      </c>
      <c r="Q1331" t="s">
        <v>46</v>
      </c>
      <c r="R1331" t="s">
        <v>47</v>
      </c>
      <c r="S1331" t="s">
        <v>1483</v>
      </c>
      <c r="T1331" t="s">
        <v>1484</v>
      </c>
      <c r="U1331" s="4">
        <v>1775.97</v>
      </c>
      <c r="V1331" t="str">
        <f t="shared" si="20"/>
        <v>IG65</v>
      </c>
      <c r="W1331" t="str">
        <f>VLOOKUP(K1331,[1]Info!A$1:B$21,2,0)</f>
        <v>Carregadeira</v>
      </c>
      <c r="X1331" t="str">
        <f>IF(M1331="109595132","Material de Limpeza-Não Avaliar",IF(AND(K1331="F20",M1331&lt;&gt;109595132),IF(RIGHT(F1331,2)="70","Infraestrutura de Planta","Prédios e Instalações"),IF(K1331="FPC",VLOOKUP(F1331,[1]Info!$E$2:$F$11,2,0),IF(K1331="FGP",VLOOKUP(F1331,[1]Info!$E$9:$F$10,2,0),IF(K1331="F10",VLOOKUP(F1331,[1]Info!$E$2:$F$3,2,0),VLOOKUP(K1331,[1]Info!$A$1:$B$21,2,0))))))</f>
        <v>Carregadeira Plantas</v>
      </c>
    </row>
    <row r="1332" spans="1:24" x14ac:dyDescent="0.35">
      <c r="A1332" t="s">
        <v>41</v>
      </c>
      <c r="B1332" t="s">
        <v>73</v>
      </c>
      <c r="C1332" t="s">
        <v>74</v>
      </c>
      <c r="D1332" t="s">
        <v>106</v>
      </c>
      <c r="E1332" t="s">
        <v>107</v>
      </c>
      <c r="F1332">
        <v>7098131</v>
      </c>
      <c r="G1332" t="s">
        <v>75</v>
      </c>
      <c r="H1332" t="s">
        <v>43</v>
      </c>
      <c r="I1332" t="s">
        <v>44</v>
      </c>
      <c r="J1332" t="s">
        <v>50</v>
      </c>
      <c r="K1332" t="s">
        <v>3</v>
      </c>
      <c r="L1332" t="s">
        <v>51</v>
      </c>
      <c r="M1332" t="s">
        <v>2118</v>
      </c>
      <c r="N1332" t="s">
        <v>235</v>
      </c>
      <c r="O1332" t="s">
        <v>236</v>
      </c>
      <c r="P1332" t="s">
        <v>1292</v>
      </c>
      <c r="Q1332" t="s">
        <v>46</v>
      </c>
      <c r="R1332" t="s">
        <v>47</v>
      </c>
      <c r="S1332" t="s">
        <v>1604</v>
      </c>
      <c r="T1332" t="s">
        <v>1605</v>
      </c>
      <c r="U1332" s="4">
        <v>1206.75</v>
      </c>
      <c r="V1332" t="str">
        <f t="shared" si="20"/>
        <v>C051</v>
      </c>
      <c r="W1332" t="str">
        <f>VLOOKUP(K1332,[1]Info!A$1:B$21,2,0)</f>
        <v>Carregadeira</v>
      </c>
      <c r="X1332" t="str">
        <f>IF(M1332="109595132","Material de Limpeza-Não Avaliar",IF(AND(K1332="F20",M1332&lt;&gt;109595132),IF(RIGHT(F1332,2)="70","Infraestrutura de Planta","Prédios e Instalações"),IF(K1332="FPC",VLOOKUP(F1332,[1]Info!$E$2:$F$11,2,0),IF(K1332="FGP",VLOOKUP(F1332,[1]Info!$E$9:$F$10,2,0),IF(K1332="F10",VLOOKUP(F1332,[1]Info!$E$2:$F$3,2,0),VLOOKUP(K1332,[1]Info!$A$1:$B$21,2,0))))))</f>
        <v>Carregadeira Plantas</v>
      </c>
    </row>
    <row r="1333" spans="1:24" x14ac:dyDescent="0.35">
      <c r="A1333" t="s">
        <v>41</v>
      </c>
      <c r="B1333" t="s">
        <v>73</v>
      </c>
      <c r="C1333" t="s">
        <v>74</v>
      </c>
      <c r="D1333" t="s">
        <v>106</v>
      </c>
      <c r="E1333" t="s">
        <v>107</v>
      </c>
      <c r="F1333">
        <v>7098131</v>
      </c>
      <c r="G1333" t="s">
        <v>75</v>
      </c>
      <c r="H1333" t="s">
        <v>43</v>
      </c>
      <c r="I1333" t="s">
        <v>44</v>
      </c>
      <c r="J1333" t="s">
        <v>50</v>
      </c>
      <c r="K1333" t="s">
        <v>3</v>
      </c>
      <c r="L1333" t="s">
        <v>51</v>
      </c>
      <c r="M1333" t="s">
        <v>2119</v>
      </c>
      <c r="N1333" t="s">
        <v>1925</v>
      </c>
      <c r="O1333" t="s">
        <v>286</v>
      </c>
      <c r="P1333" t="s">
        <v>1292</v>
      </c>
      <c r="Q1333" t="s">
        <v>46</v>
      </c>
      <c r="R1333" t="s">
        <v>47</v>
      </c>
      <c r="S1333" t="s">
        <v>1356</v>
      </c>
      <c r="T1333" t="s">
        <v>1357</v>
      </c>
      <c r="U1333" s="4">
        <v>226.87</v>
      </c>
      <c r="V1333" t="str">
        <f t="shared" si="20"/>
        <v>C028</v>
      </c>
      <c r="W1333" t="str">
        <f>VLOOKUP(K1333,[1]Info!A$1:B$21,2,0)</f>
        <v>Carregadeira</v>
      </c>
      <c r="X1333" t="str">
        <f>IF(M1333="109595132","Material de Limpeza-Não Avaliar",IF(AND(K1333="F20",M1333&lt;&gt;109595132),IF(RIGHT(F1333,2)="70","Infraestrutura de Planta","Prédios e Instalações"),IF(K1333="FPC",VLOOKUP(F1333,[1]Info!$E$2:$F$11,2,0),IF(K1333="FGP",VLOOKUP(F1333,[1]Info!$E$9:$F$10,2,0),IF(K1333="F10",VLOOKUP(F1333,[1]Info!$E$2:$F$3,2,0),VLOOKUP(K1333,[1]Info!$A$1:$B$21,2,0))))))</f>
        <v>Carregadeira Plantas</v>
      </c>
    </row>
    <row r="1334" spans="1:24" x14ac:dyDescent="0.35">
      <c r="A1334" t="s">
        <v>41</v>
      </c>
      <c r="B1334" t="s">
        <v>73</v>
      </c>
      <c r="C1334" t="s">
        <v>74</v>
      </c>
      <c r="D1334" t="s">
        <v>106</v>
      </c>
      <c r="E1334" t="s">
        <v>107</v>
      </c>
      <c r="F1334">
        <v>7098131</v>
      </c>
      <c r="G1334" t="s">
        <v>75</v>
      </c>
      <c r="H1334" t="s">
        <v>43</v>
      </c>
      <c r="I1334" t="s">
        <v>44</v>
      </c>
      <c r="J1334" t="s">
        <v>50</v>
      </c>
      <c r="K1334" t="s">
        <v>3</v>
      </c>
      <c r="L1334" t="s">
        <v>51</v>
      </c>
      <c r="M1334" t="s">
        <v>1918</v>
      </c>
      <c r="N1334" t="s">
        <v>1919</v>
      </c>
      <c r="O1334" t="s">
        <v>82</v>
      </c>
      <c r="P1334" t="s">
        <v>1292</v>
      </c>
      <c r="Q1334" t="s">
        <v>46</v>
      </c>
      <c r="R1334" t="s">
        <v>47</v>
      </c>
      <c r="S1334" t="s">
        <v>2120</v>
      </c>
      <c r="T1334" t="s">
        <v>2121</v>
      </c>
      <c r="U1334" s="4">
        <v>4732.6099999999997</v>
      </c>
      <c r="V1334" t="str">
        <f t="shared" si="20"/>
        <v>C043</v>
      </c>
      <c r="W1334" t="str">
        <f>VLOOKUP(K1334,[1]Info!A$1:B$21,2,0)</f>
        <v>Carregadeira</v>
      </c>
      <c r="X1334" t="str">
        <f>IF(M1334="109595132","Material de Limpeza-Não Avaliar",IF(AND(K1334="F20",M1334&lt;&gt;109595132),IF(RIGHT(F1334,2)="70","Infraestrutura de Planta","Prédios e Instalações"),IF(K1334="FPC",VLOOKUP(F1334,[1]Info!$E$2:$F$11,2,0),IF(K1334="FGP",VLOOKUP(F1334,[1]Info!$E$9:$F$10,2,0),IF(K1334="F10",VLOOKUP(F1334,[1]Info!$E$2:$F$3,2,0),VLOOKUP(K1334,[1]Info!$A$1:$B$21,2,0))))))</f>
        <v>Carregadeira Plantas</v>
      </c>
    </row>
    <row r="1335" spans="1:24" x14ac:dyDescent="0.35">
      <c r="A1335" t="s">
        <v>41</v>
      </c>
      <c r="B1335" t="s">
        <v>73</v>
      </c>
      <c r="C1335" t="s">
        <v>74</v>
      </c>
      <c r="D1335" t="s">
        <v>106</v>
      </c>
      <c r="E1335" t="s">
        <v>107</v>
      </c>
      <c r="F1335">
        <v>7098131</v>
      </c>
      <c r="G1335" t="s">
        <v>75</v>
      </c>
      <c r="H1335" t="s">
        <v>43</v>
      </c>
      <c r="I1335" t="s">
        <v>44</v>
      </c>
      <c r="J1335" t="s">
        <v>50</v>
      </c>
      <c r="K1335" t="s">
        <v>3</v>
      </c>
      <c r="L1335" t="s">
        <v>51</v>
      </c>
      <c r="M1335" t="s">
        <v>2122</v>
      </c>
      <c r="N1335" t="s">
        <v>1939</v>
      </c>
      <c r="O1335" t="s">
        <v>121</v>
      </c>
      <c r="P1335" t="s">
        <v>1292</v>
      </c>
      <c r="Q1335" t="s">
        <v>46</v>
      </c>
      <c r="R1335" t="s">
        <v>47</v>
      </c>
      <c r="S1335" t="s">
        <v>2120</v>
      </c>
      <c r="T1335" t="s">
        <v>2121</v>
      </c>
      <c r="U1335" s="4">
        <v>4732.6099999999997</v>
      </c>
      <c r="V1335" t="str">
        <f t="shared" si="20"/>
        <v>C044</v>
      </c>
      <c r="W1335" t="str">
        <f>VLOOKUP(K1335,[1]Info!A$1:B$21,2,0)</f>
        <v>Carregadeira</v>
      </c>
      <c r="X1335" t="str">
        <f>IF(M1335="109595132","Material de Limpeza-Não Avaliar",IF(AND(K1335="F20",M1335&lt;&gt;109595132),IF(RIGHT(F1335,2)="70","Infraestrutura de Planta","Prédios e Instalações"),IF(K1335="FPC",VLOOKUP(F1335,[1]Info!$E$2:$F$11,2,0),IF(K1335="FGP",VLOOKUP(F1335,[1]Info!$E$9:$F$10,2,0),IF(K1335="F10",VLOOKUP(F1335,[1]Info!$E$2:$F$3,2,0),VLOOKUP(K1335,[1]Info!$A$1:$B$21,2,0))))))</f>
        <v>Carregadeira Plantas</v>
      </c>
    </row>
    <row r="1336" spans="1:24" x14ac:dyDescent="0.35">
      <c r="A1336" t="s">
        <v>41</v>
      </c>
      <c r="B1336" t="s">
        <v>73</v>
      </c>
      <c r="C1336" t="s">
        <v>74</v>
      </c>
      <c r="D1336" t="s">
        <v>106</v>
      </c>
      <c r="E1336" t="s">
        <v>107</v>
      </c>
      <c r="F1336">
        <v>7098131</v>
      </c>
      <c r="G1336" t="s">
        <v>75</v>
      </c>
      <c r="H1336" t="s">
        <v>43</v>
      </c>
      <c r="I1336" t="s">
        <v>44</v>
      </c>
      <c r="J1336" t="s">
        <v>50</v>
      </c>
      <c r="K1336" t="s">
        <v>3</v>
      </c>
      <c r="L1336" t="s">
        <v>51</v>
      </c>
      <c r="M1336" t="s">
        <v>2123</v>
      </c>
      <c r="N1336" t="s">
        <v>1941</v>
      </c>
      <c r="O1336" t="s">
        <v>97</v>
      </c>
      <c r="P1336" t="s">
        <v>1292</v>
      </c>
      <c r="Q1336" t="s">
        <v>46</v>
      </c>
      <c r="R1336" t="s">
        <v>47</v>
      </c>
      <c r="S1336" t="s">
        <v>1604</v>
      </c>
      <c r="T1336" t="s">
        <v>1605</v>
      </c>
      <c r="U1336" s="4">
        <v>802.05</v>
      </c>
      <c r="V1336" t="str">
        <f t="shared" si="20"/>
        <v>C047</v>
      </c>
      <c r="W1336" t="str">
        <f>VLOOKUP(K1336,[1]Info!A$1:B$21,2,0)</f>
        <v>Carregadeira</v>
      </c>
      <c r="X1336" t="str">
        <f>IF(M1336="109595132","Material de Limpeza-Não Avaliar",IF(AND(K1336="F20",M1336&lt;&gt;109595132),IF(RIGHT(F1336,2)="70","Infraestrutura de Planta","Prédios e Instalações"),IF(K1336="FPC",VLOOKUP(F1336,[1]Info!$E$2:$F$11,2,0),IF(K1336="FGP",VLOOKUP(F1336,[1]Info!$E$9:$F$10,2,0),IF(K1336="F10",VLOOKUP(F1336,[1]Info!$E$2:$F$3,2,0),VLOOKUP(K1336,[1]Info!$A$1:$B$21,2,0))))))</f>
        <v>Carregadeira Plantas</v>
      </c>
    </row>
    <row r="1337" spans="1:24" x14ac:dyDescent="0.35">
      <c r="A1337" t="s">
        <v>41</v>
      </c>
      <c r="B1337" t="s">
        <v>73</v>
      </c>
      <c r="C1337" t="s">
        <v>74</v>
      </c>
      <c r="D1337" t="s">
        <v>106</v>
      </c>
      <c r="E1337" t="s">
        <v>107</v>
      </c>
      <c r="F1337">
        <v>7098131</v>
      </c>
      <c r="G1337" t="s">
        <v>75</v>
      </c>
      <c r="H1337" t="s">
        <v>43</v>
      </c>
      <c r="I1337" t="s">
        <v>44</v>
      </c>
      <c r="J1337" t="s">
        <v>50</v>
      </c>
      <c r="K1337" t="s">
        <v>3</v>
      </c>
      <c r="L1337" t="s">
        <v>51</v>
      </c>
      <c r="M1337" t="s">
        <v>1822</v>
      </c>
      <c r="N1337" t="s">
        <v>1823</v>
      </c>
      <c r="O1337" t="s">
        <v>1070</v>
      </c>
      <c r="P1337" t="s">
        <v>1292</v>
      </c>
      <c r="Q1337" t="s">
        <v>46</v>
      </c>
      <c r="R1337" t="s">
        <v>47</v>
      </c>
      <c r="S1337" t="s">
        <v>372</v>
      </c>
      <c r="T1337" t="s">
        <v>373</v>
      </c>
      <c r="U1337" s="4">
        <v>862.12</v>
      </c>
      <c r="V1337" t="str">
        <f t="shared" si="20"/>
        <v>C041</v>
      </c>
      <c r="W1337" t="str">
        <f>VLOOKUP(K1337,[1]Info!A$1:B$21,2,0)</f>
        <v>Carregadeira</v>
      </c>
      <c r="X1337" t="str">
        <f>IF(M1337="109595132","Material de Limpeza-Não Avaliar",IF(AND(K1337="F20",M1337&lt;&gt;109595132),IF(RIGHT(F1337,2)="70","Infraestrutura de Planta","Prédios e Instalações"),IF(K1337="FPC",VLOOKUP(F1337,[1]Info!$E$2:$F$11,2,0),IF(K1337="FGP",VLOOKUP(F1337,[1]Info!$E$9:$F$10,2,0),IF(K1337="F10",VLOOKUP(F1337,[1]Info!$E$2:$F$3,2,0),VLOOKUP(K1337,[1]Info!$A$1:$B$21,2,0))))))</f>
        <v>Carregadeira Plantas</v>
      </c>
    </row>
    <row r="1338" spans="1:24" x14ac:dyDescent="0.35">
      <c r="A1338" t="s">
        <v>41</v>
      </c>
      <c r="B1338" t="s">
        <v>73</v>
      </c>
      <c r="C1338" t="s">
        <v>74</v>
      </c>
      <c r="D1338" t="s">
        <v>106</v>
      </c>
      <c r="E1338" t="s">
        <v>107</v>
      </c>
      <c r="F1338">
        <v>7098131</v>
      </c>
      <c r="G1338" t="s">
        <v>75</v>
      </c>
      <c r="H1338" t="s">
        <v>43</v>
      </c>
      <c r="I1338" t="s">
        <v>44</v>
      </c>
      <c r="J1338" t="s">
        <v>50</v>
      </c>
      <c r="K1338" t="s">
        <v>3</v>
      </c>
      <c r="L1338" t="s">
        <v>51</v>
      </c>
      <c r="M1338" t="s">
        <v>2124</v>
      </c>
      <c r="N1338" t="s">
        <v>2125</v>
      </c>
      <c r="O1338" t="s">
        <v>2126</v>
      </c>
      <c r="P1338" t="s">
        <v>1292</v>
      </c>
      <c r="Q1338" t="s">
        <v>46</v>
      </c>
      <c r="R1338" t="s">
        <v>47</v>
      </c>
      <c r="S1338" t="s">
        <v>1483</v>
      </c>
      <c r="T1338" t="s">
        <v>1484</v>
      </c>
      <c r="U1338" s="4">
        <v>8169.48</v>
      </c>
      <c r="V1338" t="str">
        <f t="shared" si="20"/>
        <v>IG33</v>
      </c>
      <c r="W1338" t="str">
        <f>VLOOKUP(K1338,[1]Info!A$1:B$21,2,0)</f>
        <v>Carregadeira</v>
      </c>
      <c r="X1338" t="str">
        <f>IF(M1338="109595132","Material de Limpeza-Não Avaliar",IF(AND(K1338="F20",M1338&lt;&gt;109595132),IF(RIGHT(F1338,2)="70","Infraestrutura de Planta","Prédios e Instalações"),IF(K1338="FPC",VLOOKUP(F1338,[1]Info!$E$2:$F$11,2,0),IF(K1338="FGP",VLOOKUP(F1338,[1]Info!$E$9:$F$10,2,0),IF(K1338="F10",VLOOKUP(F1338,[1]Info!$E$2:$F$3,2,0),VLOOKUP(K1338,[1]Info!$A$1:$B$21,2,0))))))</f>
        <v>Carregadeira Plantas</v>
      </c>
    </row>
    <row r="1339" spans="1:24" x14ac:dyDescent="0.35">
      <c r="A1339" t="s">
        <v>41</v>
      </c>
      <c r="B1339" t="s">
        <v>73</v>
      </c>
      <c r="C1339" t="s">
        <v>74</v>
      </c>
      <c r="D1339" t="s">
        <v>106</v>
      </c>
      <c r="E1339" t="s">
        <v>107</v>
      </c>
      <c r="F1339">
        <v>7098131</v>
      </c>
      <c r="G1339" t="s">
        <v>75</v>
      </c>
      <c r="H1339" t="s">
        <v>43</v>
      </c>
      <c r="I1339" t="s">
        <v>44</v>
      </c>
      <c r="J1339" t="s">
        <v>50</v>
      </c>
      <c r="K1339" t="s">
        <v>3</v>
      </c>
      <c r="L1339" t="s">
        <v>51</v>
      </c>
      <c r="M1339" t="s">
        <v>1927</v>
      </c>
      <c r="N1339" t="s">
        <v>1928</v>
      </c>
      <c r="O1339" t="s">
        <v>101</v>
      </c>
      <c r="P1339" t="s">
        <v>1292</v>
      </c>
      <c r="Q1339" t="s">
        <v>46</v>
      </c>
      <c r="R1339" t="s">
        <v>47</v>
      </c>
      <c r="S1339" t="s">
        <v>2127</v>
      </c>
      <c r="T1339" t="s">
        <v>2128</v>
      </c>
      <c r="U1339" s="4">
        <v>80</v>
      </c>
      <c r="V1339" t="str">
        <f t="shared" si="20"/>
        <v>C031</v>
      </c>
      <c r="W1339" t="str">
        <f>VLOOKUP(K1339,[1]Info!A$1:B$21,2,0)</f>
        <v>Carregadeira</v>
      </c>
      <c r="X1339" t="str">
        <f>IF(M1339="109595132","Material de Limpeza-Não Avaliar",IF(AND(K1339="F20",M1339&lt;&gt;109595132),IF(RIGHT(F1339,2)="70","Infraestrutura de Planta","Prédios e Instalações"),IF(K1339="FPC",VLOOKUP(F1339,[1]Info!$E$2:$F$11,2,0),IF(K1339="FGP",VLOOKUP(F1339,[1]Info!$E$9:$F$10,2,0),IF(K1339="F10",VLOOKUP(F1339,[1]Info!$E$2:$F$3,2,0),VLOOKUP(K1339,[1]Info!$A$1:$B$21,2,0))))))</f>
        <v>Carregadeira Plantas</v>
      </c>
    </row>
    <row r="1340" spans="1:24" x14ac:dyDescent="0.35">
      <c r="A1340" t="s">
        <v>41</v>
      </c>
      <c r="B1340" t="s">
        <v>73</v>
      </c>
      <c r="C1340" t="s">
        <v>74</v>
      </c>
      <c r="D1340" t="s">
        <v>106</v>
      </c>
      <c r="E1340" t="s">
        <v>107</v>
      </c>
      <c r="F1340">
        <v>7098131</v>
      </c>
      <c r="G1340" t="s">
        <v>75</v>
      </c>
      <c r="H1340" t="s">
        <v>43</v>
      </c>
      <c r="I1340" t="s">
        <v>44</v>
      </c>
      <c r="J1340" t="s">
        <v>50</v>
      </c>
      <c r="K1340" t="s">
        <v>3</v>
      </c>
      <c r="L1340" t="s">
        <v>51</v>
      </c>
      <c r="M1340" t="s">
        <v>2129</v>
      </c>
      <c r="N1340" t="s">
        <v>1949</v>
      </c>
      <c r="O1340" t="s">
        <v>1558</v>
      </c>
      <c r="P1340" t="s">
        <v>1292</v>
      </c>
      <c r="Q1340" t="s">
        <v>46</v>
      </c>
      <c r="R1340" t="s">
        <v>47</v>
      </c>
      <c r="S1340" t="s">
        <v>1604</v>
      </c>
      <c r="T1340" t="s">
        <v>1605</v>
      </c>
      <c r="U1340" s="4">
        <v>1551.82</v>
      </c>
      <c r="V1340" t="str">
        <f t="shared" si="20"/>
        <v>C034</v>
      </c>
      <c r="W1340" t="str">
        <f>VLOOKUP(K1340,[1]Info!A$1:B$21,2,0)</f>
        <v>Carregadeira</v>
      </c>
      <c r="X1340" t="str">
        <f>IF(M1340="109595132","Material de Limpeza-Não Avaliar",IF(AND(K1340="F20",M1340&lt;&gt;109595132),IF(RIGHT(F1340,2)="70","Infraestrutura de Planta","Prédios e Instalações"),IF(K1340="FPC",VLOOKUP(F1340,[1]Info!$E$2:$F$11,2,0),IF(K1340="FGP",VLOOKUP(F1340,[1]Info!$E$9:$F$10,2,0),IF(K1340="F10",VLOOKUP(F1340,[1]Info!$E$2:$F$3,2,0),VLOOKUP(K1340,[1]Info!$A$1:$B$21,2,0))))))</f>
        <v>Carregadeira Plantas</v>
      </c>
    </row>
    <row r="1341" spans="1:24" x14ac:dyDescent="0.35">
      <c r="A1341" t="s">
        <v>41</v>
      </c>
      <c r="B1341" t="s">
        <v>73</v>
      </c>
      <c r="C1341" t="s">
        <v>74</v>
      </c>
      <c r="D1341" t="s">
        <v>106</v>
      </c>
      <c r="E1341" t="s">
        <v>107</v>
      </c>
      <c r="F1341">
        <v>7098131</v>
      </c>
      <c r="G1341" t="s">
        <v>75</v>
      </c>
      <c r="H1341" t="s">
        <v>43</v>
      </c>
      <c r="I1341" t="s">
        <v>44</v>
      </c>
      <c r="J1341" t="s">
        <v>50</v>
      </c>
      <c r="K1341" t="s">
        <v>3</v>
      </c>
      <c r="L1341" t="s">
        <v>51</v>
      </c>
      <c r="M1341" t="s">
        <v>1931</v>
      </c>
      <c r="N1341" t="s">
        <v>1915</v>
      </c>
      <c r="O1341" t="s">
        <v>945</v>
      </c>
      <c r="P1341" t="s">
        <v>1292</v>
      </c>
      <c r="Q1341" t="s">
        <v>46</v>
      </c>
      <c r="R1341" t="s">
        <v>47</v>
      </c>
      <c r="S1341" t="s">
        <v>2127</v>
      </c>
      <c r="T1341" t="s">
        <v>2128</v>
      </c>
      <c r="U1341" s="4">
        <v>400</v>
      </c>
      <c r="V1341" t="str">
        <f t="shared" si="20"/>
        <v>C035</v>
      </c>
      <c r="W1341" t="str">
        <f>VLOOKUP(K1341,[1]Info!A$1:B$21,2,0)</f>
        <v>Carregadeira</v>
      </c>
      <c r="X1341" t="str">
        <f>IF(M1341="109595132","Material de Limpeza-Não Avaliar",IF(AND(K1341="F20",M1341&lt;&gt;109595132),IF(RIGHT(F1341,2)="70","Infraestrutura de Planta","Prédios e Instalações"),IF(K1341="FPC",VLOOKUP(F1341,[1]Info!$E$2:$F$11,2,0),IF(K1341="FGP",VLOOKUP(F1341,[1]Info!$E$9:$F$10,2,0),IF(K1341="F10",VLOOKUP(F1341,[1]Info!$E$2:$F$3,2,0),VLOOKUP(K1341,[1]Info!$A$1:$B$21,2,0))))))</f>
        <v>Carregadeira Plantas</v>
      </c>
    </row>
    <row r="1342" spans="1:24" x14ac:dyDescent="0.35">
      <c r="A1342" t="s">
        <v>41</v>
      </c>
      <c r="B1342" t="s">
        <v>73</v>
      </c>
      <c r="C1342" t="s">
        <v>74</v>
      </c>
      <c r="D1342" t="s">
        <v>106</v>
      </c>
      <c r="E1342" t="s">
        <v>107</v>
      </c>
      <c r="F1342">
        <v>7098131</v>
      </c>
      <c r="G1342" t="s">
        <v>75</v>
      </c>
      <c r="H1342" t="s">
        <v>43</v>
      </c>
      <c r="I1342" t="s">
        <v>44</v>
      </c>
      <c r="J1342" t="s">
        <v>50</v>
      </c>
      <c r="K1342" t="s">
        <v>3</v>
      </c>
      <c r="L1342" t="s">
        <v>51</v>
      </c>
      <c r="M1342" t="s">
        <v>2130</v>
      </c>
      <c r="N1342" t="s">
        <v>2131</v>
      </c>
      <c r="O1342" t="s">
        <v>945</v>
      </c>
      <c r="P1342" t="s">
        <v>1292</v>
      </c>
      <c r="Q1342" t="s">
        <v>46</v>
      </c>
      <c r="R1342" t="s">
        <v>47</v>
      </c>
      <c r="S1342" t="s">
        <v>1356</v>
      </c>
      <c r="T1342" t="s">
        <v>1357</v>
      </c>
      <c r="U1342" s="4">
        <v>453.75</v>
      </c>
      <c r="V1342" t="str">
        <f t="shared" si="20"/>
        <v>C035</v>
      </c>
      <c r="W1342" t="str">
        <f>VLOOKUP(K1342,[1]Info!A$1:B$21,2,0)</f>
        <v>Carregadeira</v>
      </c>
      <c r="X1342" t="str">
        <f>IF(M1342="109595132","Material de Limpeza-Não Avaliar",IF(AND(K1342="F20",M1342&lt;&gt;109595132),IF(RIGHT(F1342,2)="70","Infraestrutura de Planta","Prédios e Instalações"),IF(K1342="FPC",VLOOKUP(F1342,[1]Info!$E$2:$F$11,2,0),IF(K1342="FGP",VLOOKUP(F1342,[1]Info!$E$9:$F$10,2,0),IF(K1342="F10",VLOOKUP(F1342,[1]Info!$E$2:$F$3,2,0),VLOOKUP(K1342,[1]Info!$A$1:$B$21,2,0))))))</f>
        <v>Carregadeira Plantas</v>
      </c>
    </row>
    <row r="1343" spans="1:24" x14ac:dyDescent="0.35">
      <c r="A1343" t="s">
        <v>41</v>
      </c>
      <c r="B1343" t="s">
        <v>73</v>
      </c>
      <c r="C1343" t="s">
        <v>74</v>
      </c>
      <c r="D1343" t="s">
        <v>106</v>
      </c>
      <c r="E1343" t="s">
        <v>107</v>
      </c>
      <c r="F1343">
        <v>7098131</v>
      </c>
      <c r="G1343" t="s">
        <v>75</v>
      </c>
      <c r="H1343" t="s">
        <v>43</v>
      </c>
      <c r="I1343" t="s">
        <v>44</v>
      </c>
      <c r="J1343" t="s">
        <v>50</v>
      </c>
      <c r="K1343" t="s">
        <v>3</v>
      </c>
      <c r="L1343" t="s">
        <v>51</v>
      </c>
      <c r="M1343" t="s">
        <v>2132</v>
      </c>
      <c r="N1343" t="s">
        <v>2133</v>
      </c>
      <c r="O1343" t="s">
        <v>101</v>
      </c>
      <c r="P1343" t="s">
        <v>1292</v>
      </c>
      <c r="Q1343" t="s">
        <v>46</v>
      </c>
      <c r="R1343" t="s">
        <v>47</v>
      </c>
      <c r="S1343" t="s">
        <v>278</v>
      </c>
      <c r="T1343" t="s">
        <v>279</v>
      </c>
      <c r="U1343" s="4">
        <v>9333.64</v>
      </c>
      <c r="V1343" t="str">
        <f t="shared" si="20"/>
        <v>C031</v>
      </c>
      <c r="W1343" t="str">
        <f>VLOOKUP(K1343,[1]Info!A$1:B$21,2,0)</f>
        <v>Carregadeira</v>
      </c>
      <c r="X1343" t="str">
        <f>IF(M1343="109595132","Material de Limpeza-Não Avaliar",IF(AND(K1343="F20",M1343&lt;&gt;109595132),IF(RIGHT(F1343,2)="70","Infraestrutura de Planta","Prédios e Instalações"),IF(K1343="FPC",VLOOKUP(F1343,[1]Info!$E$2:$F$11,2,0),IF(K1343="FGP",VLOOKUP(F1343,[1]Info!$E$9:$F$10,2,0),IF(K1343="F10",VLOOKUP(F1343,[1]Info!$E$2:$F$3,2,0),VLOOKUP(K1343,[1]Info!$A$1:$B$21,2,0))))))</f>
        <v>Carregadeira Plantas</v>
      </c>
    </row>
    <row r="1344" spans="1:24" x14ac:dyDescent="0.35">
      <c r="A1344" t="s">
        <v>41</v>
      </c>
      <c r="B1344" t="s">
        <v>73</v>
      </c>
      <c r="C1344" t="s">
        <v>74</v>
      </c>
      <c r="D1344" t="s">
        <v>106</v>
      </c>
      <c r="E1344" t="s">
        <v>107</v>
      </c>
      <c r="F1344">
        <v>7098131</v>
      </c>
      <c r="G1344" t="s">
        <v>75</v>
      </c>
      <c r="H1344" t="s">
        <v>43</v>
      </c>
      <c r="I1344" t="s">
        <v>44</v>
      </c>
      <c r="J1344" t="s">
        <v>50</v>
      </c>
      <c r="K1344" t="s">
        <v>3</v>
      </c>
      <c r="L1344" t="s">
        <v>51</v>
      </c>
      <c r="M1344" t="s">
        <v>2134</v>
      </c>
      <c r="N1344" t="s">
        <v>2135</v>
      </c>
      <c r="O1344" t="s">
        <v>2136</v>
      </c>
      <c r="P1344" t="s">
        <v>1292</v>
      </c>
      <c r="Q1344" t="s">
        <v>46</v>
      </c>
      <c r="R1344" t="s">
        <v>47</v>
      </c>
      <c r="S1344" t="s">
        <v>1604</v>
      </c>
      <c r="T1344" t="s">
        <v>1605</v>
      </c>
      <c r="U1344" s="4">
        <v>4319.79</v>
      </c>
      <c r="V1344" t="str">
        <f t="shared" si="20"/>
        <v>IC41</v>
      </c>
      <c r="W1344" t="str">
        <f>VLOOKUP(K1344,[1]Info!A$1:B$21,2,0)</f>
        <v>Carregadeira</v>
      </c>
      <c r="X1344" t="str">
        <f>IF(M1344="109595132","Material de Limpeza-Não Avaliar",IF(AND(K1344="F20",M1344&lt;&gt;109595132),IF(RIGHT(F1344,2)="70","Infraestrutura de Planta","Prédios e Instalações"),IF(K1344="FPC",VLOOKUP(F1344,[1]Info!$E$2:$F$11,2,0),IF(K1344="FGP",VLOOKUP(F1344,[1]Info!$E$9:$F$10,2,0),IF(K1344="F10",VLOOKUP(F1344,[1]Info!$E$2:$F$3,2,0),VLOOKUP(K1344,[1]Info!$A$1:$B$21,2,0))))))</f>
        <v>Carregadeira Plantas</v>
      </c>
    </row>
    <row r="1345" spans="1:24" x14ac:dyDescent="0.35">
      <c r="A1345" t="s">
        <v>41</v>
      </c>
      <c r="B1345" t="s">
        <v>73</v>
      </c>
      <c r="C1345" t="s">
        <v>74</v>
      </c>
      <c r="D1345" t="s">
        <v>106</v>
      </c>
      <c r="E1345" t="s">
        <v>107</v>
      </c>
      <c r="F1345">
        <v>7098131</v>
      </c>
      <c r="G1345" t="s">
        <v>75</v>
      </c>
      <c r="H1345" t="s">
        <v>43</v>
      </c>
      <c r="I1345" t="s">
        <v>44</v>
      </c>
      <c r="J1345" t="s">
        <v>50</v>
      </c>
      <c r="K1345" t="s">
        <v>3</v>
      </c>
      <c r="L1345" t="s">
        <v>51</v>
      </c>
      <c r="M1345" t="s">
        <v>2137</v>
      </c>
      <c r="N1345" t="s">
        <v>2138</v>
      </c>
      <c r="O1345" t="s">
        <v>2139</v>
      </c>
      <c r="P1345" t="s">
        <v>1292</v>
      </c>
      <c r="Q1345" t="s">
        <v>46</v>
      </c>
      <c r="R1345" t="s">
        <v>47</v>
      </c>
      <c r="S1345" t="s">
        <v>1604</v>
      </c>
      <c r="T1345" t="s">
        <v>1605</v>
      </c>
      <c r="U1345" s="4">
        <v>4945.83</v>
      </c>
      <c r="V1345" t="str">
        <f t="shared" si="20"/>
        <v>IC39</v>
      </c>
      <c r="W1345" t="str">
        <f>VLOOKUP(K1345,[1]Info!A$1:B$21,2,0)</f>
        <v>Carregadeira</v>
      </c>
      <c r="X1345" t="str">
        <f>IF(M1345="109595132","Material de Limpeza-Não Avaliar",IF(AND(K1345="F20",M1345&lt;&gt;109595132),IF(RIGHT(F1345,2)="70","Infraestrutura de Planta","Prédios e Instalações"),IF(K1345="FPC",VLOOKUP(F1345,[1]Info!$E$2:$F$11,2,0),IF(K1345="FGP",VLOOKUP(F1345,[1]Info!$E$9:$F$10,2,0),IF(K1345="F10",VLOOKUP(F1345,[1]Info!$E$2:$F$3,2,0),VLOOKUP(K1345,[1]Info!$A$1:$B$21,2,0))))))</f>
        <v>Carregadeira Plantas</v>
      </c>
    </row>
    <row r="1346" spans="1:24" x14ac:dyDescent="0.35">
      <c r="A1346" t="s">
        <v>41</v>
      </c>
      <c r="B1346" t="s">
        <v>73</v>
      </c>
      <c r="C1346" t="s">
        <v>74</v>
      </c>
      <c r="D1346" t="s">
        <v>106</v>
      </c>
      <c r="E1346" t="s">
        <v>107</v>
      </c>
      <c r="F1346">
        <v>7094870</v>
      </c>
      <c r="G1346" t="s">
        <v>1872</v>
      </c>
      <c r="H1346" t="s">
        <v>43</v>
      </c>
      <c r="I1346" t="s">
        <v>44</v>
      </c>
      <c r="J1346" t="s">
        <v>79</v>
      </c>
      <c r="K1346" t="s">
        <v>6</v>
      </c>
      <c r="L1346" t="s">
        <v>51</v>
      </c>
      <c r="M1346" t="s">
        <v>2140</v>
      </c>
      <c r="N1346" t="s">
        <v>1951</v>
      </c>
      <c r="O1346" t="s">
        <v>1564</v>
      </c>
      <c r="P1346" t="s">
        <v>1292</v>
      </c>
      <c r="Q1346" t="s">
        <v>46</v>
      </c>
      <c r="R1346" t="s">
        <v>47</v>
      </c>
      <c r="S1346" t="s">
        <v>1604</v>
      </c>
      <c r="T1346" t="s">
        <v>1605</v>
      </c>
      <c r="U1346" s="4">
        <v>366.31</v>
      </c>
      <c r="V1346" t="str">
        <f t="shared" si="20"/>
        <v>0025</v>
      </c>
      <c r="W1346" t="str">
        <f>VLOOKUP(K1346,[1]Info!A$1:B$21,2,0)</f>
        <v>Equipamentos Carbonização</v>
      </c>
      <c r="X1346" t="str">
        <f>IF(M1346="109595132","Material de Limpeza-Não Avaliar",IF(AND(K1346="F20",M1346&lt;&gt;109595132),IF(RIGHT(F1346,2)="70","Infraestrutura de Planta","Prédios e Instalações"),IF(K1346="FPC",VLOOKUP(F1346,[1]Info!$E$2:$F$11,2,0),IF(K1346="FGP",VLOOKUP(F1346,[1]Info!$E$9:$F$10,2,0),IF(K1346="F10",VLOOKUP(F1346,[1]Info!$E$2:$F$3,2,0),VLOOKUP(K1346,[1]Info!$A$1:$B$21,2,0))))))</f>
        <v>Equipamentos Carbonização</v>
      </c>
    </row>
    <row r="1347" spans="1:24" x14ac:dyDescent="0.35">
      <c r="A1347" t="s">
        <v>41</v>
      </c>
      <c r="B1347" t="s">
        <v>73</v>
      </c>
      <c r="C1347" t="s">
        <v>74</v>
      </c>
      <c r="D1347" t="s">
        <v>106</v>
      </c>
      <c r="E1347" t="s">
        <v>107</v>
      </c>
      <c r="F1347">
        <v>7094570</v>
      </c>
      <c r="G1347" t="s">
        <v>225</v>
      </c>
      <c r="H1347" t="s">
        <v>43</v>
      </c>
      <c r="I1347" t="s">
        <v>44</v>
      </c>
      <c r="J1347" t="s">
        <v>226</v>
      </c>
      <c r="K1347" t="s">
        <v>7</v>
      </c>
      <c r="L1347" t="s">
        <v>148</v>
      </c>
      <c r="M1347" t="s">
        <v>2141</v>
      </c>
      <c r="N1347" t="s">
        <v>2142</v>
      </c>
      <c r="O1347" t="s">
        <v>237</v>
      </c>
      <c r="P1347" t="s">
        <v>1292</v>
      </c>
      <c r="Q1347" t="s">
        <v>46</v>
      </c>
      <c r="R1347" t="s">
        <v>47</v>
      </c>
      <c r="S1347" t="s">
        <v>1604</v>
      </c>
      <c r="T1347" t="s">
        <v>1605</v>
      </c>
      <c r="U1347" s="4">
        <v>81.67</v>
      </c>
      <c r="V1347" t="str">
        <f t="shared" si="20"/>
        <v>FR39</v>
      </c>
      <c r="W1347" t="str">
        <f>VLOOKUP(K1347,[1]Info!A$1:B$21,2,0)</f>
        <v>Fornos Retangulares - Engenharia e Obras</v>
      </c>
      <c r="X1347" t="str">
        <f>IF(M1347="109595132","Material de Limpeza-Não Avaliar",IF(AND(K1347="F20",M1347&lt;&gt;109595132),IF(RIGHT(F1347,2)="70","Infraestrutura de Planta","Prédios e Instalações"),IF(K1347="FPC",VLOOKUP(F1347,[1]Info!$E$2:$F$11,2,0),IF(K1347="FGP",VLOOKUP(F1347,[1]Info!$E$9:$F$10,2,0),IF(K1347="F10",VLOOKUP(F1347,[1]Info!$E$2:$F$3,2,0),VLOOKUP(K1347,[1]Info!$A$1:$B$21,2,0))))))</f>
        <v>Fornos Retangulares - Engenharia e Obras</v>
      </c>
    </row>
    <row r="1348" spans="1:24" x14ac:dyDescent="0.35">
      <c r="A1348" t="s">
        <v>41</v>
      </c>
      <c r="B1348" t="s">
        <v>73</v>
      </c>
      <c r="C1348" t="s">
        <v>74</v>
      </c>
      <c r="D1348" t="s">
        <v>106</v>
      </c>
      <c r="E1348" t="s">
        <v>107</v>
      </c>
      <c r="F1348">
        <v>7094570</v>
      </c>
      <c r="G1348" t="s">
        <v>225</v>
      </c>
      <c r="H1348" t="s">
        <v>43</v>
      </c>
      <c r="I1348" t="s">
        <v>44</v>
      </c>
      <c r="J1348" t="s">
        <v>226</v>
      </c>
      <c r="K1348" t="s">
        <v>7</v>
      </c>
      <c r="L1348" t="s">
        <v>148</v>
      </c>
      <c r="M1348" t="s">
        <v>1024</v>
      </c>
      <c r="N1348" t="s">
        <v>1025</v>
      </c>
      <c r="O1348" t="s">
        <v>237</v>
      </c>
      <c r="P1348" t="s">
        <v>1292</v>
      </c>
      <c r="Q1348" t="s">
        <v>46</v>
      </c>
      <c r="R1348" t="s">
        <v>47</v>
      </c>
      <c r="S1348" t="s">
        <v>1604</v>
      </c>
      <c r="T1348" t="s">
        <v>1605</v>
      </c>
      <c r="U1348" s="4">
        <v>1134.46</v>
      </c>
      <c r="V1348" t="str">
        <f t="shared" ref="V1348:V1411" si="21">RIGHT(O1348,4)</f>
        <v>FR39</v>
      </c>
      <c r="W1348" t="str">
        <f>VLOOKUP(K1348,[1]Info!A$1:B$21,2,0)</f>
        <v>Fornos Retangulares - Engenharia e Obras</v>
      </c>
      <c r="X1348" t="str">
        <f>IF(M1348="109595132","Material de Limpeza-Não Avaliar",IF(AND(K1348="F20",M1348&lt;&gt;109595132),IF(RIGHT(F1348,2)="70","Infraestrutura de Planta","Prédios e Instalações"),IF(K1348="FPC",VLOOKUP(F1348,[1]Info!$E$2:$F$11,2,0),IF(K1348="FGP",VLOOKUP(F1348,[1]Info!$E$9:$F$10,2,0),IF(K1348="F10",VLOOKUP(F1348,[1]Info!$E$2:$F$3,2,0),VLOOKUP(K1348,[1]Info!$A$1:$B$21,2,0))))))</f>
        <v>Fornos Retangulares - Engenharia e Obras</v>
      </c>
    </row>
    <row r="1349" spans="1:24" x14ac:dyDescent="0.35">
      <c r="A1349" t="s">
        <v>41</v>
      </c>
      <c r="B1349" t="s">
        <v>73</v>
      </c>
      <c r="C1349" t="s">
        <v>74</v>
      </c>
      <c r="D1349" t="s">
        <v>106</v>
      </c>
      <c r="E1349" t="s">
        <v>107</v>
      </c>
      <c r="F1349">
        <v>7094570</v>
      </c>
      <c r="G1349" t="s">
        <v>225</v>
      </c>
      <c r="H1349" t="s">
        <v>43</v>
      </c>
      <c r="I1349" t="s">
        <v>44</v>
      </c>
      <c r="J1349" t="s">
        <v>226</v>
      </c>
      <c r="K1349" t="s">
        <v>7</v>
      </c>
      <c r="L1349" t="s">
        <v>148</v>
      </c>
      <c r="M1349" t="s">
        <v>2143</v>
      </c>
      <c r="N1349" t="s">
        <v>2144</v>
      </c>
      <c r="O1349" t="s">
        <v>237</v>
      </c>
      <c r="P1349" t="s">
        <v>1292</v>
      </c>
      <c r="Q1349" t="s">
        <v>46</v>
      </c>
      <c r="R1349" t="s">
        <v>47</v>
      </c>
      <c r="S1349" t="s">
        <v>1476</v>
      </c>
      <c r="T1349" t="s">
        <v>1477</v>
      </c>
      <c r="U1349" s="4">
        <v>7005.29</v>
      </c>
      <c r="V1349" t="str">
        <f t="shared" si="21"/>
        <v>FR39</v>
      </c>
      <c r="W1349" t="str">
        <f>VLOOKUP(K1349,[1]Info!A$1:B$21,2,0)</f>
        <v>Fornos Retangulares - Engenharia e Obras</v>
      </c>
      <c r="X1349" t="str">
        <f>IF(M1349="109595132","Material de Limpeza-Não Avaliar",IF(AND(K1349="F20",M1349&lt;&gt;109595132),IF(RIGHT(F1349,2)="70","Infraestrutura de Planta","Prédios e Instalações"),IF(K1349="FPC",VLOOKUP(F1349,[1]Info!$E$2:$F$11,2,0),IF(K1349="FGP",VLOOKUP(F1349,[1]Info!$E$9:$F$10,2,0),IF(K1349="F10",VLOOKUP(F1349,[1]Info!$E$2:$F$3,2,0),VLOOKUP(K1349,[1]Info!$A$1:$B$21,2,0))))))</f>
        <v>Fornos Retangulares - Engenharia e Obras</v>
      </c>
    </row>
    <row r="1350" spans="1:24" x14ac:dyDescent="0.35">
      <c r="A1350" t="s">
        <v>41</v>
      </c>
      <c r="B1350" t="s">
        <v>73</v>
      </c>
      <c r="C1350" t="s">
        <v>74</v>
      </c>
      <c r="D1350" t="s">
        <v>106</v>
      </c>
      <c r="E1350" t="s">
        <v>107</v>
      </c>
      <c r="F1350">
        <v>7094570</v>
      </c>
      <c r="G1350" t="s">
        <v>225</v>
      </c>
      <c r="H1350" t="s">
        <v>43</v>
      </c>
      <c r="I1350" t="s">
        <v>44</v>
      </c>
      <c r="J1350" t="s">
        <v>226</v>
      </c>
      <c r="K1350" t="s">
        <v>7</v>
      </c>
      <c r="L1350" t="s">
        <v>148</v>
      </c>
      <c r="M1350" t="s">
        <v>1962</v>
      </c>
      <c r="N1350" t="s">
        <v>1963</v>
      </c>
      <c r="O1350" t="s">
        <v>1586</v>
      </c>
      <c r="P1350" t="s">
        <v>1292</v>
      </c>
      <c r="Q1350" t="s">
        <v>46</v>
      </c>
      <c r="R1350" t="s">
        <v>47</v>
      </c>
      <c r="S1350" t="s">
        <v>1476</v>
      </c>
      <c r="T1350" t="s">
        <v>1477</v>
      </c>
      <c r="U1350" s="4">
        <v>11097.04</v>
      </c>
      <c r="V1350" t="str">
        <f t="shared" si="21"/>
        <v>-030</v>
      </c>
      <c r="W1350" t="str">
        <f>VLOOKUP(K1350,[1]Info!A$1:B$21,2,0)</f>
        <v>Fornos Retangulares - Engenharia e Obras</v>
      </c>
      <c r="X1350" t="str">
        <f>IF(M1350="109595132","Material de Limpeza-Não Avaliar",IF(AND(K1350="F20",M1350&lt;&gt;109595132),IF(RIGHT(F1350,2)="70","Infraestrutura de Planta","Prédios e Instalações"),IF(K1350="FPC",VLOOKUP(F1350,[1]Info!$E$2:$F$11,2,0),IF(K1350="FGP",VLOOKUP(F1350,[1]Info!$E$9:$F$10,2,0),IF(K1350="F10",VLOOKUP(F1350,[1]Info!$E$2:$F$3,2,0),VLOOKUP(K1350,[1]Info!$A$1:$B$21,2,0))))))</f>
        <v>Fornos Retangulares - Engenharia e Obras</v>
      </c>
    </row>
    <row r="1351" spans="1:24" x14ac:dyDescent="0.35">
      <c r="A1351" t="s">
        <v>41</v>
      </c>
      <c r="B1351" t="s">
        <v>73</v>
      </c>
      <c r="C1351" t="s">
        <v>74</v>
      </c>
      <c r="D1351" t="s">
        <v>106</v>
      </c>
      <c r="E1351" t="s">
        <v>107</v>
      </c>
      <c r="F1351">
        <v>7094570</v>
      </c>
      <c r="G1351" t="s">
        <v>225</v>
      </c>
      <c r="H1351" t="s">
        <v>43</v>
      </c>
      <c r="I1351" t="s">
        <v>44</v>
      </c>
      <c r="J1351" t="s">
        <v>226</v>
      </c>
      <c r="K1351" t="s">
        <v>7</v>
      </c>
      <c r="L1351" t="s">
        <v>148</v>
      </c>
      <c r="M1351" t="s">
        <v>2145</v>
      </c>
      <c r="N1351" t="s">
        <v>2146</v>
      </c>
      <c r="O1351" t="s">
        <v>237</v>
      </c>
      <c r="P1351" t="s">
        <v>1292</v>
      </c>
      <c r="Q1351" t="s">
        <v>46</v>
      </c>
      <c r="R1351" t="s">
        <v>47</v>
      </c>
      <c r="S1351" t="s">
        <v>1476</v>
      </c>
      <c r="T1351" t="s">
        <v>1477</v>
      </c>
      <c r="U1351" s="4">
        <v>9869.98</v>
      </c>
      <c r="V1351" t="str">
        <f t="shared" si="21"/>
        <v>FR39</v>
      </c>
      <c r="W1351" t="str">
        <f>VLOOKUP(K1351,[1]Info!A$1:B$21,2,0)</f>
        <v>Fornos Retangulares - Engenharia e Obras</v>
      </c>
      <c r="X1351" t="str">
        <f>IF(M1351="109595132","Material de Limpeza-Não Avaliar",IF(AND(K1351="F20",M1351&lt;&gt;109595132),IF(RIGHT(F1351,2)="70","Infraestrutura de Planta","Prédios e Instalações"),IF(K1351="FPC",VLOOKUP(F1351,[1]Info!$E$2:$F$11,2,0),IF(K1351="FGP",VLOOKUP(F1351,[1]Info!$E$9:$F$10,2,0),IF(K1351="F10",VLOOKUP(F1351,[1]Info!$E$2:$F$3,2,0),VLOOKUP(K1351,[1]Info!$A$1:$B$21,2,0))))))</f>
        <v>Fornos Retangulares - Engenharia e Obras</v>
      </c>
    </row>
    <row r="1352" spans="1:24" x14ac:dyDescent="0.35">
      <c r="A1352" t="s">
        <v>41</v>
      </c>
      <c r="B1352" t="s">
        <v>73</v>
      </c>
      <c r="C1352" t="s">
        <v>74</v>
      </c>
      <c r="D1352" t="s">
        <v>106</v>
      </c>
      <c r="E1352" t="s">
        <v>107</v>
      </c>
      <c r="F1352">
        <v>7094570</v>
      </c>
      <c r="G1352" t="s">
        <v>225</v>
      </c>
      <c r="H1352" t="s">
        <v>43</v>
      </c>
      <c r="I1352" t="s">
        <v>44</v>
      </c>
      <c r="J1352" t="s">
        <v>226</v>
      </c>
      <c r="K1352" t="s">
        <v>7</v>
      </c>
      <c r="L1352" t="s">
        <v>148</v>
      </c>
      <c r="M1352" t="s">
        <v>1964</v>
      </c>
      <c r="N1352" t="s">
        <v>1965</v>
      </c>
      <c r="O1352" t="s">
        <v>1587</v>
      </c>
      <c r="P1352" t="s">
        <v>1292</v>
      </c>
      <c r="Q1352" t="s">
        <v>46</v>
      </c>
      <c r="R1352" t="s">
        <v>47</v>
      </c>
      <c r="S1352" t="s">
        <v>1476</v>
      </c>
      <c r="T1352" t="s">
        <v>1477</v>
      </c>
      <c r="U1352" s="4">
        <v>11100.79</v>
      </c>
      <c r="V1352" t="str">
        <f t="shared" si="21"/>
        <v>-030</v>
      </c>
      <c r="W1352" t="str">
        <f>VLOOKUP(K1352,[1]Info!A$1:B$21,2,0)</f>
        <v>Fornos Retangulares - Engenharia e Obras</v>
      </c>
      <c r="X1352" t="str">
        <f>IF(M1352="109595132","Material de Limpeza-Não Avaliar",IF(AND(K1352="F20",M1352&lt;&gt;109595132),IF(RIGHT(F1352,2)="70","Infraestrutura de Planta","Prédios e Instalações"),IF(K1352="FPC",VLOOKUP(F1352,[1]Info!$E$2:$F$11,2,0),IF(K1352="FGP",VLOOKUP(F1352,[1]Info!$E$9:$F$10,2,0),IF(K1352="F10",VLOOKUP(F1352,[1]Info!$E$2:$F$3,2,0),VLOOKUP(K1352,[1]Info!$A$1:$B$21,2,0))))))</f>
        <v>Fornos Retangulares - Engenharia e Obras</v>
      </c>
    </row>
    <row r="1353" spans="1:24" x14ac:dyDescent="0.35">
      <c r="A1353" t="s">
        <v>41</v>
      </c>
      <c r="B1353" t="s">
        <v>73</v>
      </c>
      <c r="C1353" t="s">
        <v>74</v>
      </c>
      <c r="D1353" t="s">
        <v>106</v>
      </c>
      <c r="E1353" t="s">
        <v>107</v>
      </c>
      <c r="F1353">
        <v>7094570</v>
      </c>
      <c r="G1353" t="s">
        <v>225</v>
      </c>
      <c r="H1353" t="s">
        <v>43</v>
      </c>
      <c r="I1353" t="s">
        <v>44</v>
      </c>
      <c r="J1353" t="s">
        <v>226</v>
      </c>
      <c r="K1353" t="s">
        <v>6</v>
      </c>
      <c r="L1353" t="s">
        <v>62</v>
      </c>
      <c r="M1353" t="s">
        <v>2147</v>
      </c>
      <c r="N1353" t="s">
        <v>2148</v>
      </c>
      <c r="O1353" t="s">
        <v>2149</v>
      </c>
      <c r="P1353" t="s">
        <v>1292</v>
      </c>
      <c r="Q1353" t="s">
        <v>46</v>
      </c>
      <c r="R1353" t="s">
        <v>47</v>
      </c>
      <c r="S1353" t="s">
        <v>1604</v>
      </c>
      <c r="T1353" t="s">
        <v>1605</v>
      </c>
      <c r="U1353" s="4">
        <v>807.76</v>
      </c>
      <c r="V1353" t="str">
        <f t="shared" si="21"/>
        <v>BCAL</v>
      </c>
      <c r="W1353" t="str">
        <f>VLOOKUP(K1353,[1]Info!A$1:B$21,2,0)</f>
        <v>Equipamentos Carbonização</v>
      </c>
      <c r="X1353" t="str">
        <f>IF(M1353="109595132","Material de Limpeza-Não Avaliar",IF(AND(K1353="F20",M1353&lt;&gt;109595132),IF(RIGHT(F1353,2)="70","Infraestrutura de Planta","Prédios e Instalações"),IF(K1353="FPC",VLOOKUP(F1353,[1]Info!$E$2:$F$11,2,0),IF(K1353="FGP",VLOOKUP(F1353,[1]Info!$E$9:$F$10,2,0),IF(K1353="F10",VLOOKUP(F1353,[1]Info!$E$2:$F$3,2,0),VLOOKUP(K1353,[1]Info!$A$1:$B$21,2,0))))))</f>
        <v>Equipamentos Carbonização</v>
      </c>
    </row>
    <row r="1354" spans="1:24" x14ac:dyDescent="0.35">
      <c r="A1354" t="s">
        <v>41</v>
      </c>
      <c r="B1354" t="s">
        <v>73</v>
      </c>
      <c r="C1354" t="s">
        <v>74</v>
      </c>
      <c r="D1354" t="s">
        <v>106</v>
      </c>
      <c r="E1354" t="s">
        <v>107</v>
      </c>
      <c r="F1354">
        <v>7094570</v>
      </c>
      <c r="G1354" t="s">
        <v>225</v>
      </c>
      <c r="H1354" t="s">
        <v>43</v>
      </c>
      <c r="I1354" t="s">
        <v>44</v>
      </c>
      <c r="J1354" t="s">
        <v>226</v>
      </c>
      <c r="K1354" t="s">
        <v>6</v>
      </c>
      <c r="L1354" t="s">
        <v>51</v>
      </c>
      <c r="M1354" t="s">
        <v>2150</v>
      </c>
      <c r="N1354" t="s">
        <v>2151</v>
      </c>
      <c r="O1354" t="s">
        <v>1588</v>
      </c>
      <c r="P1354" t="s">
        <v>1292</v>
      </c>
      <c r="Q1354" t="s">
        <v>46</v>
      </c>
      <c r="R1354" t="s">
        <v>47</v>
      </c>
      <c r="S1354" t="s">
        <v>1604</v>
      </c>
      <c r="T1354" t="s">
        <v>1605</v>
      </c>
      <c r="U1354" s="4">
        <v>366.31</v>
      </c>
      <c r="V1354" t="str">
        <f t="shared" si="21"/>
        <v>0050</v>
      </c>
      <c r="W1354" t="str">
        <f>VLOOKUP(K1354,[1]Info!A$1:B$21,2,0)</f>
        <v>Equipamentos Carbonização</v>
      </c>
      <c r="X1354" t="str">
        <f>IF(M1354="109595132","Material de Limpeza-Não Avaliar",IF(AND(K1354="F20",M1354&lt;&gt;109595132),IF(RIGHT(F1354,2)="70","Infraestrutura de Planta","Prédios e Instalações"),IF(K1354="FPC",VLOOKUP(F1354,[1]Info!$E$2:$F$11,2,0),IF(K1354="FGP",VLOOKUP(F1354,[1]Info!$E$9:$F$10,2,0),IF(K1354="F10",VLOOKUP(F1354,[1]Info!$E$2:$F$3,2,0),VLOOKUP(K1354,[1]Info!$A$1:$B$21,2,0))))))</f>
        <v>Equipamentos Carbonização</v>
      </c>
    </row>
    <row r="1355" spans="1:24" x14ac:dyDescent="0.35">
      <c r="A1355" t="s">
        <v>41</v>
      </c>
      <c r="B1355" t="s">
        <v>73</v>
      </c>
      <c r="C1355" t="s">
        <v>74</v>
      </c>
      <c r="D1355" t="s">
        <v>106</v>
      </c>
      <c r="E1355" t="s">
        <v>107</v>
      </c>
      <c r="F1355">
        <v>7094070</v>
      </c>
      <c r="G1355" t="s">
        <v>1968</v>
      </c>
      <c r="H1355" t="s">
        <v>43</v>
      </c>
      <c r="I1355" t="s">
        <v>44</v>
      </c>
      <c r="J1355" t="s">
        <v>1274</v>
      </c>
      <c r="K1355" t="s">
        <v>6</v>
      </c>
      <c r="L1355" t="s">
        <v>62</v>
      </c>
      <c r="M1355" t="s">
        <v>2152</v>
      </c>
      <c r="N1355" t="s">
        <v>1970</v>
      </c>
      <c r="O1355" t="s">
        <v>1591</v>
      </c>
      <c r="P1355" t="s">
        <v>1292</v>
      </c>
      <c r="Q1355" t="s">
        <v>46</v>
      </c>
      <c r="R1355" t="s">
        <v>47</v>
      </c>
      <c r="S1355" t="s">
        <v>1483</v>
      </c>
      <c r="T1355" t="s">
        <v>1484</v>
      </c>
      <c r="U1355" s="4">
        <v>710.39</v>
      </c>
      <c r="V1355" t="str">
        <f t="shared" si="21"/>
        <v>BALD</v>
      </c>
      <c r="W1355" t="str">
        <f>VLOOKUP(K1355,[1]Info!A$1:B$21,2,0)</f>
        <v>Equipamentos Carbonização</v>
      </c>
      <c r="X1355" t="str">
        <f>IF(M1355="109595132","Material de Limpeza-Não Avaliar",IF(AND(K1355="F20",M1355&lt;&gt;109595132),IF(RIGHT(F1355,2)="70","Infraestrutura de Planta","Prédios e Instalações"),IF(K1355="FPC",VLOOKUP(F1355,[1]Info!$E$2:$F$11,2,0),IF(K1355="FGP",VLOOKUP(F1355,[1]Info!$E$9:$F$10,2,0),IF(K1355="F10",VLOOKUP(F1355,[1]Info!$E$2:$F$3,2,0),VLOOKUP(K1355,[1]Info!$A$1:$B$21,2,0))))))</f>
        <v>Equipamentos Carbonização</v>
      </c>
    </row>
    <row r="1356" spans="1:24" x14ac:dyDescent="0.35">
      <c r="A1356" t="s">
        <v>41</v>
      </c>
      <c r="B1356" t="s">
        <v>73</v>
      </c>
      <c r="C1356" t="s">
        <v>74</v>
      </c>
      <c r="D1356" t="s">
        <v>106</v>
      </c>
      <c r="E1356" t="s">
        <v>107</v>
      </c>
      <c r="F1356">
        <v>7094070</v>
      </c>
      <c r="G1356" t="s">
        <v>1968</v>
      </c>
      <c r="H1356" t="s">
        <v>43</v>
      </c>
      <c r="I1356" t="s">
        <v>44</v>
      </c>
      <c r="J1356" t="s">
        <v>1274</v>
      </c>
      <c r="K1356" t="s">
        <v>6</v>
      </c>
      <c r="L1356" t="s">
        <v>62</v>
      </c>
      <c r="M1356" t="s">
        <v>2153</v>
      </c>
      <c r="N1356" t="s">
        <v>1970</v>
      </c>
      <c r="O1356" t="s">
        <v>1591</v>
      </c>
      <c r="P1356" t="s">
        <v>1292</v>
      </c>
      <c r="Q1356" t="s">
        <v>46</v>
      </c>
      <c r="R1356" t="s">
        <v>47</v>
      </c>
      <c r="S1356" t="s">
        <v>1604</v>
      </c>
      <c r="T1356" t="s">
        <v>1605</v>
      </c>
      <c r="U1356" s="4">
        <v>807.76</v>
      </c>
      <c r="V1356" t="str">
        <f t="shared" si="21"/>
        <v>BALD</v>
      </c>
      <c r="W1356" t="str">
        <f>VLOOKUP(K1356,[1]Info!A$1:B$21,2,0)</f>
        <v>Equipamentos Carbonização</v>
      </c>
      <c r="X1356" t="str">
        <f>IF(M1356="109595132","Material de Limpeza-Não Avaliar",IF(AND(K1356="F20",M1356&lt;&gt;109595132),IF(RIGHT(F1356,2)="70","Infraestrutura de Planta","Prédios e Instalações"),IF(K1356="FPC",VLOOKUP(F1356,[1]Info!$E$2:$F$11,2,0),IF(K1356="FGP",VLOOKUP(F1356,[1]Info!$E$9:$F$10,2,0),IF(K1356="F10",VLOOKUP(F1356,[1]Info!$E$2:$F$3,2,0),VLOOKUP(K1356,[1]Info!$A$1:$B$21,2,0))))))</f>
        <v>Equipamentos Carbonização</v>
      </c>
    </row>
    <row r="1357" spans="1:24" x14ac:dyDescent="0.35">
      <c r="A1357" t="s">
        <v>41</v>
      </c>
      <c r="B1357" t="s">
        <v>73</v>
      </c>
      <c r="C1357" t="s">
        <v>74</v>
      </c>
      <c r="D1357" t="s">
        <v>106</v>
      </c>
      <c r="E1357" t="s">
        <v>107</v>
      </c>
      <c r="F1357">
        <v>7093370</v>
      </c>
      <c r="G1357" t="s">
        <v>151</v>
      </c>
      <c r="H1357" t="s">
        <v>43</v>
      </c>
      <c r="I1357" t="s">
        <v>44</v>
      </c>
      <c r="J1357" t="s">
        <v>152</v>
      </c>
      <c r="K1357" t="s">
        <v>7</v>
      </c>
      <c r="L1357" t="s">
        <v>148</v>
      </c>
      <c r="M1357" t="s">
        <v>1852</v>
      </c>
      <c r="N1357" t="s">
        <v>1853</v>
      </c>
      <c r="O1357" t="s">
        <v>153</v>
      </c>
      <c r="P1357" t="s">
        <v>1292</v>
      </c>
      <c r="Q1357" t="s">
        <v>46</v>
      </c>
      <c r="R1357" t="s">
        <v>47</v>
      </c>
      <c r="S1357" t="s">
        <v>1604</v>
      </c>
      <c r="T1357" t="s">
        <v>1605</v>
      </c>
      <c r="U1357" s="4">
        <v>518.64</v>
      </c>
      <c r="V1357" t="str">
        <f t="shared" si="21"/>
        <v>FR19</v>
      </c>
      <c r="W1357" t="str">
        <f>VLOOKUP(K1357,[1]Info!A$1:B$21,2,0)</f>
        <v>Fornos Retangulares - Engenharia e Obras</v>
      </c>
      <c r="X1357" t="str">
        <f>IF(M1357="109595132","Material de Limpeza-Não Avaliar",IF(AND(K1357="F20",M1357&lt;&gt;109595132),IF(RIGHT(F1357,2)="70","Infraestrutura de Planta","Prédios e Instalações"),IF(K1357="FPC",VLOOKUP(F1357,[1]Info!$E$2:$F$11,2,0),IF(K1357="FGP",VLOOKUP(F1357,[1]Info!$E$9:$F$10,2,0),IF(K1357="F10",VLOOKUP(F1357,[1]Info!$E$2:$F$3,2,0),VLOOKUP(K1357,[1]Info!$A$1:$B$21,2,0))))))</f>
        <v>Fornos Retangulares - Engenharia e Obras</v>
      </c>
    </row>
    <row r="1358" spans="1:24" x14ac:dyDescent="0.35">
      <c r="A1358" t="s">
        <v>41</v>
      </c>
      <c r="B1358" t="s">
        <v>73</v>
      </c>
      <c r="C1358" t="s">
        <v>74</v>
      </c>
      <c r="D1358" t="s">
        <v>106</v>
      </c>
      <c r="E1358" t="s">
        <v>107</v>
      </c>
      <c r="F1358">
        <v>7093370</v>
      </c>
      <c r="G1358" t="s">
        <v>151</v>
      </c>
      <c r="H1358" t="s">
        <v>43</v>
      </c>
      <c r="I1358" t="s">
        <v>44</v>
      </c>
      <c r="J1358" t="s">
        <v>152</v>
      </c>
      <c r="K1358" t="s">
        <v>7</v>
      </c>
      <c r="L1358" t="s">
        <v>148</v>
      </c>
      <c r="M1358" t="s">
        <v>1032</v>
      </c>
      <c r="N1358" t="s">
        <v>1033</v>
      </c>
      <c r="O1358" t="s">
        <v>153</v>
      </c>
      <c r="P1358" t="s">
        <v>1292</v>
      </c>
      <c r="Q1358" t="s">
        <v>46</v>
      </c>
      <c r="R1358" t="s">
        <v>47</v>
      </c>
      <c r="S1358" t="s">
        <v>1604</v>
      </c>
      <c r="T1358" t="s">
        <v>1605</v>
      </c>
      <c r="U1358" s="4">
        <v>2114.56</v>
      </c>
      <c r="V1358" t="str">
        <f t="shared" si="21"/>
        <v>FR19</v>
      </c>
      <c r="W1358" t="str">
        <f>VLOOKUP(K1358,[1]Info!A$1:B$21,2,0)</f>
        <v>Fornos Retangulares - Engenharia e Obras</v>
      </c>
      <c r="X1358" t="str">
        <f>IF(M1358="109595132","Material de Limpeza-Não Avaliar",IF(AND(K1358="F20",M1358&lt;&gt;109595132),IF(RIGHT(F1358,2)="70","Infraestrutura de Planta","Prédios e Instalações"),IF(K1358="FPC",VLOOKUP(F1358,[1]Info!$E$2:$F$11,2,0),IF(K1358="FGP",VLOOKUP(F1358,[1]Info!$E$9:$F$10,2,0),IF(K1358="F10",VLOOKUP(F1358,[1]Info!$E$2:$F$3,2,0),VLOOKUP(K1358,[1]Info!$A$1:$B$21,2,0))))))</f>
        <v>Fornos Retangulares - Engenharia e Obras</v>
      </c>
    </row>
    <row r="1359" spans="1:24" x14ac:dyDescent="0.35">
      <c r="A1359" t="s">
        <v>41</v>
      </c>
      <c r="B1359" t="s">
        <v>73</v>
      </c>
      <c r="C1359" t="s">
        <v>74</v>
      </c>
      <c r="D1359" t="s">
        <v>106</v>
      </c>
      <c r="E1359" t="s">
        <v>107</v>
      </c>
      <c r="F1359">
        <v>7093370</v>
      </c>
      <c r="G1359" t="s">
        <v>151</v>
      </c>
      <c r="H1359" t="s">
        <v>43</v>
      </c>
      <c r="I1359" t="s">
        <v>44</v>
      </c>
      <c r="J1359" t="s">
        <v>152</v>
      </c>
      <c r="K1359" t="s">
        <v>7</v>
      </c>
      <c r="L1359" t="s">
        <v>148</v>
      </c>
      <c r="M1359" t="s">
        <v>2154</v>
      </c>
      <c r="N1359" t="s">
        <v>2155</v>
      </c>
      <c r="O1359" t="s">
        <v>153</v>
      </c>
      <c r="P1359" t="s">
        <v>1292</v>
      </c>
      <c r="Q1359" t="s">
        <v>46</v>
      </c>
      <c r="R1359" t="s">
        <v>47</v>
      </c>
      <c r="S1359" t="s">
        <v>1476</v>
      </c>
      <c r="T1359" t="s">
        <v>1477</v>
      </c>
      <c r="U1359" s="4">
        <v>4671.75</v>
      </c>
      <c r="V1359" t="str">
        <f t="shared" si="21"/>
        <v>FR19</v>
      </c>
      <c r="W1359" t="str">
        <f>VLOOKUP(K1359,[1]Info!A$1:B$21,2,0)</f>
        <v>Fornos Retangulares - Engenharia e Obras</v>
      </c>
      <c r="X1359" t="str">
        <f>IF(M1359="109595132","Material de Limpeza-Não Avaliar",IF(AND(K1359="F20",M1359&lt;&gt;109595132),IF(RIGHT(F1359,2)="70","Infraestrutura de Planta","Prédios e Instalações"),IF(K1359="FPC",VLOOKUP(F1359,[1]Info!$E$2:$F$11,2,0),IF(K1359="FGP",VLOOKUP(F1359,[1]Info!$E$9:$F$10,2,0),IF(K1359="F10",VLOOKUP(F1359,[1]Info!$E$2:$F$3,2,0),VLOOKUP(K1359,[1]Info!$A$1:$B$21,2,0))))))</f>
        <v>Fornos Retangulares - Engenharia e Obras</v>
      </c>
    </row>
    <row r="1360" spans="1:24" x14ac:dyDescent="0.35">
      <c r="A1360" t="s">
        <v>41</v>
      </c>
      <c r="B1360" t="s">
        <v>73</v>
      </c>
      <c r="C1360" t="s">
        <v>74</v>
      </c>
      <c r="D1360" t="s">
        <v>106</v>
      </c>
      <c r="E1360" t="s">
        <v>107</v>
      </c>
      <c r="F1360">
        <v>7093370</v>
      </c>
      <c r="G1360" t="s">
        <v>151</v>
      </c>
      <c r="H1360" t="s">
        <v>43</v>
      </c>
      <c r="I1360" t="s">
        <v>44</v>
      </c>
      <c r="J1360" t="s">
        <v>152</v>
      </c>
      <c r="K1360" t="s">
        <v>7</v>
      </c>
      <c r="L1360" t="s">
        <v>148</v>
      </c>
      <c r="M1360" t="s">
        <v>1055</v>
      </c>
      <c r="N1360" t="s">
        <v>1056</v>
      </c>
      <c r="O1360" t="s">
        <v>1057</v>
      </c>
      <c r="P1360" t="s">
        <v>1292</v>
      </c>
      <c r="Q1360" t="s">
        <v>46</v>
      </c>
      <c r="R1360" t="s">
        <v>47</v>
      </c>
      <c r="S1360" t="s">
        <v>1476</v>
      </c>
      <c r="T1360" t="s">
        <v>1477</v>
      </c>
      <c r="U1360" s="4">
        <v>1727.78</v>
      </c>
      <c r="V1360" t="str">
        <f t="shared" si="21"/>
        <v>-030</v>
      </c>
      <c r="W1360" t="str">
        <f>VLOOKUP(K1360,[1]Info!A$1:B$21,2,0)</f>
        <v>Fornos Retangulares - Engenharia e Obras</v>
      </c>
      <c r="X1360" t="str">
        <f>IF(M1360="109595132","Material de Limpeza-Não Avaliar",IF(AND(K1360="F20",M1360&lt;&gt;109595132),IF(RIGHT(F1360,2)="70","Infraestrutura de Planta","Prédios e Instalações"),IF(K1360="FPC",VLOOKUP(F1360,[1]Info!$E$2:$F$11,2,0),IF(K1360="FGP",VLOOKUP(F1360,[1]Info!$E$9:$F$10,2,0),IF(K1360="F10",VLOOKUP(F1360,[1]Info!$E$2:$F$3,2,0),VLOOKUP(K1360,[1]Info!$A$1:$B$21,2,0))))))</f>
        <v>Fornos Retangulares - Engenharia e Obras</v>
      </c>
    </row>
    <row r="1361" spans="1:24" x14ac:dyDescent="0.35">
      <c r="A1361" t="s">
        <v>41</v>
      </c>
      <c r="B1361" t="s">
        <v>73</v>
      </c>
      <c r="C1361" t="s">
        <v>74</v>
      </c>
      <c r="D1361" t="s">
        <v>106</v>
      </c>
      <c r="E1361" t="s">
        <v>107</v>
      </c>
      <c r="F1361">
        <v>7093370</v>
      </c>
      <c r="G1361" t="s">
        <v>151</v>
      </c>
      <c r="H1361" t="s">
        <v>43</v>
      </c>
      <c r="I1361" t="s">
        <v>44</v>
      </c>
      <c r="J1361" t="s">
        <v>152</v>
      </c>
      <c r="K1361" t="s">
        <v>7</v>
      </c>
      <c r="L1361" t="s">
        <v>148</v>
      </c>
      <c r="M1361" t="s">
        <v>1078</v>
      </c>
      <c r="N1361" t="s">
        <v>1079</v>
      </c>
      <c r="O1361" t="s">
        <v>1080</v>
      </c>
      <c r="P1361" t="s">
        <v>1292</v>
      </c>
      <c r="Q1361" t="s">
        <v>46</v>
      </c>
      <c r="R1361" t="s">
        <v>47</v>
      </c>
      <c r="S1361" t="s">
        <v>1476</v>
      </c>
      <c r="T1361" t="s">
        <v>1477</v>
      </c>
      <c r="U1361" s="4">
        <v>1727.78</v>
      </c>
      <c r="V1361" t="str">
        <f t="shared" si="21"/>
        <v>-030</v>
      </c>
      <c r="W1361" t="str">
        <f>VLOOKUP(K1361,[1]Info!A$1:B$21,2,0)</f>
        <v>Fornos Retangulares - Engenharia e Obras</v>
      </c>
      <c r="X1361" t="str">
        <f>IF(M1361="109595132","Material de Limpeza-Não Avaliar",IF(AND(K1361="F20",M1361&lt;&gt;109595132),IF(RIGHT(F1361,2)="70","Infraestrutura de Planta","Prédios e Instalações"),IF(K1361="FPC",VLOOKUP(F1361,[1]Info!$E$2:$F$11,2,0),IF(K1361="FGP",VLOOKUP(F1361,[1]Info!$E$9:$F$10,2,0),IF(K1361="F10",VLOOKUP(F1361,[1]Info!$E$2:$F$3,2,0),VLOOKUP(K1361,[1]Info!$A$1:$B$21,2,0))))))</f>
        <v>Fornos Retangulares - Engenharia e Obras</v>
      </c>
    </row>
    <row r="1362" spans="1:24" x14ac:dyDescent="0.35">
      <c r="A1362" t="s">
        <v>41</v>
      </c>
      <c r="B1362" t="s">
        <v>73</v>
      </c>
      <c r="C1362" t="s">
        <v>74</v>
      </c>
      <c r="D1362" t="s">
        <v>106</v>
      </c>
      <c r="E1362" t="s">
        <v>107</v>
      </c>
      <c r="F1362">
        <v>7093370</v>
      </c>
      <c r="G1362" t="s">
        <v>151</v>
      </c>
      <c r="H1362" t="s">
        <v>43</v>
      </c>
      <c r="I1362" t="s">
        <v>44</v>
      </c>
      <c r="J1362" t="s">
        <v>152</v>
      </c>
      <c r="K1362" t="s">
        <v>7</v>
      </c>
      <c r="L1362" t="s">
        <v>148</v>
      </c>
      <c r="M1362" t="s">
        <v>1083</v>
      </c>
      <c r="N1362" t="s">
        <v>1084</v>
      </c>
      <c r="O1362" t="s">
        <v>1085</v>
      </c>
      <c r="P1362" t="s">
        <v>1292</v>
      </c>
      <c r="Q1362" t="s">
        <v>46</v>
      </c>
      <c r="R1362" t="s">
        <v>47</v>
      </c>
      <c r="S1362" t="s">
        <v>1476</v>
      </c>
      <c r="T1362" t="s">
        <v>1477</v>
      </c>
      <c r="U1362" s="4">
        <v>1727.78</v>
      </c>
      <c r="V1362" t="str">
        <f t="shared" si="21"/>
        <v>-035</v>
      </c>
      <c r="W1362" t="str">
        <f>VLOOKUP(K1362,[1]Info!A$1:B$21,2,0)</f>
        <v>Fornos Retangulares - Engenharia e Obras</v>
      </c>
      <c r="X1362" t="str">
        <f>IF(M1362="109595132","Material de Limpeza-Não Avaliar",IF(AND(K1362="F20",M1362&lt;&gt;109595132),IF(RIGHT(F1362,2)="70","Infraestrutura de Planta","Prédios e Instalações"),IF(K1362="FPC",VLOOKUP(F1362,[1]Info!$E$2:$F$11,2,0),IF(K1362="FGP",VLOOKUP(F1362,[1]Info!$E$9:$F$10,2,0),IF(K1362="F10",VLOOKUP(F1362,[1]Info!$E$2:$F$3,2,0),VLOOKUP(K1362,[1]Info!$A$1:$B$21,2,0))))))</f>
        <v>Fornos Retangulares - Engenharia e Obras</v>
      </c>
    </row>
    <row r="1363" spans="1:24" x14ac:dyDescent="0.35">
      <c r="A1363" t="s">
        <v>41</v>
      </c>
      <c r="B1363" t="s">
        <v>73</v>
      </c>
      <c r="C1363" t="s">
        <v>74</v>
      </c>
      <c r="D1363" t="s">
        <v>106</v>
      </c>
      <c r="E1363" t="s">
        <v>107</v>
      </c>
      <c r="F1363">
        <v>7093370</v>
      </c>
      <c r="G1363" t="s">
        <v>151</v>
      </c>
      <c r="H1363" t="s">
        <v>43</v>
      </c>
      <c r="I1363" t="s">
        <v>44</v>
      </c>
      <c r="J1363" t="s">
        <v>152</v>
      </c>
      <c r="K1363" t="s">
        <v>7</v>
      </c>
      <c r="L1363" t="s">
        <v>148</v>
      </c>
      <c r="M1363" t="s">
        <v>1086</v>
      </c>
      <c r="N1363" t="s">
        <v>1087</v>
      </c>
      <c r="O1363" t="s">
        <v>1088</v>
      </c>
      <c r="P1363" t="s">
        <v>1292</v>
      </c>
      <c r="Q1363" t="s">
        <v>46</v>
      </c>
      <c r="R1363" t="s">
        <v>47</v>
      </c>
      <c r="S1363" t="s">
        <v>1476</v>
      </c>
      <c r="T1363" t="s">
        <v>1477</v>
      </c>
      <c r="U1363" s="4">
        <v>2894.04</v>
      </c>
      <c r="V1363" t="str">
        <f t="shared" si="21"/>
        <v>-030</v>
      </c>
      <c r="W1363" t="str">
        <f>VLOOKUP(K1363,[1]Info!A$1:B$21,2,0)</f>
        <v>Fornos Retangulares - Engenharia e Obras</v>
      </c>
      <c r="X1363" t="str">
        <f>IF(M1363="109595132","Material de Limpeza-Não Avaliar",IF(AND(K1363="F20",M1363&lt;&gt;109595132),IF(RIGHT(F1363,2)="70","Infraestrutura de Planta","Prédios e Instalações"),IF(K1363="FPC",VLOOKUP(F1363,[1]Info!$E$2:$F$11,2,0),IF(K1363="FGP",VLOOKUP(F1363,[1]Info!$E$9:$F$10,2,0),IF(K1363="F10",VLOOKUP(F1363,[1]Info!$E$2:$F$3,2,0),VLOOKUP(K1363,[1]Info!$A$1:$B$21,2,0))))))</f>
        <v>Fornos Retangulares - Engenharia e Obras</v>
      </c>
    </row>
    <row r="1364" spans="1:24" x14ac:dyDescent="0.35">
      <c r="A1364" t="s">
        <v>41</v>
      </c>
      <c r="B1364" t="s">
        <v>73</v>
      </c>
      <c r="C1364" t="s">
        <v>74</v>
      </c>
      <c r="D1364" t="s">
        <v>106</v>
      </c>
      <c r="E1364" t="s">
        <v>107</v>
      </c>
      <c r="F1364">
        <v>7093370</v>
      </c>
      <c r="G1364" t="s">
        <v>151</v>
      </c>
      <c r="H1364" t="s">
        <v>43</v>
      </c>
      <c r="I1364" t="s">
        <v>44</v>
      </c>
      <c r="J1364" t="s">
        <v>152</v>
      </c>
      <c r="K1364" t="s">
        <v>6</v>
      </c>
      <c r="L1364" t="s">
        <v>2156</v>
      </c>
      <c r="M1364" t="s">
        <v>2157</v>
      </c>
      <c r="N1364" t="s">
        <v>2158</v>
      </c>
      <c r="O1364" t="s">
        <v>2159</v>
      </c>
      <c r="P1364" t="s">
        <v>1292</v>
      </c>
      <c r="Q1364" t="s">
        <v>46</v>
      </c>
      <c r="R1364" t="s">
        <v>47</v>
      </c>
      <c r="S1364" t="s">
        <v>280</v>
      </c>
      <c r="T1364" t="s">
        <v>281</v>
      </c>
      <c r="U1364" s="4">
        <v>4073.99</v>
      </c>
      <c r="V1364" t="str">
        <f t="shared" si="21"/>
        <v>B001</v>
      </c>
      <c r="W1364" t="str">
        <f>VLOOKUP(K1364,[1]Info!A$1:B$21,2,0)</f>
        <v>Equipamentos Carbonização</v>
      </c>
      <c r="X1364" t="str">
        <f>IF(M1364="109595132","Material de Limpeza-Não Avaliar",IF(AND(K1364="F20",M1364&lt;&gt;109595132),IF(RIGHT(F1364,2)="70","Infraestrutura de Planta","Prédios e Instalações"),IF(K1364="FPC",VLOOKUP(F1364,[1]Info!$E$2:$F$11,2,0),IF(K1364="FGP",VLOOKUP(F1364,[1]Info!$E$9:$F$10,2,0),IF(K1364="F10",VLOOKUP(F1364,[1]Info!$E$2:$F$3,2,0),VLOOKUP(K1364,[1]Info!$A$1:$B$21,2,0))))))</f>
        <v>Equipamentos Carbonização</v>
      </c>
    </row>
    <row r="1365" spans="1:24" x14ac:dyDescent="0.35">
      <c r="A1365" t="s">
        <v>41</v>
      </c>
      <c r="B1365" t="s">
        <v>73</v>
      </c>
      <c r="C1365" t="s">
        <v>74</v>
      </c>
      <c r="D1365" t="s">
        <v>106</v>
      </c>
      <c r="E1365" t="s">
        <v>107</v>
      </c>
      <c r="F1365">
        <v>7093370</v>
      </c>
      <c r="G1365" t="s">
        <v>151</v>
      </c>
      <c r="H1365" t="s">
        <v>43</v>
      </c>
      <c r="I1365" t="s">
        <v>44</v>
      </c>
      <c r="J1365" t="s">
        <v>152</v>
      </c>
      <c r="K1365" t="s">
        <v>6</v>
      </c>
      <c r="L1365" t="s">
        <v>59</v>
      </c>
      <c r="M1365" t="s">
        <v>2160</v>
      </c>
      <c r="N1365" t="s">
        <v>2161</v>
      </c>
      <c r="O1365" t="s">
        <v>1063</v>
      </c>
      <c r="P1365" t="s">
        <v>1292</v>
      </c>
      <c r="Q1365" t="s">
        <v>46</v>
      </c>
      <c r="R1365" t="s">
        <v>47</v>
      </c>
      <c r="S1365" t="s">
        <v>1483</v>
      </c>
      <c r="T1365" t="s">
        <v>1484</v>
      </c>
      <c r="U1365" s="4">
        <v>1775.98</v>
      </c>
      <c r="V1365" t="str">
        <f t="shared" si="21"/>
        <v>EP39</v>
      </c>
      <c r="W1365" t="str">
        <f>VLOOKUP(K1365,[1]Info!A$1:B$21,2,0)</f>
        <v>Equipamentos Carbonização</v>
      </c>
      <c r="X1365" t="str">
        <f>IF(M1365="109595132","Material de Limpeza-Não Avaliar",IF(AND(K1365="F20",M1365&lt;&gt;109595132),IF(RIGHT(F1365,2)="70","Infraestrutura de Planta","Prédios e Instalações"),IF(K1365="FPC",VLOOKUP(F1365,[1]Info!$E$2:$F$11,2,0),IF(K1365="FGP",VLOOKUP(F1365,[1]Info!$E$9:$F$10,2,0),IF(K1365="F10",VLOOKUP(F1365,[1]Info!$E$2:$F$3,2,0),VLOOKUP(K1365,[1]Info!$A$1:$B$21,2,0))))))</f>
        <v>Equipamentos Carbonização</v>
      </c>
    </row>
    <row r="1366" spans="1:24" x14ac:dyDescent="0.35">
      <c r="A1366" t="s">
        <v>41</v>
      </c>
      <c r="B1366" t="s">
        <v>73</v>
      </c>
      <c r="C1366" t="s">
        <v>74</v>
      </c>
      <c r="D1366" t="s">
        <v>106</v>
      </c>
      <c r="E1366" t="s">
        <v>107</v>
      </c>
      <c r="F1366">
        <v>7093370</v>
      </c>
      <c r="G1366" t="s">
        <v>151</v>
      </c>
      <c r="H1366" t="s">
        <v>43</v>
      </c>
      <c r="I1366" t="s">
        <v>44</v>
      </c>
      <c r="J1366" t="s">
        <v>152</v>
      </c>
      <c r="K1366" t="s">
        <v>6</v>
      </c>
      <c r="L1366" t="s">
        <v>59</v>
      </c>
      <c r="M1366" t="s">
        <v>2162</v>
      </c>
      <c r="N1366" t="s">
        <v>2163</v>
      </c>
      <c r="O1366" t="s">
        <v>1063</v>
      </c>
      <c r="P1366" t="s">
        <v>1292</v>
      </c>
      <c r="Q1366" t="s">
        <v>46</v>
      </c>
      <c r="R1366" t="s">
        <v>47</v>
      </c>
      <c r="S1366" t="s">
        <v>1483</v>
      </c>
      <c r="T1366" t="s">
        <v>1484</v>
      </c>
      <c r="U1366" s="4">
        <v>710.39</v>
      </c>
      <c r="V1366" t="str">
        <f t="shared" si="21"/>
        <v>EP39</v>
      </c>
      <c r="W1366" t="str">
        <f>VLOOKUP(K1366,[1]Info!A$1:B$21,2,0)</f>
        <v>Equipamentos Carbonização</v>
      </c>
      <c r="X1366" t="str">
        <f>IF(M1366="109595132","Material de Limpeza-Não Avaliar",IF(AND(K1366="F20",M1366&lt;&gt;109595132),IF(RIGHT(F1366,2)="70","Infraestrutura de Planta","Prédios e Instalações"),IF(K1366="FPC",VLOOKUP(F1366,[1]Info!$E$2:$F$11,2,0),IF(K1366="FGP",VLOOKUP(F1366,[1]Info!$E$9:$F$10,2,0),IF(K1366="F10",VLOOKUP(F1366,[1]Info!$E$2:$F$3,2,0),VLOOKUP(K1366,[1]Info!$A$1:$B$21,2,0))))))</f>
        <v>Equipamentos Carbonização</v>
      </c>
    </row>
    <row r="1367" spans="1:24" x14ac:dyDescent="0.35">
      <c r="A1367" t="s">
        <v>41</v>
      </c>
      <c r="B1367" t="s">
        <v>73</v>
      </c>
      <c r="C1367" t="s">
        <v>74</v>
      </c>
      <c r="D1367" t="s">
        <v>106</v>
      </c>
      <c r="E1367" t="s">
        <v>107</v>
      </c>
      <c r="F1367">
        <v>7093370</v>
      </c>
      <c r="G1367" t="s">
        <v>151</v>
      </c>
      <c r="H1367" t="s">
        <v>43</v>
      </c>
      <c r="I1367" t="s">
        <v>44</v>
      </c>
      <c r="J1367" t="s">
        <v>152</v>
      </c>
      <c r="K1367" t="s">
        <v>6</v>
      </c>
      <c r="L1367" t="s">
        <v>62</v>
      </c>
      <c r="M1367" t="s">
        <v>2164</v>
      </c>
      <c r="N1367" t="s">
        <v>2165</v>
      </c>
      <c r="O1367" t="s">
        <v>2166</v>
      </c>
      <c r="P1367" t="s">
        <v>1292</v>
      </c>
      <c r="Q1367" t="s">
        <v>46</v>
      </c>
      <c r="R1367" t="s">
        <v>47</v>
      </c>
      <c r="S1367" t="s">
        <v>1604</v>
      </c>
      <c r="T1367" t="s">
        <v>1605</v>
      </c>
      <c r="U1367" s="4">
        <v>807.76</v>
      </c>
      <c r="V1367" t="str">
        <f t="shared" si="21"/>
        <v>BGAL</v>
      </c>
      <c r="W1367" t="str">
        <f>VLOOKUP(K1367,[1]Info!A$1:B$21,2,0)</f>
        <v>Equipamentos Carbonização</v>
      </c>
      <c r="X1367" t="str">
        <f>IF(M1367="109595132","Material de Limpeza-Não Avaliar",IF(AND(K1367="F20",M1367&lt;&gt;109595132),IF(RIGHT(F1367,2)="70","Infraestrutura de Planta","Prédios e Instalações"),IF(K1367="FPC",VLOOKUP(F1367,[1]Info!$E$2:$F$11,2,0),IF(K1367="FGP",VLOOKUP(F1367,[1]Info!$E$9:$F$10,2,0),IF(K1367="F10",VLOOKUP(F1367,[1]Info!$E$2:$F$3,2,0),VLOOKUP(K1367,[1]Info!$A$1:$B$21,2,0))))))</f>
        <v>Equipamentos Carbonização</v>
      </c>
    </row>
    <row r="1368" spans="1:24" x14ac:dyDescent="0.35">
      <c r="A1368" t="s">
        <v>41</v>
      </c>
      <c r="B1368" t="s">
        <v>73</v>
      </c>
      <c r="C1368" t="s">
        <v>74</v>
      </c>
      <c r="D1368" t="s">
        <v>106</v>
      </c>
      <c r="E1368" t="s">
        <v>107</v>
      </c>
      <c r="F1368">
        <v>7093370</v>
      </c>
      <c r="G1368" t="s">
        <v>151</v>
      </c>
      <c r="H1368" t="s">
        <v>43</v>
      </c>
      <c r="I1368" t="s">
        <v>44</v>
      </c>
      <c r="J1368" t="s">
        <v>152</v>
      </c>
      <c r="K1368" t="s">
        <v>6</v>
      </c>
      <c r="L1368" t="s">
        <v>51</v>
      </c>
      <c r="M1368" t="s">
        <v>1973</v>
      </c>
      <c r="N1368" t="s">
        <v>1974</v>
      </c>
      <c r="O1368" t="s">
        <v>1590</v>
      </c>
      <c r="P1368" t="s">
        <v>1292</v>
      </c>
      <c r="Q1368" t="s">
        <v>46</v>
      </c>
      <c r="R1368" t="s">
        <v>47</v>
      </c>
      <c r="S1368" t="s">
        <v>1604</v>
      </c>
      <c r="T1368" t="s">
        <v>1605</v>
      </c>
      <c r="U1368" s="4">
        <v>732.62</v>
      </c>
      <c r="V1368" t="str">
        <f t="shared" si="21"/>
        <v>EP19</v>
      </c>
      <c r="W1368" t="str">
        <f>VLOOKUP(K1368,[1]Info!A$1:B$21,2,0)</f>
        <v>Equipamentos Carbonização</v>
      </c>
      <c r="X1368" t="str">
        <f>IF(M1368="109595132","Material de Limpeza-Não Avaliar",IF(AND(K1368="F20",M1368&lt;&gt;109595132),IF(RIGHT(F1368,2)="70","Infraestrutura de Planta","Prédios e Instalações"),IF(K1368="FPC",VLOOKUP(F1368,[1]Info!$E$2:$F$11,2,0),IF(K1368="FGP",VLOOKUP(F1368,[1]Info!$E$9:$F$10,2,0),IF(K1368="F10",VLOOKUP(F1368,[1]Info!$E$2:$F$3,2,0),VLOOKUP(K1368,[1]Info!$A$1:$B$21,2,0))))))</f>
        <v>Equipamentos Carbonização</v>
      </c>
    </row>
    <row r="1369" spans="1:24" x14ac:dyDescent="0.35">
      <c r="A1369" t="s">
        <v>41</v>
      </c>
      <c r="B1369" t="s">
        <v>73</v>
      </c>
      <c r="C1369" t="s">
        <v>74</v>
      </c>
      <c r="D1369" t="s">
        <v>106</v>
      </c>
      <c r="E1369" t="s">
        <v>107</v>
      </c>
      <c r="F1369">
        <v>7092370</v>
      </c>
      <c r="G1369" t="s">
        <v>292</v>
      </c>
      <c r="H1369" t="s">
        <v>43</v>
      </c>
      <c r="I1369" t="s">
        <v>44</v>
      </c>
      <c r="J1369" t="s">
        <v>208</v>
      </c>
      <c r="K1369" t="s">
        <v>7</v>
      </c>
      <c r="L1369" t="s">
        <v>148</v>
      </c>
      <c r="M1369" t="s">
        <v>1036</v>
      </c>
      <c r="N1369" t="s">
        <v>1037</v>
      </c>
      <c r="O1369" t="s">
        <v>293</v>
      </c>
      <c r="P1369" t="s">
        <v>1292</v>
      </c>
      <c r="Q1369" t="s">
        <v>46</v>
      </c>
      <c r="R1369" t="s">
        <v>47</v>
      </c>
      <c r="S1369" t="s">
        <v>1604</v>
      </c>
      <c r="T1369" t="s">
        <v>1605</v>
      </c>
      <c r="U1369" s="4">
        <v>1134.46</v>
      </c>
      <c r="V1369" t="str">
        <f t="shared" si="21"/>
        <v>FR19</v>
      </c>
      <c r="W1369" t="str">
        <f>VLOOKUP(K1369,[1]Info!A$1:B$21,2,0)</f>
        <v>Fornos Retangulares - Engenharia e Obras</v>
      </c>
      <c r="X1369" t="str">
        <f>IF(M1369="109595132","Material de Limpeza-Não Avaliar",IF(AND(K1369="F20",M1369&lt;&gt;109595132),IF(RIGHT(F1369,2)="70","Infraestrutura de Planta","Prédios e Instalações"),IF(K1369="FPC",VLOOKUP(F1369,[1]Info!$E$2:$F$11,2,0),IF(K1369="FGP",VLOOKUP(F1369,[1]Info!$E$9:$F$10,2,0),IF(K1369="F10",VLOOKUP(F1369,[1]Info!$E$2:$F$3,2,0),VLOOKUP(K1369,[1]Info!$A$1:$B$21,2,0))))))</f>
        <v>Fornos Retangulares - Engenharia e Obras</v>
      </c>
    </row>
    <row r="1370" spans="1:24" x14ac:dyDescent="0.35">
      <c r="A1370" t="s">
        <v>41</v>
      </c>
      <c r="B1370" t="s">
        <v>73</v>
      </c>
      <c r="C1370" t="s">
        <v>74</v>
      </c>
      <c r="D1370" t="s">
        <v>106</v>
      </c>
      <c r="E1370" t="s">
        <v>107</v>
      </c>
      <c r="F1370">
        <v>7091870</v>
      </c>
      <c r="G1370" t="s">
        <v>162</v>
      </c>
      <c r="H1370" t="s">
        <v>43</v>
      </c>
      <c r="I1370" t="s">
        <v>44</v>
      </c>
      <c r="J1370" t="s">
        <v>163</v>
      </c>
      <c r="K1370" t="s">
        <v>7</v>
      </c>
      <c r="L1370" t="s">
        <v>148</v>
      </c>
      <c r="M1370" t="s">
        <v>2167</v>
      </c>
      <c r="N1370" t="s">
        <v>2168</v>
      </c>
      <c r="O1370" t="s">
        <v>238</v>
      </c>
      <c r="P1370" t="s">
        <v>1292</v>
      </c>
      <c r="Q1370" t="s">
        <v>46</v>
      </c>
      <c r="R1370" t="s">
        <v>47</v>
      </c>
      <c r="S1370" t="s">
        <v>1604</v>
      </c>
      <c r="T1370" t="s">
        <v>1605</v>
      </c>
      <c r="U1370" s="4">
        <v>518.64</v>
      </c>
      <c r="V1370" t="str">
        <f t="shared" si="21"/>
        <v>FR19</v>
      </c>
      <c r="W1370" t="str">
        <f>VLOOKUP(K1370,[1]Info!A$1:B$21,2,0)</f>
        <v>Fornos Retangulares - Engenharia e Obras</v>
      </c>
      <c r="X1370" t="str">
        <f>IF(M1370="109595132","Material de Limpeza-Não Avaliar",IF(AND(K1370="F20",M1370&lt;&gt;109595132),IF(RIGHT(F1370,2)="70","Infraestrutura de Planta","Prédios e Instalações"),IF(K1370="FPC",VLOOKUP(F1370,[1]Info!$E$2:$F$11,2,0),IF(K1370="FGP",VLOOKUP(F1370,[1]Info!$E$9:$F$10,2,0),IF(K1370="F10",VLOOKUP(F1370,[1]Info!$E$2:$F$3,2,0),VLOOKUP(K1370,[1]Info!$A$1:$B$21,2,0))))))</f>
        <v>Fornos Retangulares - Engenharia e Obras</v>
      </c>
    </row>
    <row r="1371" spans="1:24" x14ac:dyDescent="0.35">
      <c r="A1371" t="s">
        <v>41</v>
      </c>
      <c r="B1371" t="s">
        <v>73</v>
      </c>
      <c r="C1371" t="s">
        <v>74</v>
      </c>
      <c r="D1371" t="s">
        <v>106</v>
      </c>
      <c r="E1371" t="s">
        <v>107</v>
      </c>
      <c r="F1371">
        <v>7091870</v>
      </c>
      <c r="G1371" t="s">
        <v>162</v>
      </c>
      <c r="H1371" t="s">
        <v>43</v>
      </c>
      <c r="I1371" t="s">
        <v>44</v>
      </c>
      <c r="J1371" t="s">
        <v>163</v>
      </c>
      <c r="K1371" t="s">
        <v>7</v>
      </c>
      <c r="L1371" t="s">
        <v>148</v>
      </c>
      <c r="M1371" t="s">
        <v>1038</v>
      </c>
      <c r="N1371" t="s">
        <v>1039</v>
      </c>
      <c r="O1371" t="s">
        <v>238</v>
      </c>
      <c r="P1371" t="s">
        <v>1292</v>
      </c>
      <c r="Q1371" t="s">
        <v>46</v>
      </c>
      <c r="R1371" t="s">
        <v>47</v>
      </c>
      <c r="S1371" t="s">
        <v>1604</v>
      </c>
      <c r="T1371" t="s">
        <v>1605</v>
      </c>
      <c r="U1371" s="4">
        <v>1134.46</v>
      </c>
      <c r="V1371" t="str">
        <f t="shared" si="21"/>
        <v>FR19</v>
      </c>
      <c r="W1371" t="str">
        <f>VLOOKUP(K1371,[1]Info!A$1:B$21,2,0)</f>
        <v>Fornos Retangulares - Engenharia e Obras</v>
      </c>
      <c r="X1371" t="str">
        <f>IF(M1371="109595132","Material de Limpeza-Não Avaliar",IF(AND(K1371="F20",M1371&lt;&gt;109595132),IF(RIGHT(F1371,2)="70","Infraestrutura de Planta","Prédios e Instalações"),IF(K1371="FPC",VLOOKUP(F1371,[1]Info!$E$2:$F$11,2,0),IF(K1371="FGP",VLOOKUP(F1371,[1]Info!$E$9:$F$10,2,0),IF(K1371="F10",VLOOKUP(F1371,[1]Info!$E$2:$F$3,2,0),VLOOKUP(K1371,[1]Info!$A$1:$B$21,2,0))))))</f>
        <v>Fornos Retangulares - Engenharia e Obras</v>
      </c>
    </row>
    <row r="1372" spans="1:24" x14ac:dyDescent="0.35">
      <c r="A1372" t="s">
        <v>41</v>
      </c>
      <c r="B1372" t="s">
        <v>73</v>
      </c>
      <c r="C1372" t="s">
        <v>74</v>
      </c>
      <c r="D1372" t="s">
        <v>106</v>
      </c>
      <c r="E1372" t="s">
        <v>107</v>
      </c>
      <c r="F1372">
        <v>7091870</v>
      </c>
      <c r="G1372" t="s">
        <v>162</v>
      </c>
      <c r="H1372" t="s">
        <v>43</v>
      </c>
      <c r="I1372" t="s">
        <v>44</v>
      </c>
      <c r="J1372" t="s">
        <v>163</v>
      </c>
      <c r="K1372" t="s">
        <v>7</v>
      </c>
      <c r="L1372" t="s">
        <v>148</v>
      </c>
      <c r="M1372" t="s">
        <v>2169</v>
      </c>
      <c r="N1372" t="s">
        <v>2170</v>
      </c>
      <c r="O1372" t="s">
        <v>238</v>
      </c>
      <c r="P1372" t="s">
        <v>1292</v>
      </c>
      <c r="Q1372" t="s">
        <v>46</v>
      </c>
      <c r="R1372" t="s">
        <v>47</v>
      </c>
      <c r="S1372" t="s">
        <v>1476</v>
      </c>
      <c r="T1372" t="s">
        <v>1477</v>
      </c>
      <c r="U1372" s="4">
        <v>1295.8399999999999</v>
      </c>
      <c r="V1372" t="str">
        <f t="shared" si="21"/>
        <v>FR19</v>
      </c>
      <c r="W1372" t="str">
        <f>VLOOKUP(K1372,[1]Info!A$1:B$21,2,0)</f>
        <v>Fornos Retangulares - Engenharia e Obras</v>
      </c>
      <c r="X1372" t="str">
        <f>IF(M1372="109595132","Material de Limpeza-Não Avaliar",IF(AND(K1372="F20",M1372&lt;&gt;109595132),IF(RIGHT(F1372,2)="70","Infraestrutura de Planta","Prédios e Instalações"),IF(K1372="FPC",VLOOKUP(F1372,[1]Info!$E$2:$F$11,2,0),IF(K1372="FGP",VLOOKUP(F1372,[1]Info!$E$9:$F$10,2,0),IF(K1372="F10",VLOOKUP(F1372,[1]Info!$E$2:$F$3,2,0),VLOOKUP(K1372,[1]Info!$A$1:$B$21,2,0))))))</f>
        <v>Fornos Retangulares - Engenharia e Obras</v>
      </c>
    </row>
    <row r="1373" spans="1:24" x14ac:dyDescent="0.35">
      <c r="A1373" t="s">
        <v>41</v>
      </c>
      <c r="B1373" t="s">
        <v>73</v>
      </c>
      <c r="C1373" t="s">
        <v>74</v>
      </c>
      <c r="D1373" t="s">
        <v>106</v>
      </c>
      <c r="E1373" t="s">
        <v>107</v>
      </c>
      <c r="F1373">
        <v>7091870</v>
      </c>
      <c r="G1373" t="s">
        <v>162</v>
      </c>
      <c r="H1373" t="s">
        <v>43</v>
      </c>
      <c r="I1373" t="s">
        <v>44</v>
      </c>
      <c r="J1373" t="s">
        <v>163</v>
      </c>
      <c r="K1373" t="s">
        <v>7</v>
      </c>
      <c r="L1373" t="s">
        <v>148</v>
      </c>
      <c r="M1373" t="s">
        <v>1979</v>
      </c>
      <c r="N1373" t="s">
        <v>1980</v>
      </c>
      <c r="O1373" t="s">
        <v>1579</v>
      </c>
      <c r="P1373" t="s">
        <v>1292</v>
      </c>
      <c r="Q1373" t="s">
        <v>46</v>
      </c>
      <c r="R1373" t="s">
        <v>47</v>
      </c>
      <c r="S1373" t="s">
        <v>1476</v>
      </c>
      <c r="T1373" t="s">
        <v>1477</v>
      </c>
      <c r="U1373" s="4">
        <v>6479.18</v>
      </c>
      <c r="V1373" t="str">
        <f t="shared" si="21"/>
        <v>-030</v>
      </c>
      <c r="W1373" t="str">
        <f>VLOOKUP(K1373,[1]Info!A$1:B$21,2,0)</f>
        <v>Fornos Retangulares - Engenharia e Obras</v>
      </c>
      <c r="X1373" t="str">
        <f>IF(M1373="109595132","Material de Limpeza-Não Avaliar",IF(AND(K1373="F20",M1373&lt;&gt;109595132),IF(RIGHT(F1373,2)="70","Infraestrutura de Planta","Prédios e Instalações"),IF(K1373="FPC",VLOOKUP(F1373,[1]Info!$E$2:$F$11,2,0),IF(K1373="FGP",VLOOKUP(F1373,[1]Info!$E$9:$F$10,2,0),IF(K1373="F10",VLOOKUP(F1373,[1]Info!$E$2:$F$3,2,0),VLOOKUP(K1373,[1]Info!$A$1:$B$21,2,0))))))</f>
        <v>Fornos Retangulares - Engenharia e Obras</v>
      </c>
    </row>
    <row r="1374" spans="1:24" x14ac:dyDescent="0.35">
      <c r="A1374" t="s">
        <v>41</v>
      </c>
      <c r="B1374" t="s">
        <v>73</v>
      </c>
      <c r="C1374" t="s">
        <v>74</v>
      </c>
      <c r="D1374" t="s">
        <v>106</v>
      </c>
      <c r="E1374" t="s">
        <v>107</v>
      </c>
      <c r="F1374">
        <v>7091870</v>
      </c>
      <c r="G1374" t="s">
        <v>162</v>
      </c>
      <c r="H1374" t="s">
        <v>43</v>
      </c>
      <c r="I1374" t="s">
        <v>44</v>
      </c>
      <c r="J1374" t="s">
        <v>163</v>
      </c>
      <c r="K1374" t="s">
        <v>7</v>
      </c>
      <c r="L1374" t="s">
        <v>148</v>
      </c>
      <c r="M1374" t="s">
        <v>2171</v>
      </c>
      <c r="N1374" t="s">
        <v>2172</v>
      </c>
      <c r="O1374" t="s">
        <v>164</v>
      </c>
      <c r="P1374" t="s">
        <v>1292</v>
      </c>
      <c r="Q1374" t="s">
        <v>46</v>
      </c>
      <c r="R1374" t="s">
        <v>47</v>
      </c>
      <c r="S1374" t="s">
        <v>1476</v>
      </c>
      <c r="T1374" t="s">
        <v>1477</v>
      </c>
      <c r="U1374" s="4">
        <v>6047.24</v>
      </c>
      <c r="V1374" t="str">
        <f t="shared" si="21"/>
        <v>FR39</v>
      </c>
      <c r="W1374" t="str">
        <f>VLOOKUP(K1374,[1]Info!A$1:B$21,2,0)</f>
        <v>Fornos Retangulares - Engenharia e Obras</v>
      </c>
      <c r="X1374" t="str">
        <f>IF(M1374="109595132","Material de Limpeza-Não Avaliar",IF(AND(K1374="F20",M1374&lt;&gt;109595132),IF(RIGHT(F1374,2)="70","Infraestrutura de Planta","Prédios e Instalações"),IF(K1374="FPC",VLOOKUP(F1374,[1]Info!$E$2:$F$11,2,0),IF(K1374="FGP",VLOOKUP(F1374,[1]Info!$E$9:$F$10,2,0),IF(K1374="F10",VLOOKUP(F1374,[1]Info!$E$2:$F$3,2,0),VLOOKUP(K1374,[1]Info!$A$1:$B$21,2,0))))))</f>
        <v>Fornos Retangulares - Engenharia e Obras</v>
      </c>
    </row>
    <row r="1375" spans="1:24" x14ac:dyDescent="0.35">
      <c r="A1375" t="s">
        <v>41</v>
      </c>
      <c r="B1375" t="s">
        <v>73</v>
      </c>
      <c r="C1375" t="s">
        <v>74</v>
      </c>
      <c r="D1375" t="s">
        <v>106</v>
      </c>
      <c r="E1375" t="s">
        <v>107</v>
      </c>
      <c r="F1375">
        <v>7091870</v>
      </c>
      <c r="G1375" t="s">
        <v>162</v>
      </c>
      <c r="H1375" t="s">
        <v>43</v>
      </c>
      <c r="I1375" t="s">
        <v>44</v>
      </c>
      <c r="J1375" t="s">
        <v>163</v>
      </c>
      <c r="K1375" t="s">
        <v>7</v>
      </c>
      <c r="L1375" t="s">
        <v>148</v>
      </c>
      <c r="M1375" t="s">
        <v>1981</v>
      </c>
      <c r="N1375" t="s">
        <v>1982</v>
      </c>
      <c r="O1375" t="s">
        <v>1578</v>
      </c>
      <c r="P1375" t="s">
        <v>1292</v>
      </c>
      <c r="Q1375" t="s">
        <v>46</v>
      </c>
      <c r="R1375" t="s">
        <v>47</v>
      </c>
      <c r="S1375" t="s">
        <v>1476</v>
      </c>
      <c r="T1375" t="s">
        <v>1477</v>
      </c>
      <c r="U1375" s="4">
        <v>3455.56</v>
      </c>
      <c r="V1375" t="str">
        <f t="shared" si="21"/>
        <v>-030</v>
      </c>
      <c r="W1375" t="str">
        <f>VLOOKUP(K1375,[1]Info!A$1:B$21,2,0)</f>
        <v>Fornos Retangulares - Engenharia e Obras</v>
      </c>
      <c r="X1375" t="str">
        <f>IF(M1375="109595132","Material de Limpeza-Não Avaliar",IF(AND(K1375="F20",M1375&lt;&gt;109595132),IF(RIGHT(F1375,2)="70","Infraestrutura de Planta","Prédios e Instalações"),IF(K1375="FPC",VLOOKUP(F1375,[1]Info!$E$2:$F$11,2,0),IF(K1375="FGP",VLOOKUP(F1375,[1]Info!$E$9:$F$10,2,0),IF(K1375="F10",VLOOKUP(F1375,[1]Info!$E$2:$F$3,2,0),VLOOKUP(K1375,[1]Info!$A$1:$B$21,2,0))))))</f>
        <v>Fornos Retangulares - Engenharia e Obras</v>
      </c>
    </row>
    <row r="1376" spans="1:24" x14ac:dyDescent="0.35">
      <c r="A1376" t="s">
        <v>41</v>
      </c>
      <c r="B1376" t="s">
        <v>73</v>
      </c>
      <c r="C1376" t="s">
        <v>74</v>
      </c>
      <c r="D1376" t="s">
        <v>106</v>
      </c>
      <c r="E1376" t="s">
        <v>107</v>
      </c>
      <c r="F1376">
        <v>7091870</v>
      </c>
      <c r="G1376" t="s">
        <v>162</v>
      </c>
      <c r="H1376" t="s">
        <v>43</v>
      </c>
      <c r="I1376" t="s">
        <v>44</v>
      </c>
      <c r="J1376" t="s">
        <v>163</v>
      </c>
      <c r="K1376" t="s">
        <v>6</v>
      </c>
      <c r="L1376" t="s">
        <v>59</v>
      </c>
      <c r="M1376" t="s">
        <v>2173</v>
      </c>
      <c r="N1376" t="s">
        <v>2174</v>
      </c>
      <c r="O1376" t="s">
        <v>2175</v>
      </c>
      <c r="P1376" t="s">
        <v>1292</v>
      </c>
      <c r="Q1376" t="s">
        <v>46</v>
      </c>
      <c r="R1376" t="s">
        <v>47</v>
      </c>
      <c r="S1376" t="s">
        <v>280</v>
      </c>
      <c r="T1376" t="s">
        <v>281</v>
      </c>
      <c r="U1376" s="4">
        <v>6312.01</v>
      </c>
      <c r="V1376" t="str">
        <f t="shared" si="21"/>
        <v>B001</v>
      </c>
      <c r="W1376" t="str">
        <f>VLOOKUP(K1376,[1]Info!A$1:B$21,2,0)</f>
        <v>Equipamentos Carbonização</v>
      </c>
      <c r="X1376" t="str">
        <f>IF(M1376="109595132","Material de Limpeza-Não Avaliar",IF(AND(K1376="F20",M1376&lt;&gt;109595132),IF(RIGHT(F1376,2)="70","Infraestrutura de Planta","Prédios e Instalações"),IF(K1376="FPC",VLOOKUP(F1376,[1]Info!$E$2:$F$11,2,0),IF(K1376="FGP",VLOOKUP(F1376,[1]Info!$E$9:$F$10,2,0),IF(K1376="F10",VLOOKUP(F1376,[1]Info!$E$2:$F$3,2,0),VLOOKUP(K1376,[1]Info!$A$1:$B$21,2,0))))))</f>
        <v>Equipamentos Carbonização</v>
      </c>
    </row>
    <row r="1377" spans="1:24" x14ac:dyDescent="0.35">
      <c r="A1377" t="s">
        <v>41</v>
      </c>
      <c r="B1377" t="s">
        <v>73</v>
      </c>
      <c r="C1377" t="s">
        <v>74</v>
      </c>
      <c r="D1377" t="s">
        <v>106</v>
      </c>
      <c r="E1377" t="s">
        <v>107</v>
      </c>
      <c r="F1377">
        <v>7091870</v>
      </c>
      <c r="G1377" t="s">
        <v>162</v>
      </c>
      <c r="H1377" t="s">
        <v>43</v>
      </c>
      <c r="I1377" t="s">
        <v>44</v>
      </c>
      <c r="J1377" t="s">
        <v>163</v>
      </c>
      <c r="K1377" t="s">
        <v>6</v>
      </c>
      <c r="L1377" t="s">
        <v>51</v>
      </c>
      <c r="M1377" t="s">
        <v>2176</v>
      </c>
      <c r="N1377" t="s">
        <v>2177</v>
      </c>
      <c r="O1377" t="s">
        <v>2178</v>
      </c>
      <c r="P1377" t="s">
        <v>1292</v>
      </c>
      <c r="Q1377" t="s">
        <v>46</v>
      </c>
      <c r="R1377" t="s">
        <v>47</v>
      </c>
      <c r="S1377" t="s">
        <v>1604</v>
      </c>
      <c r="T1377" t="s">
        <v>1605</v>
      </c>
      <c r="U1377" s="4">
        <v>366.31</v>
      </c>
      <c r="V1377" t="str">
        <f t="shared" si="21"/>
        <v>0050</v>
      </c>
      <c r="W1377" t="str">
        <f>VLOOKUP(K1377,[1]Info!A$1:B$21,2,0)</f>
        <v>Equipamentos Carbonização</v>
      </c>
      <c r="X1377" t="str">
        <f>IF(M1377="109595132","Material de Limpeza-Não Avaliar",IF(AND(K1377="F20",M1377&lt;&gt;109595132),IF(RIGHT(F1377,2)="70","Infraestrutura de Planta","Prédios e Instalações"),IF(K1377="FPC",VLOOKUP(F1377,[1]Info!$E$2:$F$11,2,0),IF(K1377="FGP",VLOOKUP(F1377,[1]Info!$E$9:$F$10,2,0),IF(K1377="F10",VLOOKUP(F1377,[1]Info!$E$2:$F$3,2,0),VLOOKUP(K1377,[1]Info!$A$1:$B$21,2,0))))))</f>
        <v>Equipamentos Carbonização</v>
      </c>
    </row>
    <row r="1378" spans="1:24" x14ac:dyDescent="0.35">
      <c r="A1378" t="s">
        <v>41</v>
      </c>
      <c r="B1378" t="s">
        <v>73</v>
      </c>
      <c r="C1378" t="s">
        <v>74</v>
      </c>
      <c r="D1378" t="s">
        <v>106</v>
      </c>
      <c r="E1378" t="s">
        <v>107</v>
      </c>
      <c r="F1378">
        <v>7091870</v>
      </c>
      <c r="G1378" t="s">
        <v>162</v>
      </c>
      <c r="H1378" t="s">
        <v>43</v>
      </c>
      <c r="I1378" t="s">
        <v>44</v>
      </c>
      <c r="J1378" t="s">
        <v>163</v>
      </c>
      <c r="K1378" t="s">
        <v>5</v>
      </c>
      <c r="L1378" t="s">
        <v>148</v>
      </c>
      <c r="M1378" t="s">
        <v>2179</v>
      </c>
      <c r="N1378" t="s">
        <v>2180</v>
      </c>
      <c r="O1378" t="s">
        <v>164</v>
      </c>
      <c r="P1378" t="s">
        <v>1292</v>
      </c>
      <c r="Q1378" t="s">
        <v>46</v>
      </c>
      <c r="R1378" t="s">
        <v>47</v>
      </c>
      <c r="S1378" t="s">
        <v>1604</v>
      </c>
      <c r="T1378" t="s">
        <v>1605</v>
      </c>
      <c r="U1378" s="4">
        <v>3838.72</v>
      </c>
      <c r="V1378" t="str">
        <f t="shared" si="21"/>
        <v>FR39</v>
      </c>
      <c r="W1378" t="str">
        <f>VLOOKUP(K1378,[1]Info!A$1:B$21,2,0)</f>
        <v>Fornos / Carbonização (Setup)</v>
      </c>
      <c r="X1378" t="str">
        <f>IF(M1378="109595132","Material de Limpeza-Não Avaliar",IF(AND(K1378="F20",M1378&lt;&gt;109595132),IF(RIGHT(F1378,2)="70","Infraestrutura de Planta","Prédios e Instalações"),IF(K1378="FPC",VLOOKUP(F1378,[1]Info!$E$2:$F$11,2,0),IF(K1378="FGP",VLOOKUP(F1378,[1]Info!$E$9:$F$10,2,0),IF(K1378="F10",VLOOKUP(F1378,[1]Info!$E$2:$F$3,2,0),VLOOKUP(K1378,[1]Info!$A$1:$B$21,2,0))))))</f>
        <v>Fornos / Carbonização (Setup)</v>
      </c>
    </row>
    <row r="1379" spans="1:24" x14ac:dyDescent="0.35">
      <c r="A1379" t="s">
        <v>41</v>
      </c>
      <c r="B1379" t="s">
        <v>73</v>
      </c>
      <c r="C1379" t="s">
        <v>74</v>
      </c>
      <c r="D1379" t="s">
        <v>106</v>
      </c>
      <c r="E1379" t="s">
        <v>107</v>
      </c>
      <c r="F1379">
        <v>7091770</v>
      </c>
      <c r="G1379" t="s">
        <v>77</v>
      </c>
      <c r="H1379" t="s">
        <v>43</v>
      </c>
      <c r="I1379" t="s">
        <v>44</v>
      </c>
      <c r="J1379" t="s">
        <v>78</v>
      </c>
      <c r="K1379" t="s">
        <v>0</v>
      </c>
      <c r="L1379" t="s">
        <v>59</v>
      </c>
      <c r="M1379" t="s">
        <v>365</v>
      </c>
      <c r="N1379" t="s">
        <v>366</v>
      </c>
      <c r="O1379" t="s">
        <v>367</v>
      </c>
      <c r="P1379" t="s">
        <v>1292</v>
      </c>
      <c r="Q1379" t="s">
        <v>46</v>
      </c>
      <c r="R1379" t="s">
        <v>47</v>
      </c>
      <c r="S1379" t="s">
        <v>280</v>
      </c>
      <c r="T1379" t="s">
        <v>281</v>
      </c>
      <c r="U1379" s="4">
        <v>3717.44</v>
      </c>
      <c r="V1379" t="str">
        <f t="shared" si="21"/>
        <v>-025</v>
      </c>
      <c r="W1379" t="str">
        <f>VLOOKUP(K1379,[1]Info!A$1:B$21,2,0)</f>
        <v>Carboval</v>
      </c>
      <c r="X1379" t="str">
        <f>IF(M1379="109595132","Material de Limpeza-Não Avaliar",IF(AND(K1379="F20",M1379&lt;&gt;109595132),IF(RIGHT(F1379,2)="70","Infraestrutura de Planta","Prédios e Instalações"),IF(K1379="FPC",VLOOKUP(F1379,[1]Info!$E$2:$F$11,2,0),IF(K1379="FGP",VLOOKUP(F1379,[1]Info!$E$9:$F$10,2,0),IF(K1379="F10",VLOOKUP(F1379,[1]Info!$E$2:$F$3,2,0),VLOOKUP(K1379,[1]Info!$A$1:$B$21,2,0))))))</f>
        <v>Carboval Diamante</v>
      </c>
    </row>
    <row r="1380" spans="1:24" x14ac:dyDescent="0.35">
      <c r="A1380" t="s">
        <v>41</v>
      </c>
      <c r="B1380" t="s">
        <v>73</v>
      </c>
      <c r="C1380" t="s">
        <v>74</v>
      </c>
      <c r="D1380" t="s">
        <v>106</v>
      </c>
      <c r="E1380" t="s">
        <v>107</v>
      </c>
      <c r="F1380">
        <v>7091770</v>
      </c>
      <c r="G1380" t="s">
        <v>77</v>
      </c>
      <c r="H1380" t="s">
        <v>43</v>
      </c>
      <c r="I1380" t="s">
        <v>44</v>
      </c>
      <c r="J1380" t="s">
        <v>78</v>
      </c>
      <c r="K1380" t="s">
        <v>0</v>
      </c>
      <c r="L1380" t="s">
        <v>51</v>
      </c>
      <c r="M1380" t="s">
        <v>2111</v>
      </c>
      <c r="N1380" t="s">
        <v>2112</v>
      </c>
      <c r="O1380" t="s">
        <v>2113</v>
      </c>
      <c r="P1380" t="s">
        <v>1292</v>
      </c>
      <c r="Q1380" t="s">
        <v>46</v>
      </c>
      <c r="R1380" t="s">
        <v>47</v>
      </c>
      <c r="S1380" t="s">
        <v>2181</v>
      </c>
      <c r="T1380" t="s">
        <v>2182</v>
      </c>
      <c r="U1380" s="4">
        <v>37341.42</v>
      </c>
      <c r="V1380" t="str">
        <f t="shared" si="21"/>
        <v>0010</v>
      </c>
      <c r="W1380" t="str">
        <f>VLOOKUP(K1380,[1]Info!A$1:B$21,2,0)</f>
        <v>Carboval</v>
      </c>
      <c r="X1380" t="str">
        <f>IF(M1380="109595132","Material de Limpeza-Não Avaliar",IF(AND(K1380="F20",M1380&lt;&gt;109595132),IF(RIGHT(F1380,2)="70","Infraestrutura de Planta","Prédios e Instalações"),IF(K1380="FPC",VLOOKUP(F1380,[1]Info!$E$2:$F$11,2,0),IF(K1380="FGP",VLOOKUP(F1380,[1]Info!$E$9:$F$10,2,0),IF(K1380="F10",VLOOKUP(F1380,[1]Info!$E$2:$F$3,2,0),VLOOKUP(K1380,[1]Info!$A$1:$B$21,2,0))))))</f>
        <v>Carboval Diamante</v>
      </c>
    </row>
    <row r="1381" spans="1:24" x14ac:dyDescent="0.35">
      <c r="A1381" t="s">
        <v>41</v>
      </c>
      <c r="B1381" t="s">
        <v>73</v>
      </c>
      <c r="C1381" t="s">
        <v>74</v>
      </c>
      <c r="D1381" t="s">
        <v>106</v>
      </c>
      <c r="E1381" t="s">
        <v>107</v>
      </c>
      <c r="F1381">
        <v>7091770</v>
      </c>
      <c r="G1381" t="s">
        <v>77</v>
      </c>
      <c r="H1381" t="s">
        <v>43</v>
      </c>
      <c r="I1381" t="s">
        <v>44</v>
      </c>
      <c r="J1381" t="s">
        <v>78</v>
      </c>
      <c r="K1381" t="s">
        <v>0</v>
      </c>
      <c r="L1381" t="s">
        <v>51</v>
      </c>
      <c r="M1381" t="s">
        <v>2183</v>
      </c>
      <c r="N1381" t="s">
        <v>2184</v>
      </c>
      <c r="O1381" t="s">
        <v>2185</v>
      </c>
      <c r="P1381" t="s">
        <v>1292</v>
      </c>
      <c r="Q1381" t="s">
        <v>46</v>
      </c>
      <c r="R1381" t="s">
        <v>47</v>
      </c>
      <c r="S1381" t="s">
        <v>1476</v>
      </c>
      <c r="T1381" t="s">
        <v>1477</v>
      </c>
      <c r="U1381" s="4">
        <v>3094.57</v>
      </c>
      <c r="V1381" t="str">
        <f t="shared" si="21"/>
        <v>0020</v>
      </c>
      <c r="W1381" t="str">
        <f>VLOOKUP(K1381,[1]Info!A$1:B$21,2,0)</f>
        <v>Carboval</v>
      </c>
      <c r="X1381" t="str">
        <f>IF(M1381="109595132","Material de Limpeza-Não Avaliar",IF(AND(K1381="F20",M1381&lt;&gt;109595132),IF(RIGHT(F1381,2)="70","Infraestrutura de Planta","Prédios e Instalações"),IF(K1381="FPC",VLOOKUP(F1381,[1]Info!$E$2:$F$11,2,0),IF(K1381="FGP",VLOOKUP(F1381,[1]Info!$E$9:$F$10,2,0),IF(K1381="F10",VLOOKUP(F1381,[1]Info!$E$2:$F$3,2,0),VLOOKUP(K1381,[1]Info!$A$1:$B$21,2,0))))))</f>
        <v>Carboval Diamante</v>
      </c>
    </row>
    <row r="1382" spans="1:24" x14ac:dyDescent="0.35">
      <c r="A1382" t="s">
        <v>41</v>
      </c>
      <c r="B1382" t="s">
        <v>73</v>
      </c>
      <c r="C1382" t="s">
        <v>74</v>
      </c>
      <c r="D1382" t="s">
        <v>106</v>
      </c>
      <c r="E1382" t="s">
        <v>107</v>
      </c>
      <c r="F1382">
        <v>7091770</v>
      </c>
      <c r="G1382" t="s">
        <v>77</v>
      </c>
      <c r="H1382" t="s">
        <v>43</v>
      </c>
      <c r="I1382" t="s">
        <v>44</v>
      </c>
      <c r="J1382" t="s">
        <v>78</v>
      </c>
      <c r="K1382" t="s">
        <v>0</v>
      </c>
      <c r="L1382" t="s">
        <v>51</v>
      </c>
      <c r="M1382" t="s">
        <v>239</v>
      </c>
      <c r="N1382" t="s">
        <v>240</v>
      </c>
      <c r="O1382" t="s">
        <v>241</v>
      </c>
      <c r="P1382" t="s">
        <v>1292</v>
      </c>
      <c r="Q1382" t="s">
        <v>46</v>
      </c>
      <c r="R1382" t="s">
        <v>47</v>
      </c>
      <c r="S1382" t="s">
        <v>2127</v>
      </c>
      <c r="T1382" t="s">
        <v>2128</v>
      </c>
      <c r="U1382" s="4">
        <v>1080</v>
      </c>
      <c r="V1382" t="str">
        <f t="shared" si="21"/>
        <v>0010</v>
      </c>
      <c r="W1382" t="str">
        <f>VLOOKUP(K1382,[1]Info!A$1:B$21,2,0)</f>
        <v>Carboval</v>
      </c>
      <c r="X1382" t="str">
        <f>IF(M1382="109595132","Material de Limpeza-Não Avaliar",IF(AND(K1382="F20",M1382&lt;&gt;109595132),IF(RIGHT(F1382,2)="70","Infraestrutura de Planta","Prédios e Instalações"),IF(K1382="FPC",VLOOKUP(F1382,[1]Info!$E$2:$F$11,2,0),IF(K1382="FGP",VLOOKUP(F1382,[1]Info!$E$9:$F$10,2,0),IF(K1382="F10",VLOOKUP(F1382,[1]Info!$E$2:$F$3,2,0),VLOOKUP(K1382,[1]Info!$A$1:$B$21,2,0))))))</f>
        <v>Carboval Diamante</v>
      </c>
    </row>
    <row r="1383" spans="1:24" x14ac:dyDescent="0.35">
      <c r="A1383" t="s">
        <v>41</v>
      </c>
      <c r="B1383" t="s">
        <v>73</v>
      </c>
      <c r="C1383" t="s">
        <v>74</v>
      </c>
      <c r="D1383" t="s">
        <v>106</v>
      </c>
      <c r="E1383" t="s">
        <v>107</v>
      </c>
      <c r="F1383">
        <v>7091670</v>
      </c>
      <c r="G1383" t="s">
        <v>1864</v>
      </c>
      <c r="H1383" t="s">
        <v>43</v>
      </c>
      <c r="I1383" t="s">
        <v>44</v>
      </c>
      <c r="J1383" t="s">
        <v>1573</v>
      </c>
      <c r="K1383" t="s">
        <v>5</v>
      </c>
      <c r="L1383" t="s">
        <v>148</v>
      </c>
      <c r="M1383" t="s">
        <v>2186</v>
      </c>
      <c r="N1383" t="s">
        <v>2187</v>
      </c>
      <c r="O1383" t="s">
        <v>2188</v>
      </c>
      <c r="P1383" t="s">
        <v>1292</v>
      </c>
      <c r="Q1383" t="s">
        <v>46</v>
      </c>
      <c r="R1383" t="s">
        <v>47</v>
      </c>
      <c r="S1383" t="s">
        <v>1476</v>
      </c>
      <c r="T1383" t="s">
        <v>1477</v>
      </c>
      <c r="U1383" s="4">
        <v>4992.1099999999997</v>
      </c>
      <c r="V1383" t="str">
        <f t="shared" si="21"/>
        <v>FR39</v>
      </c>
      <c r="W1383" t="str">
        <f>VLOOKUP(K1383,[1]Info!A$1:B$21,2,0)</f>
        <v>Fornos / Carbonização (Setup)</v>
      </c>
      <c r="X1383" t="str">
        <f>IF(M1383="109595132","Material de Limpeza-Não Avaliar",IF(AND(K1383="F20",M1383&lt;&gt;109595132),IF(RIGHT(F1383,2)="70","Infraestrutura de Planta","Prédios e Instalações"),IF(K1383="FPC",VLOOKUP(F1383,[1]Info!$E$2:$F$11,2,0),IF(K1383="FGP",VLOOKUP(F1383,[1]Info!$E$9:$F$10,2,0),IF(K1383="F10",VLOOKUP(F1383,[1]Info!$E$2:$F$3,2,0),VLOOKUP(K1383,[1]Info!$A$1:$B$21,2,0))))))</f>
        <v>Fornos / Carbonização (Setup)</v>
      </c>
    </row>
    <row r="1384" spans="1:24" x14ac:dyDescent="0.35">
      <c r="A1384" t="s">
        <v>41</v>
      </c>
      <c r="B1384" t="s">
        <v>73</v>
      </c>
      <c r="C1384" t="s">
        <v>74</v>
      </c>
      <c r="D1384" t="s">
        <v>106</v>
      </c>
      <c r="E1384" t="s">
        <v>107</v>
      </c>
      <c r="F1384">
        <v>7091370</v>
      </c>
      <c r="G1384" t="s">
        <v>242</v>
      </c>
      <c r="H1384" t="s">
        <v>43</v>
      </c>
      <c r="I1384" t="s">
        <v>44</v>
      </c>
      <c r="J1384" t="s">
        <v>50</v>
      </c>
      <c r="K1384" t="s">
        <v>6</v>
      </c>
      <c r="L1384" t="s">
        <v>51</v>
      </c>
      <c r="M1384" t="s">
        <v>2189</v>
      </c>
      <c r="N1384" t="s">
        <v>2190</v>
      </c>
      <c r="O1384" t="s">
        <v>2191</v>
      </c>
      <c r="P1384" t="s">
        <v>1292</v>
      </c>
      <c r="Q1384" t="s">
        <v>46</v>
      </c>
      <c r="R1384" t="s">
        <v>47</v>
      </c>
      <c r="S1384" t="s">
        <v>1604</v>
      </c>
      <c r="T1384" t="s">
        <v>1605</v>
      </c>
      <c r="U1384" s="4">
        <v>366.31</v>
      </c>
      <c r="V1384" t="str">
        <f t="shared" si="21"/>
        <v>0050</v>
      </c>
      <c r="W1384" t="str">
        <f>VLOOKUP(K1384,[1]Info!A$1:B$21,2,0)</f>
        <v>Equipamentos Carbonização</v>
      </c>
      <c r="X1384" t="str">
        <f>IF(M1384="109595132","Material de Limpeza-Não Avaliar",IF(AND(K1384="F20",M1384&lt;&gt;109595132),IF(RIGHT(F1384,2)="70","Infraestrutura de Planta","Prédios e Instalações"),IF(K1384="FPC",VLOOKUP(F1384,[1]Info!$E$2:$F$11,2,0),IF(K1384="FGP",VLOOKUP(F1384,[1]Info!$E$9:$F$10,2,0),IF(K1384="F10",VLOOKUP(F1384,[1]Info!$E$2:$F$3,2,0),VLOOKUP(K1384,[1]Info!$A$1:$B$21,2,0))))))</f>
        <v>Equipamentos Carbonização</v>
      </c>
    </row>
    <row r="1385" spans="1:24" x14ac:dyDescent="0.35">
      <c r="A1385" t="s">
        <v>41</v>
      </c>
      <c r="B1385" t="s">
        <v>73</v>
      </c>
      <c r="C1385" t="s">
        <v>74</v>
      </c>
      <c r="D1385" t="s">
        <v>106</v>
      </c>
      <c r="E1385" t="s">
        <v>107</v>
      </c>
      <c r="F1385">
        <v>7091370</v>
      </c>
      <c r="G1385" t="s">
        <v>242</v>
      </c>
      <c r="H1385" t="s">
        <v>43</v>
      </c>
      <c r="I1385" t="s">
        <v>44</v>
      </c>
      <c r="J1385" t="s">
        <v>50</v>
      </c>
      <c r="K1385" t="s">
        <v>5</v>
      </c>
      <c r="L1385" t="s">
        <v>148</v>
      </c>
      <c r="M1385" t="s">
        <v>2192</v>
      </c>
      <c r="N1385" t="s">
        <v>2193</v>
      </c>
      <c r="O1385" t="s">
        <v>1258</v>
      </c>
      <c r="P1385" t="s">
        <v>1292</v>
      </c>
      <c r="Q1385" t="s">
        <v>46</v>
      </c>
      <c r="R1385" t="s">
        <v>47</v>
      </c>
      <c r="S1385" t="s">
        <v>1604</v>
      </c>
      <c r="T1385" t="s">
        <v>1605</v>
      </c>
      <c r="U1385" s="4">
        <v>1415.84</v>
      </c>
      <c r="V1385" t="str">
        <f t="shared" si="21"/>
        <v>FR39</v>
      </c>
      <c r="W1385" t="str">
        <f>VLOOKUP(K1385,[1]Info!A$1:B$21,2,0)</f>
        <v>Fornos / Carbonização (Setup)</v>
      </c>
      <c r="X1385" t="str">
        <f>IF(M1385="109595132","Material de Limpeza-Não Avaliar",IF(AND(K1385="F20",M1385&lt;&gt;109595132),IF(RIGHT(F1385,2)="70","Infraestrutura de Planta","Prédios e Instalações"),IF(K1385="FPC",VLOOKUP(F1385,[1]Info!$E$2:$F$11,2,0),IF(K1385="FGP",VLOOKUP(F1385,[1]Info!$E$9:$F$10,2,0),IF(K1385="F10",VLOOKUP(F1385,[1]Info!$E$2:$F$3,2,0),VLOOKUP(K1385,[1]Info!$A$1:$B$21,2,0))))))</f>
        <v>Fornos / Carbonização (Setup)</v>
      </c>
    </row>
    <row r="1386" spans="1:24" x14ac:dyDescent="0.35">
      <c r="A1386" t="s">
        <v>41</v>
      </c>
      <c r="B1386" t="s">
        <v>73</v>
      </c>
      <c r="C1386" t="s">
        <v>74</v>
      </c>
      <c r="D1386" t="s">
        <v>316</v>
      </c>
      <c r="E1386" t="s">
        <v>317</v>
      </c>
      <c r="F1386">
        <v>7094570</v>
      </c>
      <c r="G1386" t="s">
        <v>225</v>
      </c>
      <c r="H1386" t="s">
        <v>43</v>
      </c>
      <c r="I1386" t="s">
        <v>44</v>
      </c>
      <c r="J1386" t="s">
        <v>226</v>
      </c>
      <c r="K1386" t="s">
        <v>7</v>
      </c>
      <c r="L1386" t="s">
        <v>148</v>
      </c>
      <c r="M1386" t="s">
        <v>1030</v>
      </c>
      <c r="N1386" t="s">
        <v>1031</v>
      </c>
      <c r="O1386" t="s">
        <v>237</v>
      </c>
      <c r="P1386" t="s">
        <v>383</v>
      </c>
      <c r="Q1386" t="s">
        <v>1236</v>
      </c>
      <c r="R1386" t="s">
        <v>1237</v>
      </c>
      <c r="S1386" t="s">
        <v>46</v>
      </c>
      <c r="T1386" t="s">
        <v>46</v>
      </c>
      <c r="U1386" s="4">
        <v>916.76</v>
      </c>
      <c r="V1386" t="str">
        <f t="shared" si="21"/>
        <v>FR39</v>
      </c>
      <c r="W1386" t="str">
        <f>VLOOKUP(K1386,[1]Info!A$1:B$21,2,0)</f>
        <v>Fornos Retangulares - Engenharia e Obras</v>
      </c>
      <c r="X1386" t="str">
        <f>IF(M1386="109595132","Material de Limpeza-Não Avaliar",IF(AND(K1386="F20",M1386&lt;&gt;109595132),IF(RIGHT(F1386,2)="70","Infraestrutura de Planta","Prédios e Instalações"),IF(K1386="FPC",VLOOKUP(F1386,[1]Info!$E$2:$F$11,2,0),IF(K1386="FGP",VLOOKUP(F1386,[1]Info!$E$9:$F$10,2,0),IF(K1386="F10",VLOOKUP(F1386,[1]Info!$E$2:$F$3,2,0),VLOOKUP(K1386,[1]Info!$A$1:$B$21,2,0))))))</f>
        <v>Fornos Retangulares - Engenharia e Obras</v>
      </c>
    </row>
    <row r="1387" spans="1:24" x14ac:dyDescent="0.35">
      <c r="A1387" t="s">
        <v>41</v>
      </c>
      <c r="B1387" t="s">
        <v>73</v>
      </c>
      <c r="C1387" t="s">
        <v>74</v>
      </c>
      <c r="D1387" t="s">
        <v>316</v>
      </c>
      <c r="E1387" t="s">
        <v>317</v>
      </c>
      <c r="F1387">
        <v>7094570</v>
      </c>
      <c r="G1387" t="s">
        <v>225</v>
      </c>
      <c r="H1387" t="s">
        <v>43</v>
      </c>
      <c r="I1387" t="s">
        <v>44</v>
      </c>
      <c r="J1387" t="s">
        <v>226</v>
      </c>
      <c r="K1387" t="s">
        <v>7</v>
      </c>
      <c r="L1387" t="s">
        <v>148</v>
      </c>
      <c r="M1387" t="s">
        <v>1030</v>
      </c>
      <c r="N1387" t="s">
        <v>1031</v>
      </c>
      <c r="O1387" t="s">
        <v>237</v>
      </c>
      <c r="P1387" t="s">
        <v>383</v>
      </c>
      <c r="Q1387" t="s">
        <v>1238</v>
      </c>
      <c r="R1387" t="s">
        <v>1239</v>
      </c>
      <c r="S1387" t="s">
        <v>46</v>
      </c>
      <c r="T1387" t="s">
        <v>46</v>
      </c>
      <c r="U1387" s="4">
        <v>99.81</v>
      </c>
      <c r="V1387" t="str">
        <f t="shared" si="21"/>
        <v>FR39</v>
      </c>
      <c r="W1387" t="str">
        <f>VLOOKUP(K1387,[1]Info!A$1:B$21,2,0)</f>
        <v>Fornos Retangulares - Engenharia e Obras</v>
      </c>
      <c r="X1387" t="str">
        <f>IF(M1387="109595132","Material de Limpeza-Não Avaliar",IF(AND(K1387="F20",M1387&lt;&gt;109595132),IF(RIGHT(F1387,2)="70","Infraestrutura de Planta","Prédios e Instalações"),IF(K1387="FPC",VLOOKUP(F1387,[1]Info!$E$2:$F$11,2,0),IF(K1387="FGP",VLOOKUP(F1387,[1]Info!$E$9:$F$10,2,0),IF(K1387="F10",VLOOKUP(F1387,[1]Info!$E$2:$F$3,2,0),VLOOKUP(K1387,[1]Info!$A$1:$B$21,2,0))))))</f>
        <v>Fornos Retangulares - Engenharia e Obras</v>
      </c>
    </row>
    <row r="1388" spans="1:24" x14ac:dyDescent="0.35">
      <c r="A1388" t="s">
        <v>41</v>
      </c>
      <c r="B1388" t="s">
        <v>73</v>
      </c>
      <c r="C1388" t="s">
        <v>74</v>
      </c>
      <c r="D1388" t="s">
        <v>316</v>
      </c>
      <c r="E1388" t="s">
        <v>317</v>
      </c>
      <c r="F1388">
        <v>7094570</v>
      </c>
      <c r="G1388" t="s">
        <v>225</v>
      </c>
      <c r="H1388" t="s">
        <v>43</v>
      </c>
      <c r="I1388" t="s">
        <v>44</v>
      </c>
      <c r="J1388" t="s">
        <v>226</v>
      </c>
      <c r="K1388" t="s">
        <v>7</v>
      </c>
      <c r="L1388" t="s">
        <v>148</v>
      </c>
      <c r="M1388" t="s">
        <v>1030</v>
      </c>
      <c r="N1388" t="s">
        <v>1031</v>
      </c>
      <c r="O1388" t="s">
        <v>237</v>
      </c>
      <c r="P1388" t="s">
        <v>383</v>
      </c>
      <c r="Q1388" t="s">
        <v>1240</v>
      </c>
      <c r="R1388" t="s">
        <v>1241</v>
      </c>
      <c r="S1388" t="s">
        <v>46</v>
      </c>
      <c r="T1388" t="s">
        <v>46</v>
      </c>
      <c r="U1388" s="4">
        <v>2728.61</v>
      </c>
      <c r="V1388" t="str">
        <f t="shared" si="21"/>
        <v>FR39</v>
      </c>
      <c r="W1388" t="str">
        <f>VLOOKUP(K1388,[1]Info!A$1:B$21,2,0)</f>
        <v>Fornos Retangulares - Engenharia e Obras</v>
      </c>
      <c r="X1388" t="str">
        <f>IF(M1388="109595132","Material de Limpeza-Não Avaliar",IF(AND(K1388="F20",M1388&lt;&gt;109595132),IF(RIGHT(F1388,2)="70","Infraestrutura de Planta","Prédios e Instalações"),IF(K1388="FPC",VLOOKUP(F1388,[1]Info!$E$2:$F$11,2,0),IF(K1388="FGP",VLOOKUP(F1388,[1]Info!$E$9:$F$10,2,0),IF(K1388="F10",VLOOKUP(F1388,[1]Info!$E$2:$F$3,2,0),VLOOKUP(K1388,[1]Info!$A$1:$B$21,2,0))))))</f>
        <v>Fornos Retangulares - Engenharia e Obras</v>
      </c>
    </row>
    <row r="1389" spans="1:24" x14ac:dyDescent="0.35">
      <c r="A1389" t="s">
        <v>41</v>
      </c>
      <c r="B1389" t="s">
        <v>73</v>
      </c>
      <c r="C1389" t="s">
        <v>74</v>
      </c>
      <c r="D1389" t="s">
        <v>316</v>
      </c>
      <c r="E1389" t="s">
        <v>317</v>
      </c>
      <c r="F1389">
        <v>7093370</v>
      </c>
      <c r="G1389" t="s">
        <v>151</v>
      </c>
      <c r="H1389" t="s">
        <v>43</v>
      </c>
      <c r="I1389" t="s">
        <v>44</v>
      </c>
      <c r="J1389" t="s">
        <v>152</v>
      </c>
      <c r="K1389" t="s">
        <v>7</v>
      </c>
      <c r="L1389" t="s">
        <v>148</v>
      </c>
      <c r="M1389" t="s">
        <v>1055</v>
      </c>
      <c r="N1389" t="s">
        <v>1056</v>
      </c>
      <c r="O1389" t="s">
        <v>1057</v>
      </c>
      <c r="P1389" t="s">
        <v>383</v>
      </c>
      <c r="Q1389" t="s">
        <v>1242</v>
      </c>
      <c r="R1389" t="s">
        <v>1243</v>
      </c>
      <c r="S1389" t="s">
        <v>46</v>
      </c>
      <c r="T1389" t="s">
        <v>46</v>
      </c>
      <c r="U1389" s="4">
        <v>59.96</v>
      </c>
      <c r="V1389" t="str">
        <f t="shared" si="21"/>
        <v>-030</v>
      </c>
      <c r="W1389" t="str">
        <f>VLOOKUP(K1389,[1]Info!A$1:B$21,2,0)</f>
        <v>Fornos Retangulares - Engenharia e Obras</v>
      </c>
      <c r="X1389" t="str">
        <f>IF(M1389="109595132","Material de Limpeza-Não Avaliar",IF(AND(K1389="F20",M1389&lt;&gt;109595132),IF(RIGHT(F1389,2)="70","Infraestrutura de Planta","Prédios e Instalações"),IF(K1389="FPC",VLOOKUP(F1389,[1]Info!$E$2:$F$11,2,0),IF(K1389="FGP",VLOOKUP(F1389,[1]Info!$E$9:$F$10,2,0),IF(K1389="F10",VLOOKUP(F1389,[1]Info!$E$2:$F$3,2,0),VLOOKUP(K1389,[1]Info!$A$1:$B$21,2,0))))))</f>
        <v>Fornos Retangulares - Engenharia e Obras</v>
      </c>
    </row>
    <row r="1390" spans="1:24" x14ac:dyDescent="0.35">
      <c r="A1390" t="s">
        <v>41</v>
      </c>
      <c r="B1390" t="s">
        <v>73</v>
      </c>
      <c r="C1390" t="s">
        <v>74</v>
      </c>
      <c r="D1390" t="s">
        <v>316</v>
      </c>
      <c r="E1390" t="s">
        <v>317</v>
      </c>
      <c r="F1390">
        <v>7093370</v>
      </c>
      <c r="G1390" t="s">
        <v>151</v>
      </c>
      <c r="H1390" t="s">
        <v>43</v>
      </c>
      <c r="I1390" t="s">
        <v>44</v>
      </c>
      <c r="J1390" t="s">
        <v>152</v>
      </c>
      <c r="K1390" t="s">
        <v>7</v>
      </c>
      <c r="L1390" t="s">
        <v>148</v>
      </c>
      <c r="M1390" t="s">
        <v>1078</v>
      </c>
      <c r="N1390" t="s">
        <v>1079</v>
      </c>
      <c r="O1390" t="s">
        <v>1080</v>
      </c>
      <c r="P1390" t="s">
        <v>383</v>
      </c>
      <c r="Q1390" t="s">
        <v>1242</v>
      </c>
      <c r="R1390" t="s">
        <v>1243</v>
      </c>
      <c r="S1390" t="s">
        <v>46</v>
      </c>
      <c r="T1390" t="s">
        <v>46</v>
      </c>
      <c r="U1390" s="4">
        <v>119.92</v>
      </c>
      <c r="V1390" t="str">
        <f t="shared" si="21"/>
        <v>-030</v>
      </c>
      <c r="W1390" t="str">
        <f>VLOOKUP(K1390,[1]Info!A$1:B$21,2,0)</f>
        <v>Fornos Retangulares - Engenharia e Obras</v>
      </c>
      <c r="X1390" t="str">
        <f>IF(M1390="109595132","Material de Limpeza-Não Avaliar",IF(AND(K1390="F20",M1390&lt;&gt;109595132),IF(RIGHT(F1390,2)="70","Infraestrutura de Planta","Prédios e Instalações"),IF(K1390="FPC",VLOOKUP(F1390,[1]Info!$E$2:$F$11,2,0),IF(K1390="FGP",VLOOKUP(F1390,[1]Info!$E$9:$F$10,2,0),IF(K1390="F10",VLOOKUP(F1390,[1]Info!$E$2:$F$3,2,0),VLOOKUP(K1390,[1]Info!$A$1:$B$21,2,0))))))</f>
        <v>Fornos Retangulares - Engenharia e Obras</v>
      </c>
    </row>
    <row r="1391" spans="1:24" x14ac:dyDescent="0.35">
      <c r="A1391" t="s">
        <v>41</v>
      </c>
      <c r="B1391" t="s">
        <v>73</v>
      </c>
      <c r="C1391" t="s">
        <v>74</v>
      </c>
      <c r="D1391" t="s">
        <v>316</v>
      </c>
      <c r="E1391" t="s">
        <v>317</v>
      </c>
      <c r="F1391">
        <v>7093370</v>
      </c>
      <c r="G1391" t="s">
        <v>151</v>
      </c>
      <c r="H1391" t="s">
        <v>43</v>
      </c>
      <c r="I1391" t="s">
        <v>44</v>
      </c>
      <c r="J1391" t="s">
        <v>152</v>
      </c>
      <c r="K1391" t="s">
        <v>7</v>
      </c>
      <c r="L1391" t="s">
        <v>148</v>
      </c>
      <c r="M1391" t="s">
        <v>1083</v>
      </c>
      <c r="N1391" t="s">
        <v>1084</v>
      </c>
      <c r="O1391" t="s">
        <v>1085</v>
      </c>
      <c r="P1391" t="s">
        <v>383</v>
      </c>
      <c r="Q1391" t="s">
        <v>1242</v>
      </c>
      <c r="R1391" t="s">
        <v>1243</v>
      </c>
      <c r="S1391" t="s">
        <v>46</v>
      </c>
      <c r="T1391" t="s">
        <v>46</v>
      </c>
      <c r="U1391" s="4">
        <v>59.96</v>
      </c>
      <c r="V1391" t="str">
        <f t="shared" si="21"/>
        <v>-035</v>
      </c>
      <c r="W1391" t="str">
        <f>VLOOKUP(K1391,[1]Info!A$1:B$21,2,0)</f>
        <v>Fornos Retangulares - Engenharia e Obras</v>
      </c>
      <c r="X1391" t="str">
        <f>IF(M1391="109595132","Material de Limpeza-Não Avaliar",IF(AND(K1391="F20",M1391&lt;&gt;109595132),IF(RIGHT(F1391,2)="70","Infraestrutura de Planta","Prédios e Instalações"),IF(K1391="FPC",VLOOKUP(F1391,[1]Info!$E$2:$F$11,2,0),IF(K1391="FGP",VLOOKUP(F1391,[1]Info!$E$9:$F$10,2,0),IF(K1391="F10",VLOOKUP(F1391,[1]Info!$E$2:$F$3,2,0),VLOOKUP(K1391,[1]Info!$A$1:$B$21,2,0))))))</f>
        <v>Fornos Retangulares - Engenharia e Obras</v>
      </c>
    </row>
    <row r="1392" spans="1:24" x14ac:dyDescent="0.35">
      <c r="A1392" t="s">
        <v>41</v>
      </c>
      <c r="B1392" t="s">
        <v>73</v>
      </c>
      <c r="C1392" t="s">
        <v>74</v>
      </c>
      <c r="D1392" t="s">
        <v>316</v>
      </c>
      <c r="E1392" t="s">
        <v>317</v>
      </c>
      <c r="F1392">
        <v>7092370</v>
      </c>
      <c r="G1392" t="s">
        <v>292</v>
      </c>
      <c r="H1392" t="s">
        <v>43</v>
      </c>
      <c r="I1392" t="s">
        <v>44</v>
      </c>
      <c r="J1392" t="s">
        <v>208</v>
      </c>
      <c r="K1392" t="s">
        <v>6</v>
      </c>
      <c r="L1392" t="s">
        <v>51</v>
      </c>
      <c r="M1392" t="s">
        <v>294</v>
      </c>
      <c r="N1392" t="s">
        <v>295</v>
      </c>
      <c r="O1392" t="s">
        <v>296</v>
      </c>
      <c r="P1392" t="s">
        <v>383</v>
      </c>
      <c r="Q1392" t="s">
        <v>1244</v>
      </c>
      <c r="R1392" t="s">
        <v>1245</v>
      </c>
      <c r="S1392" t="s">
        <v>46</v>
      </c>
      <c r="T1392" t="s">
        <v>46</v>
      </c>
      <c r="U1392" s="4">
        <v>13108.75</v>
      </c>
      <c r="V1392" t="str">
        <f t="shared" si="21"/>
        <v>-005</v>
      </c>
      <c r="W1392" t="str">
        <f>VLOOKUP(K1392,[1]Info!A$1:B$21,2,0)</f>
        <v>Equipamentos Carbonização</v>
      </c>
      <c r="X1392" t="str">
        <f>IF(M1392="109595132","Material de Limpeza-Não Avaliar",IF(AND(K1392="F20",M1392&lt;&gt;109595132),IF(RIGHT(F1392,2)="70","Infraestrutura de Planta","Prédios e Instalações"),IF(K1392="FPC",VLOOKUP(F1392,[1]Info!$E$2:$F$11,2,0),IF(K1392="FGP",VLOOKUP(F1392,[1]Info!$E$9:$F$10,2,0),IF(K1392="F10",VLOOKUP(F1392,[1]Info!$E$2:$F$3,2,0),VLOOKUP(K1392,[1]Info!$A$1:$B$21,2,0))))))</f>
        <v>Equipamentos Carbonização</v>
      </c>
    </row>
    <row r="1393" spans="1:24" x14ac:dyDescent="0.35">
      <c r="A1393" t="s">
        <v>41</v>
      </c>
      <c r="B1393" t="s">
        <v>73</v>
      </c>
      <c r="C1393" t="s">
        <v>74</v>
      </c>
      <c r="D1393" t="s">
        <v>316</v>
      </c>
      <c r="E1393" t="s">
        <v>317</v>
      </c>
      <c r="F1393">
        <v>7092370</v>
      </c>
      <c r="G1393" t="s">
        <v>292</v>
      </c>
      <c r="H1393" t="s">
        <v>43</v>
      </c>
      <c r="I1393" t="s">
        <v>44</v>
      </c>
      <c r="J1393" t="s">
        <v>208</v>
      </c>
      <c r="K1393" t="s">
        <v>6</v>
      </c>
      <c r="L1393" t="s">
        <v>51</v>
      </c>
      <c r="M1393" t="s">
        <v>294</v>
      </c>
      <c r="N1393" t="s">
        <v>295</v>
      </c>
      <c r="O1393" t="s">
        <v>296</v>
      </c>
      <c r="P1393" t="s">
        <v>383</v>
      </c>
      <c r="Q1393" t="s">
        <v>399</v>
      </c>
      <c r="R1393" t="s">
        <v>400</v>
      </c>
      <c r="S1393" t="s">
        <v>46</v>
      </c>
      <c r="T1393" t="s">
        <v>46</v>
      </c>
      <c r="U1393" s="4">
        <v>1548.81</v>
      </c>
      <c r="V1393" t="str">
        <f t="shared" si="21"/>
        <v>-005</v>
      </c>
      <c r="W1393" t="str">
        <f>VLOOKUP(K1393,[1]Info!A$1:B$21,2,0)</f>
        <v>Equipamentos Carbonização</v>
      </c>
      <c r="X1393" t="str">
        <f>IF(M1393="109595132","Material de Limpeza-Não Avaliar",IF(AND(K1393="F20",M1393&lt;&gt;109595132),IF(RIGHT(F1393,2)="70","Infraestrutura de Planta","Prédios e Instalações"),IF(K1393="FPC",VLOOKUP(F1393,[1]Info!$E$2:$F$11,2,0),IF(K1393="FGP",VLOOKUP(F1393,[1]Info!$E$9:$F$10,2,0),IF(K1393="F10",VLOOKUP(F1393,[1]Info!$E$2:$F$3,2,0),VLOOKUP(K1393,[1]Info!$A$1:$B$21,2,0))))))</f>
        <v>Equipamentos Carbonização</v>
      </c>
    </row>
    <row r="1394" spans="1:24" x14ac:dyDescent="0.35">
      <c r="A1394" t="s">
        <v>41</v>
      </c>
      <c r="B1394" t="s">
        <v>73</v>
      </c>
      <c r="C1394" t="s">
        <v>74</v>
      </c>
      <c r="D1394" t="s">
        <v>316</v>
      </c>
      <c r="E1394" t="s">
        <v>317</v>
      </c>
      <c r="F1394">
        <v>7092370</v>
      </c>
      <c r="G1394" t="s">
        <v>292</v>
      </c>
      <c r="H1394" t="s">
        <v>43</v>
      </c>
      <c r="I1394" t="s">
        <v>44</v>
      </c>
      <c r="J1394" t="s">
        <v>208</v>
      </c>
      <c r="K1394" t="s">
        <v>6</v>
      </c>
      <c r="L1394" t="s">
        <v>51</v>
      </c>
      <c r="M1394" t="s">
        <v>294</v>
      </c>
      <c r="N1394" t="s">
        <v>295</v>
      </c>
      <c r="O1394" t="s">
        <v>296</v>
      </c>
      <c r="P1394" t="s">
        <v>383</v>
      </c>
      <c r="Q1394" t="s">
        <v>1246</v>
      </c>
      <c r="R1394" t="s">
        <v>1247</v>
      </c>
      <c r="S1394" t="s">
        <v>46</v>
      </c>
      <c r="T1394" t="s">
        <v>46</v>
      </c>
      <c r="U1394" s="4">
        <v>1019.56</v>
      </c>
      <c r="V1394" t="str">
        <f t="shared" si="21"/>
        <v>-005</v>
      </c>
      <c r="W1394" t="str">
        <f>VLOOKUP(K1394,[1]Info!A$1:B$21,2,0)</f>
        <v>Equipamentos Carbonização</v>
      </c>
      <c r="X1394" t="str">
        <f>IF(M1394="109595132","Material de Limpeza-Não Avaliar",IF(AND(K1394="F20",M1394&lt;&gt;109595132),IF(RIGHT(F1394,2)="70","Infraestrutura de Planta","Prédios e Instalações"),IF(K1394="FPC",VLOOKUP(F1394,[1]Info!$E$2:$F$11,2,0),IF(K1394="FGP",VLOOKUP(F1394,[1]Info!$E$9:$F$10,2,0),IF(K1394="F10",VLOOKUP(F1394,[1]Info!$E$2:$F$3,2,0),VLOOKUP(K1394,[1]Info!$A$1:$B$21,2,0))))))</f>
        <v>Equipamentos Carbonização</v>
      </c>
    </row>
    <row r="1395" spans="1:24" x14ac:dyDescent="0.35">
      <c r="A1395" t="s">
        <v>41</v>
      </c>
      <c r="B1395" t="s">
        <v>73</v>
      </c>
      <c r="C1395" t="s">
        <v>74</v>
      </c>
      <c r="D1395" t="s">
        <v>316</v>
      </c>
      <c r="E1395" t="s">
        <v>317</v>
      </c>
      <c r="F1395">
        <v>7091870</v>
      </c>
      <c r="G1395" t="s">
        <v>162</v>
      </c>
      <c r="H1395" t="s">
        <v>43</v>
      </c>
      <c r="I1395" t="s">
        <v>44</v>
      </c>
      <c r="J1395" t="s">
        <v>163</v>
      </c>
      <c r="K1395" t="s">
        <v>7</v>
      </c>
      <c r="L1395" t="s">
        <v>148</v>
      </c>
      <c r="M1395" t="s">
        <v>1042</v>
      </c>
      <c r="N1395" t="s">
        <v>1043</v>
      </c>
      <c r="O1395" t="s">
        <v>164</v>
      </c>
      <c r="P1395" t="s">
        <v>383</v>
      </c>
      <c r="Q1395" t="s">
        <v>1242</v>
      </c>
      <c r="R1395" t="s">
        <v>1243</v>
      </c>
      <c r="S1395" t="s">
        <v>46</v>
      </c>
      <c r="T1395" t="s">
        <v>46</v>
      </c>
      <c r="U1395" s="4">
        <v>359.76</v>
      </c>
      <c r="V1395" t="str">
        <f t="shared" si="21"/>
        <v>FR39</v>
      </c>
      <c r="W1395" t="str">
        <f>VLOOKUP(K1395,[1]Info!A$1:B$21,2,0)</f>
        <v>Fornos Retangulares - Engenharia e Obras</v>
      </c>
      <c r="X1395" t="str">
        <f>IF(M1395="109595132","Material de Limpeza-Não Avaliar",IF(AND(K1395="F20",M1395&lt;&gt;109595132),IF(RIGHT(F1395,2)="70","Infraestrutura de Planta","Prédios e Instalações"),IF(K1395="FPC",VLOOKUP(F1395,[1]Info!$E$2:$F$11,2,0),IF(K1395="FGP",VLOOKUP(F1395,[1]Info!$E$9:$F$10,2,0),IF(K1395="F10",VLOOKUP(F1395,[1]Info!$E$2:$F$3,2,0),VLOOKUP(K1395,[1]Info!$A$1:$B$21,2,0))))))</f>
        <v>Fornos Retangulares - Engenharia e Obras</v>
      </c>
    </row>
    <row r="1396" spans="1:24" x14ac:dyDescent="0.35">
      <c r="A1396" t="s">
        <v>41</v>
      </c>
      <c r="B1396" t="s">
        <v>73</v>
      </c>
      <c r="C1396" t="s">
        <v>74</v>
      </c>
      <c r="D1396" t="s">
        <v>316</v>
      </c>
      <c r="E1396" t="s">
        <v>317</v>
      </c>
      <c r="F1396">
        <v>7091870</v>
      </c>
      <c r="G1396" t="s">
        <v>162</v>
      </c>
      <c r="H1396" t="s">
        <v>43</v>
      </c>
      <c r="I1396" t="s">
        <v>44</v>
      </c>
      <c r="J1396" t="s">
        <v>163</v>
      </c>
      <c r="K1396" t="s">
        <v>7</v>
      </c>
      <c r="L1396" t="s">
        <v>148</v>
      </c>
      <c r="M1396" t="s">
        <v>1042</v>
      </c>
      <c r="N1396" t="s">
        <v>1043</v>
      </c>
      <c r="O1396" t="s">
        <v>164</v>
      </c>
      <c r="P1396" t="s">
        <v>383</v>
      </c>
      <c r="Q1396" t="s">
        <v>1248</v>
      </c>
      <c r="R1396" t="s">
        <v>1249</v>
      </c>
      <c r="S1396" t="s">
        <v>46</v>
      </c>
      <c r="T1396" t="s">
        <v>46</v>
      </c>
      <c r="U1396" s="4">
        <v>958.53</v>
      </c>
      <c r="V1396" t="str">
        <f t="shared" si="21"/>
        <v>FR39</v>
      </c>
      <c r="W1396" t="str">
        <f>VLOOKUP(K1396,[1]Info!A$1:B$21,2,0)</f>
        <v>Fornos Retangulares - Engenharia e Obras</v>
      </c>
      <c r="X1396" t="str">
        <f>IF(M1396="109595132","Material de Limpeza-Não Avaliar",IF(AND(K1396="F20",M1396&lt;&gt;109595132),IF(RIGHT(F1396,2)="70","Infraestrutura de Planta","Prédios e Instalações"),IF(K1396="FPC",VLOOKUP(F1396,[1]Info!$E$2:$F$11,2,0),IF(K1396="FGP",VLOOKUP(F1396,[1]Info!$E$9:$F$10,2,0),IF(K1396="F10",VLOOKUP(F1396,[1]Info!$E$2:$F$3,2,0),VLOOKUP(K1396,[1]Info!$A$1:$B$21,2,0))))))</f>
        <v>Fornos Retangulares - Engenharia e Obras</v>
      </c>
    </row>
    <row r="1397" spans="1:24" x14ac:dyDescent="0.35">
      <c r="A1397" t="s">
        <v>41</v>
      </c>
      <c r="B1397" t="s">
        <v>73</v>
      </c>
      <c r="C1397" t="s">
        <v>74</v>
      </c>
      <c r="D1397" t="s">
        <v>316</v>
      </c>
      <c r="E1397" t="s">
        <v>317</v>
      </c>
      <c r="F1397">
        <v>7091870</v>
      </c>
      <c r="G1397" t="s">
        <v>162</v>
      </c>
      <c r="H1397" t="s">
        <v>43</v>
      </c>
      <c r="I1397" t="s">
        <v>44</v>
      </c>
      <c r="J1397" t="s">
        <v>163</v>
      </c>
      <c r="K1397" t="s">
        <v>7</v>
      </c>
      <c r="L1397" t="s">
        <v>148</v>
      </c>
      <c r="M1397" t="s">
        <v>1042</v>
      </c>
      <c r="N1397" t="s">
        <v>1043</v>
      </c>
      <c r="O1397" t="s">
        <v>164</v>
      </c>
      <c r="P1397" t="s">
        <v>383</v>
      </c>
      <c r="Q1397" t="s">
        <v>1250</v>
      </c>
      <c r="R1397" t="s">
        <v>1251</v>
      </c>
      <c r="S1397" t="s">
        <v>46</v>
      </c>
      <c r="T1397" t="s">
        <v>46</v>
      </c>
      <c r="U1397" s="4">
        <v>1550.88</v>
      </c>
      <c r="V1397" t="str">
        <f t="shared" si="21"/>
        <v>FR39</v>
      </c>
      <c r="W1397" t="str">
        <f>VLOOKUP(K1397,[1]Info!A$1:B$21,2,0)</f>
        <v>Fornos Retangulares - Engenharia e Obras</v>
      </c>
      <c r="X1397" t="str">
        <f>IF(M1397="109595132","Material de Limpeza-Não Avaliar",IF(AND(K1397="F20",M1397&lt;&gt;109595132),IF(RIGHT(F1397,2)="70","Infraestrutura de Planta","Prédios e Instalações"),IF(K1397="FPC",VLOOKUP(F1397,[1]Info!$E$2:$F$11,2,0),IF(K1397="FGP",VLOOKUP(F1397,[1]Info!$E$9:$F$10,2,0),IF(K1397="F10",VLOOKUP(F1397,[1]Info!$E$2:$F$3,2,0),VLOOKUP(K1397,[1]Info!$A$1:$B$21,2,0))))))</f>
        <v>Fornos Retangulares - Engenharia e Obras</v>
      </c>
    </row>
    <row r="1398" spans="1:24" x14ac:dyDescent="0.35">
      <c r="A1398" t="s">
        <v>41</v>
      </c>
      <c r="B1398" t="s">
        <v>73</v>
      </c>
      <c r="C1398" t="s">
        <v>74</v>
      </c>
      <c r="D1398" t="s">
        <v>316</v>
      </c>
      <c r="E1398" t="s">
        <v>317</v>
      </c>
      <c r="F1398">
        <v>7091870</v>
      </c>
      <c r="G1398" t="s">
        <v>162</v>
      </c>
      <c r="H1398" t="s">
        <v>43</v>
      </c>
      <c r="I1398" t="s">
        <v>44</v>
      </c>
      <c r="J1398" t="s">
        <v>163</v>
      </c>
      <c r="K1398" t="s">
        <v>7</v>
      </c>
      <c r="L1398" t="s">
        <v>148</v>
      </c>
      <c r="M1398" t="s">
        <v>1042</v>
      </c>
      <c r="N1398" t="s">
        <v>1043</v>
      </c>
      <c r="O1398" t="s">
        <v>164</v>
      </c>
      <c r="P1398" t="s">
        <v>383</v>
      </c>
      <c r="Q1398" t="s">
        <v>1236</v>
      </c>
      <c r="R1398" t="s">
        <v>1237</v>
      </c>
      <c r="S1398" t="s">
        <v>46</v>
      </c>
      <c r="T1398" t="s">
        <v>46</v>
      </c>
      <c r="U1398" s="4">
        <v>1375.13</v>
      </c>
      <c r="V1398" t="str">
        <f t="shared" si="21"/>
        <v>FR39</v>
      </c>
      <c r="W1398" t="str">
        <f>VLOOKUP(K1398,[1]Info!A$1:B$21,2,0)</f>
        <v>Fornos Retangulares - Engenharia e Obras</v>
      </c>
      <c r="X1398" t="str">
        <f>IF(M1398="109595132","Material de Limpeza-Não Avaliar",IF(AND(K1398="F20",M1398&lt;&gt;109595132),IF(RIGHT(F1398,2)="70","Infraestrutura de Planta","Prédios e Instalações"),IF(K1398="FPC",VLOOKUP(F1398,[1]Info!$E$2:$F$11,2,0),IF(K1398="FGP",VLOOKUP(F1398,[1]Info!$E$9:$F$10,2,0),IF(K1398="F10",VLOOKUP(F1398,[1]Info!$E$2:$F$3,2,0),VLOOKUP(K1398,[1]Info!$A$1:$B$21,2,0))))))</f>
        <v>Fornos Retangulares - Engenharia e Obras</v>
      </c>
    </row>
    <row r="1399" spans="1:24" x14ac:dyDescent="0.35">
      <c r="A1399" t="s">
        <v>41</v>
      </c>
      <c r="B1399" t="s">
        <v>73</v>
      </c>
      <c r="C1399" t="s">
        <v>74</v>
      </c>
      <c r="D1399" t="s">
        <v>316</v>
      </c>
      <c r="E1399" t="s">
        <v>317</v>
      </c>
      <c r="F1399">
        <v>7091870</v>
      </c>
      <c r="G1399" t="s">
        <v>162</v>
      </c>
      <c r="H1399" t="s">
        <v>43</v>
      </c>
      <c r="I1399" t="s">
        <v>44</v>
      </c>
      <c r="J1399" t="s">
        <v>163</v>
      </c>
      <c r="K1399" t="s">
        <v>7</v>
      </c>
      <c r="L1399" t="s">
        <v>148</v>
      </c>
      <c r="M1399" t="s">
        <v>1042</v>
      </c>
      <c r="N1399" t="s">
        <v>1043</v>
      </c>
      <c r="O1399" t="s">
        <v>164</v>
      </c>
      <c r="P1399" t="s">
        <v>383</v>
      </c>
      <c r="Q1399" t="s">
        <v>1238</v>
      </c>
      <c r="R1399" t="s">
        <v>1239</v>
      </c>
      <c r="S1399" t="s">
        <v>46</v>
      </c>
      <c r="T1399" t="s">
        <v>46</v>
      </c>
      <c r="U1399" s="4">
        <v>149.71</v>
      </c>
      <c r="V1399" t="str">
        <f t="shared" si="21"/>
        <v>FR39</v>
      </c>
      <c r="W1399" t="str">
        <f>VLOOKUP(K1399,[1]Info!A$1:B$21,2,0)</f>
        <v>Fornos Retangulares - Engenharia e Obras</v>
      </c>
      <c r="X1399" t="str">
        <f>IF(M1399="109595132","Material de Limpeza-Não Avaliar",IF(AND(K1399="F20",M1399&lt;&gt;109595132),IF(RIGHT(F1399,2)="70","Infraestrutura de Planta","Prédios e Instalações"),IF(K1399="FPC",VLOOKUP(F1399,[1]Info!$E$2:$F$11,2,0),IF(K1399="FGP",VLOOKUP(F1399,[1]Info!$E$9:$F$10,2,0),IF(K1399="F10",VLOOKUP(F1399,[1]Info!$E$2:$F$3,2,0),VLOOKUP(K1399,[1]Info!$A$1:$B$21,2,0))))))</f>
        <v>Fornos Retangulares - Engenharia e Obras</v>
      </c>
    </row>
    <row r="1400" spans="1:24" x14ac:dyDescent="0.35">
      <c r="A1400" t="s">
        <v>41</v>
      </c>
      <c r="B1400" t="s">
        <v>73</v>
      </c>
      <c r="C1400" t="s">
        <v>74</v>
      </c>
      <c r="D1400" t="s">
        <v>316</v>
      </c>
      <c r="E1400" t="s">
        <v>317</v>
      </c>
      <c r="F1400">
        <v>7091870</v>
      </c>
      <c r="G1400" t="s">
        <v>162</v>
      </c>
      <c r="H1400" t="s">
        <v>43</v>
      </c>
      <c r="I1400" t="s">
        <v>44</v>
      </c>
      <c r="J1400" t="s">
        <v>163</v>
      </c>
      <c r="K1400" t="s">
        <v>6</v>
      </c>
      <c r="L1400" t="s">
        <v>51</v>
      </c>
      <c r="M1400" t="s">
        <v>839</v>
      </c>
      <c r="N1400" t="s">
        <v>840</v>
      </c>
      <c r="O1400" t="s">
        <v>841</v>
      </c>
      <c r="P1400" t="s">
        <v>383</v>
      </c>
      <c r="Q1400" t="s">
        <v>1244</v>
      </c>
      <c r="R1400" t="s">
        <v>1245</v>
      </c>
      <c r="S1400" t="s">
        <v>46</v>
      </c>
      <c r="T1400" t="s">
        <v>46</v>
      </c>
      <c r="U1400" s="4">
        <v>13108.75</v>
      </c>
      <c r="V1400" t="str">
        <f t="shared" si="21"/>
        <v>0050</v>
      </c>
      <c r="W1400" t="str">
        <f>VLOOKUP(K1400,[1]Info!A$1:B$21,2,0)</f>
        <v>Equipamentos Carbonização</v>
      </c>
      <c r="X1400" t="str">
        <f>IF(M1400="109595132","Material de Limpeza-Não Avaliar",IF(AND(K1400="F20",M1400&lt;&gt;109595132),IF(RIGHT(F1400,2)="70","Infraestrutura de Planta","Prédios e Instalações"),IF(K1400="FPC",VLOOKUP(F1400,[1]Info!$E$2:$F$11,2,0),IF(K1400="FGP",VLOOKUP(F1400,[1]Info!$E$9:$F$10,2,0),IF(K1400="F10",VLOOKUP(F1400,[1]Info!$E$2:$F$3,2,0),VLOOKUP(K1400,[1]Info!$A$1:$B$21,2,0))))))</f>
        <v>Equipamentos Carbonização</v>
      </c>
    </row>
    <row r="1401" spans="1:24" x14ac:dyDescent="0.35">
      <c r="A1401" t="s">
        <v>41</v>
      </c>
      <c r="B1401" t="s">
        <v>73</v>
      </c>
      <c r="C1401" t="s">
        <v>74</v>
      </c>
      <c r="D1401" t="s">
        <v>316</v>
      </c>
      <c r="E1401" t="s">
        <v>317</v>
      </c>
      <c r="F1401">
        <v>7091870</v>
      </c>
      <c r="G1401" t="s">
        <v>162</v>
      </c>
      <c r="H1401" t="s">
        <v>43</v>
      </c>
      <c r="I1401" t="s">
        <v>44</v>
      </c>
      <c r="J1401" t="s">
        <v>163</v>
      </c>
      <c r="K1401" t="s">
        <v>6</v>
      </c>
      <c r="L1401" t="s">
        <v>51</v>
      </c>
      <c r="M1401" t="s">
        <v>839</v>
      </c>
      <c r="N1401" t="s">
        <v>840</v>
      </c>
      <c r="O1401" t="s">
        <v>841</v>
      </c>
      <c r="P1401" t="s">
        <v>383</v>
      </c>
      <c r="Q1401" t="s">
        <v>399</v>
      </c>
      <c r="R1401" t="s">
        <v>400</v>
      </c>
      <c r="S1401" t="s">
        <v>46</v>
      </c>
      <c r="T1401" t="s">
        <v>46</v>
      </c>
      <c r="U1401" s="4">
        <v>1549.03</v>
      </c>
      <c r="V1401" t="str">
        <f t="shared" si="21"/>
        <v>0050</v>
      </c>
      <c r="W1401" t="str">
        <f>VLOOKUP(K1401,[1]Info!A$1:B$21,2,0)</f>
        <v>Equipamentos Carbonização</v>
      </c>
      <c r="X1401" t="str">
        <f>IF(M1401="109595132","Material de Limpeza-Não Avaliar",IF(AND(K1401="F20",M1401&lt;&gt;109595132),IF(RIGHT(F1401,2)="70","Infraestrutura de Planta","Prédios e Instalações"),IF(K1401="FPC",VLOOKUP(F1401,[1]Info!$E$2:$F$11,2,0),IF(K1401="FGP",VLOOKUP(F1401,[1]Info!$E$9:$F$10,2,0),IF(K1401="F10",VLOOKUP(F1401,[1]Info!$E$2:$F$3,2,0),VLOOKUP(K1401,[1]Info!$A$1:$B$21,2,0))))))</f>
        <v>Equipamentos Carbonização</v>
      </c>
    </row>
    <row r="1402" spans="1:24" x14ac:dyDescent="0.35">
      <c r="A1402" t="s">
        <v>41</v>
      </c>
      <c r="B1402" t="s">
        <v>73</v>
      </c>
      <c r="C1402" t="s">
        <v>74</v>
      </c>
      <c r="D1402" t="s">
        <v>316</v>
      </c>
      <c r="E1402" t="s">
        <v>317</v>
      </c>
      <c r="F1402">
        <v>7091870</v>
      </c>
      <c r="G1402" t="s">
        <v>162</v>
      </c>
      <c r="H1402" t="s">
        <v>43</v>
      </c>
      <c r="I1402" t="s">
        <v>44</v>
      </c>
      <c r="J1402" t="s">
        <v>163</v>
      </c>
      <c r="K1402" t="s">
        <v>6</v>
      </c>
      <c r="L1402" t="s">
        <v>51</v>
      </c>
      <c r="M1402" t="s">
        <v>839</v>
      </c>
      <c r="N1402" t="s">
        <v>840</v>
      </c>
      <c r="O1402" t="s">
        <v>841</v>
      </c>
      <c r="P1402" t="s">
        <v>383</v>
      </c>
      <c r="Q1402" t="s">
        <v>1246</v>
      </c>
      <c r="R1402" t="s">
        <v>1247</v>
      </c>
      <c r="S1402" t="s">
        <v>46</v>
      </c>
      <c r="T1402" t="s">
        <v>46</v>
      </c>
      <c r="U1402" s="4">
        <v>1019.56</v>
      </c>
      <c r="V1402" t="str">
        <f t="shared" si="21"/>
        <v>0050</v>
      </c>
      <c r="W1402" t="str">
        <f>VLOOKUP(K1402,[1]Info!A$1:B$21,2,0)</f>
        <v>Equipamentos Carbonização</v>
      </c>
      <c r="X1402" t="str">
        <f>IF(M1402="109595132","Material de Limpeza-Não Avaliar",IF(AND(K1402="F20",M1402&lt;&gt;109595132),IF(RIGHT(F1402,2)="70","Infraestrutura de Planta","Prédios e Instalações"),IF(K1402="FPC",VLOOKUP(F1402,[1]Info!$E$2:$F$11,2,0),IF(K1402="FGP",VLOOKUP(F1402,[1]Info!$E$9:$F$10,2,0),IF(K1402="F10",VLOOKUP(F1402,[1]Info!$E$2:$F$3,2,0),VLOOKUP(K1402,[1]Info!$A$1:$B$21,2,0))))))</f>
        <v>Equipamentos Carbonização</v>
      </c>
    </row>
    <row r="1403" spans="1:24" x14ac:dyDescent="0.35">
      <c r="A1403" t="s">
        <v>41</v>
      </c>
      <c r="B1403" t="s">
        <v>73</v>
      </c>
      <c r="C1403" t="s">
        <v>74</v>
      </c>
      <c r="D1403" t="s">
        <v>316</v>
      </c>
      <c r="E1403" t="s">
        <v>317</v>
      </c>
      <c r="F1403">
        <v>7091770</v>
      </c>
      <c r="G1403" t="s">
        <v>77</v>
      </c>
      <c r="H1403" t="s">
        <v>43</v>
      </c>
      <c r="I1403" t="s">
        <v>44</v>
      </c>
      <c r="J1403" t="s">
        <v>78</v>
      </c>
      <c r="K1403" t="s">
        <v>0</v>
      </c>
      <c r="L1403" t="s">
        <v>51</v>
      </c>
      <c r="M1403" t="s">
        <v>1252</v>
      </c>
      <c r="N1403" t="s">
        <v>1253</v>
      </c>
      <c r="O1403" t="s">
        <v>358</v>
      </c>
      <c r="P1403" t="s">
        <v>383</v>
      </c>
      <c r="Q1403" t="s">
        <v>1254</v>
      </c>
      <c r="R1403" t="s">
        <v>1255</v>
      </c>
      <c r="S1403" t="s">
        <v>46</v>
      </c>
      <c r="T1403" t="s">
        <v>46</v>
      </c>
      <c r="U1403" s="4">
        <v>977.36</v>
      </c>
      <c r="V1403" t="str">
        <f t="shared" si="21"/>
        <v>0050</v>
      </c>
      <c r="W1403" t="str">
        <f>VLOOKUP(K1403,[1]Info!A$1:B$21,2,0)</f>
        <v>Carboval</v>
      </c>
      <c r="X1403" t="str">
        <f>IF(M1403="109595132","Material de Limpeza-Não Avaliar",IF(AND(K1403="F20",M1403&lt;&gt;109595132),IF(RIGHT(F1403,2)="70","Infraestrutura de Planta","Prédios e Instalações"),IF(K1403="FPC",VLOOKUP(F1403,[1]Info!$E$2:$F$11,2,0),IF(K1403="FGP",VLOOKUP(F1403,[1]Info!$E$9:$F$10,2,0),IF(K1403="F10",VLOOKUP(F1403,[1]Info!$E$2:$F$3,2,0),VLOOKUP(K1403,[1]Info!$A$1:$B$21,2,0))))))</f>
        <v>Carboval Diamante</v>
      </c>
    </row>
    <row r="1404" spans="1:24" x14ac:dyDescent="0.35">
      <c r="A1404" t="s">
        <v>41</v>
      </c>
      <c r="B1404" t="s">
        <v>73</v>
      </c>
      <c r="C1404" t="s">
        <v>74</v>
      </c>
      <c r="D1404" t="s">
        <v>316</v>
      </c>
      <c r="E1404" t="s">
        <v>317</v>
      </c>
      <c r="F1404">
        <v>7091370</v>
      </c>
      <c r="G1404" t="s">
        <v>242</v>
      </c>
      <c r="H1404" t="s">
        <v>43</v>
      </c>
      <c r="I1404" t="s">
        <v>44</v>
      </c>
      <c r="J1404" t="s">
        <v>50</v>
      </c>
      <c r="K1404" t="s">
        <v>5</v>
      </c>
      <c r="L1404" t="s">
        <v>148</v>
      </c>
      <c r="M1404" t="s">
        <v>1256</v>
      </c>
      <c r="N1404" t="s">
        <v>1257</v>
      </c>
      <c r="O1404" t="s">
        <v>1258</v>
      </c>
      <c r="P1404" t="s">
        <v>383</v>
      </c>
      <c r="Q1404" t="s">
        <v>1259</v>
      </c>
      <c r="R1404" t="s">
        <v>1260</v>
      </c>
      <c r="S1404" t="s">
        <v>46</v>
      </c>
      <c r="T1404" t="s">
        <v>46</v>
      </c>
      <c r="U1404" s="4">
        <v>2246.91</v>
      </c>
      <c r="V1404" t="str">
        <f t="shared" si="21"/>
        <v>FR39</v>
      </c>
      <c r="W1404" t="str">
        <f>VLOOKUP(K1404,[1]Info!A$1:B$21,2,0)</f>
        <v>Fornos / Carbonização (Setup)</v>
      </c>
      <c r="X1404" t="str">
        <f>IF(M1404="109595132","Material de Limpeza-Não Avaliar",IF(AND(K1404="F20",M1404&lt;&gt;109595132),IF(RIGHT(F1404,2)="70","Infraestrutura de Planta","Prédios e Instalações"),IF(K1404="FPC",VLOOKUP(F1404,[1]Info!$E$2:$F$11,2,0),IF(K1404="FGP",VLOOKUP(F1404,[1]Info!$E$9:$F$10,2,0),IF(K1404="F10",VLOOKUP(F1404,[1]Info!$E$2:$F$3,2,0),VLOOKUP(K1404,[1]Info!$A$1:$B$21,2,0))))))</f>
        <v>Fornos / Carbonização (Setup)</v>
      </c>
    </row>
    <row r="1405" spans="1:24" x14ac:dyDescent="0.35">
      <c r="A1405" t="s">
        <v>41</v>
      </c>
      <c r="B1405" t="s">
        <v>73</v>
      </c>
      <c r="C1405" t="s">
        <v>74</v>
      </c>
      <c r="D1405" t="s">
        <v>316</v>
      </c>
      <c r="E1405" t="s">
        <v>317</v>
      </c>
      <c r="F1405">
        <v>7091370</v>
      </c>
      <c r="G1405" t="s">
        <v>242</v>
      </c>
      <c r="H1405" t="s">
        <v>43</v>
      </c>
      <c r="I1405" t="s">
        <v>44</v>
      </c>
      <c r="J1405" t="s">
        <v>50</v>
      </c>
      <c r="K1405" t="s">
        <v>5</v>
      </c>
      <c r="L1405" t="s">
        <v>148</v>
      </c>
      <c r="M1405" t="s">
        <v>1256</v>
      </c>
      <c r="N1405" t="s">
        <v>1257</v>
      </c>
      <c r="O1405" t="s">
        <v>1258</v>
      </c>
      <c r="P1405" t="s">
        <v>383</v>
      </c>
      <c r="Q1405" t="s">
        <v>1250</v>
      </c>
      <c r="R1405" t="s">
        <v>1251</v>
      </c>
      <c r="S1405" t="s">
        <v>46</v>
      </c>
      <c r="T1405" t="s">
        <v>46</v>
      </c>
      <c r="U1405" s="4">
        <v>2481.41</v>
      </c>
      <c r="V1405" t="str">
        <f t="shared" si="21"/>
        <v>FR39</v>
      </c>
      <c r="W1405" t="str">
        <f>VLOOKUP(K1405,[1]Info!A$1:B$21,2,0)</f>
        <v>Fornos / Carbonização (Setup)</v>
      </c>
      <c r="X1405" t="str">
        <f>IF(M1405="109595132","Material de Limpeza-Não Avaliar",IF(AND(K1405="F20",M1405&lt;&gt;109595132),IF(RIGHT(F1405,2)="70","Infraestrutura de Planta","Prédios e Instalações"),IF(K1405="FPC",VLOOKUP(F1405,[1]Info!$E$2:$F$11,2,0),IF(K1405="FGP",VLOOKUP(F1405,[1]Info!$E$9:$F$10,2,0),IF(K1405="F10",VLOOKUP(F1405,[1]Info!$E$2:$F$3,2,0),VLOOKUP(K1405,[1]Info!$A$1:$B$21,2,0))))))</f>
        <v>Fornos / Carbonização (Setup)</v>
      </c>
    </row>
    <row r="1406" spans="1:24" x14ac:dyDescent="0.35">
      <c r="A1406" t="s">
        <v>41</v>
      </c>
      <c r="B1406" t="s">
        <v>73</v>
      </c>
      <c r="C1406" t="s">
        <v>74</v>
      </c>
      <c r="D1406" t="s">
        <v>316</v>
      </c>
      <c r="E1406" t="s">
        <v>317</v>
      </c>
      <c r="F1406">
        <v>7091370</v>
      </c>
      <c r="G1406" t="s">
        <v>242</v>
      </c>
      <c r="H1406" t="s">
        <v>43</v>
      </c>
      <c r="I1406" t="s">
        <v>44</v>
      </c>
      <c r="J1406" t="s">
        <v>50</v>
      </c>
      <c r="K1406" t="s">
        <v>5</v>
      </c>
      <c r="L1406" t="s">
        <v>148</v>
      </c>
      <c r="M1406" t="s">
        <v>1256</v>
      </c>
      <c r="N1406" t="s">
        <v>1257</v>
      </c>
      <c r="O1406" t="s">
        <v>1258</v>
      </c>
      <c r="P1406" t="s">
        <v>383</v>
      </c>
      <c r="Q1406" t="s">
        <v>1236</v>
      </c>
      <c r="R1406" t="s">
        <v>1237</v>
      </c>
      <c r="S1406" t="s">
        <v>46</v>
      </c>
      <c r="T1406" t="s">
        <v>46</v>
      </c>
      <c r="U1406" s="4">
        <v>3437.84</v>
      </c>
      <c r="V1406" t="str">
        <f t="shared" si="21"/>
        <v>FR39</v>
      </c>
      <c r="W1406" t="str">
        <f>VLOOKUP(K1406,[1]Info!A$1:B$21,2,0)</f>
        <v>Fornos / Carbonização (Setup)</v>
      </c>
      <c r="X1406" t="str">
        <f>IF(M1406="109595132","Material de Limpeza-Não Avaliar",IF(AND(K1406="F20",M1406&lt;&gt;109595132),IF(RIGHT(F1406,2)="70","Infraestrutura de Planta","Prédios e Instalações"),IF(K1406="FPC",VLOOKUP(F1406,[1]Info!$E$2:$F$11,2,0),IF(K1406="FGP",VLOOKUP(F1406,[1]Info!$E$9:$F$10,2,0),IF(K1406="F10",VLOOKUP(F1406,[1]Info!$E$2:$F$3,2,0),VLOOKUP(K1406,[1]Info!$A$1:$B$21,2,0))))))</f>
        <v>Fornos / Carbonização (Setup)</v>
      </c>
    </row>
    <row r="1407" spans="1:24" x14ac:dyDescent="0.35">
      <c r="A1407" t="s">
        <v>41</v>
      </c>
      <c r="B1407" t="s">
        <v>73</v>
      </c>
      <c r="C1407" t="s">
        <v>74</v>
      </c>
      <c r="D1407" t="s">
        <v>316</v>
      </c>
      <c r="E1407" t="s">
        <v>317</v>
      </c>
      <c r="F1407">
        <v>7091370</v>
      </c>
      <c r="G1407" t="s">
        <v>242</v>
      </c>
      <c r="H1407" t="s">
        <v>43</v>
      </c>
      <c r="I1407" t="s">
        <v>44</v>
      </c>
      <c r="J1407" t="s">
        <v>50</v>
      </c>
      <c r="K1407" t="s">
        <v>5</v>
      </c>
      <c r="L1407" t="s">
        <v>148</v>
      </c>
      <c r="M1407" t="s">
        <v>1256</v>
      </c>
      <c r="N1407" t="s">
        <v>1257</v>
      </c>
      <c r="O1407" t="s">
        <v>1258</v>
      </c>
      <c r="P1407" t="s">
        <v>383</v>
      </c>
      <c r="Q1407" t="s">
        <v>1238</v>
      </c>
      <c r="R1407" t="s">
        <v>1239</v>
      </c>
      <c r="S1407" t="s">
        <v>46</v>
      </c>
      <c r="T1407" t="s">
        <v>46</v>
      </c>
      <c r="U1407" s="4">
        <v>374.28</v>
      </c>
      <c r="V1407" t="str">
        <f t="shared" si="21"/>
        <v>FR39</v>
      </c>
      <c r="W1407" t="str">
        <f>VLOOKUP(K1407,[1]Info!A$1:B$21,2,0)</f>
        <v>Fornos / Carbonização (Setup)</v>
      </c>
      <c r="X1407" t="str">
        <f>IF(M1407="109595132","Material de Limpeza-Não Avaliar",IF(AND(K1407="F20",M1407&lt;&gt;109595132),IF(RIGHT(F1407,2)="70","Infraestrutura de Planta","Prédios e Instalações"),IF(K1407="FPC",VLOOKUP(F1407,[1]Info!$E$2:$F$11,2,0),IF(K1407="FGP",VLOOKUP(F1407,[1]Info!$E$9:$F$10,2,0),IF(K1407="F10",VLOOKUP(F1407,[1]Info!$E$2:$F$3,2,0),VLOOKUP(K1407,[1]Info!$A$1:$B$21,2,0))))))</f>
        <v>Fornos / Carbonização (Setup)</v>
      </c>
    </row>
    <row r="1408" spans="1:24" x14ac:dyDescent="0.35">
      <c r="A1408" t="s">
        <v>41</v>
      </c>
      <c r="B1408" t="s">
        <v>73</v>
      </c>
      <c r="C1408" t="s">
        <v>74</v>
      </c>
      <c r="D1408" t="s">
        <v>316</v>
      </c>
      <c r="E1408" t="s">
        <v>317</v>
      </c>
      <c r="F1408">
        <v>7091370</v>
      </c>
      <c r="G1408" t="s">
        <v>242</v>
      </c>
      <c r="H1408" t="s">
        <v>43</v>
      </c>
      <c r="I1408" t="s">
        <v>44</v>
      </c>
      <c r="J1408" t="s">
        <v>50</v>
      </c>
      <c r="K1408" t="s">
        <v>5</v>
      </c>
      <c r="L1408" t="s">
        <v>148</v>
      </c>
      <c r="M1408" t="s">
        <v>1256</v>
      </c>
      <c r="N1408" t="s">
        <v>1257</v>
      </c>
      <c r="O1408" t="s">
        <v>1258</v>
      </c>
      <c r="P1408" t="s">
        <v>383</v>
      </c>
      <c r="Q1408" t="s">
        <v>1240</v>
      </c>
      <c r="R1408" t="s">
        <v>1241</v>
      </c>
      <c r="S1408" t="s">
        <v>46</v>
      </c>
      <c r="T1408" t="s">
        <v>46</v>
      </c>
      <c r="U1408" s="4">
        <v>8185.82</v>
      </c>
      <c r="V1408" t="str">
        <f t="shared" si="21"/>
        <v>FR39</v>
      </c>
      <c r="W1408" t="str">
        <f>VLOOKUP(K1408,[1]Info!A$1:B$21,2,0)</f>
        <v>Fornos / Carbonização (Setup)</v>
      </c>
      <c r="X1408" t="str">
        <f>IF(M1408="109595132","Material de Limpeza-Não Avaliar",IF(AND(K1408="F20",M1408&lt;&gt;109595132),IF(RIGHT(F1408,2)="70","Infraestrutura de Planta","Prédios e Instalações"),IF(K1408="FPC",VLOOKUP(F1408,[1]Info!$E$2:$F$11,2,0),IF(K1408="FGP",VLOOKUP(F1408,[1]Info!$E$9:$F$10,2,0),IF(K1408="F10",VLOOKUP(F1408,[1]Info!$E$2:$F$3,2,0),VLOOKUP(K1408,[1]Info!$A$1:$B$21,2,0))))))</f>
        <v>Fornos / Carbonização (Setup)</v>
      </c>
    </row>
    <row r="1409" spans="1:24" x14ac:dyDescent="0.35">
      <c r="A1409" t="s">
        <v>41</v>
      </c>
      <c r="B1409" t="s">
        <v>73</v>
      </c>
      <c r="C1409" t="s">
        <v>74</v>
      </c>
      <c r="D1409" t="s">
        <v>682</v>
      </c>
      <c r="E1409" t="s">
        <v>683</v>
      </c>
      <c r="F1409">
        <v>7098131</v>
      </c>
      <c r="G1409" t="s">
        <v>75</v>
      </c>
      <c r="H1409" t="s">
        <v>43</v>
      </c>
      <c r="I1409" t="s">
        <v>44</v>
      </c>
      <c r="J1409" t="s">
        <v>50</v>
      </c>
      <c r="K1409" t="s">
        <v>3</v>
      </c>
      <c r="L1409" t="s">
        <v>51</v>
      </c>
      <c r="M1409" t="s">
        <v>1068</v>
      </c>
      <c r="N1409" t="s">
        <v>1069</v>
      </c>
      <c r="O1409" t="s">
        <v>1070</v>
      </c>
      <c r="P1409" t="s">
        <v>383</v>
      </c>
      <c r="Q1409" t="s">
        <v>684</v>
      </c>
      <c r="R1409" t="s">
        <v>685</v>
      </c>
      <c r="S1409" t="s">
        <v>46</v>
      </c>
      <c r="T1409" t="s">
        <v>46</v>
      </c>
      <c r="U1409" s="4">
        <v>11.13</v>
      </c>
      <c r="V1409" t="str">
        <f t="shared" si="21"/>
        <v>C041</v>
      </c>
      <c r="W1409" t="str">
        <f>VLOOKUP(K1409,[1]Info!A$1:B$21,2,0)</f>
        <v>Carregadeira</v>
      </c>
      <c r="X1409" t="str">
        <f>IF(M1409="109595132","Material de Limpeza-Não Avaliar",IF(AND(K1409="F20",M1409&lt;&gt;109595132),IF(RIGHT(F1409,2)="70","Infraestrutura de Planta","Prédios e Instalações"),IF(K1409="FPC",VLOOKUP(F1409,[1]Info!$E$2:$F$11,2,0),IF(K1409="FGP",VLOOKUP(F1409,[1]Info!$E$9:$F$10,2,0),IF(K1409="F10",VLOOKUP(F1409,[1]Info!$E$2:$F$3,2,0),VLOOKUP(K1409,[1]Info!$A$1:$B$21,2,0))))))</f>
        <v>Carregadeira Plantas</v>
      </c>
    </row>
    <row r="1410" spans="1:24" x14ac:dyDescent="0.35">
      <c r="A1410" t="s">
        <v>41</v>
      </c>
      <c r="B1410" t="s">
        <v>73</v>
      </c>
      <c r="C1410" t="s">
        <v>74</v>
      </c>
      <c r="D1410" t="s">
        <v>682</v>
      </c>
      <c r="E1410" t="s">
        <v>683</v>
      </c>
      <c r="F1410">
        <v>7098131</v>
      </c>
      <c r="G1410" t="s">
        <v>75</v>
      </c>
      <c r="H1410" t="s">
        <v>43</v>
      </c>
      <c r="I1410" t="s">
        <v>44</v>
      </c>
      <c r="J1410" t="s">
        <v>50</v>
      </c>
      <c r="K1410" t="s">
        <v>3</v>
      </c>
      <c r="L1410" t="s">
        <v>51</v>
      </c>
      <c r="M1410" t="s">
        <v>1071</v>
      </c>
      <c r="N1410" t="s">
        <v>1072</v>
      </c>
      <c r="O1410" t="s">
        <v>1073</v>
      </c>
      <c r="P1410" t="s">
        <v>383</v>
      </c>
      <c r="Q1410" t="s">
        <v>684</v>
      </c>
      <c r="R1410" t="s">
        <v>685</v>
      </c>
      <c r="S1410" t="s">
        <v>46</v>
      </c>
      <c r="T1410" t="s">
        <v>46</v>
      </c>
      <c r="U1410" s="4">
        <v>11.13</v>
      </c>
      <c r="V1410" t="str">
        <f t="shared" si="21"/>
        <v>C042</v>
      </c>
      <c r="W1410" t="str">
        <f>VLOOKUP(K1410,[1]Info!A$1:B$21,2,0)</f>
        <v>Carregadeira</v>
      </c>
      <c r="X1410" t="str">
        <f>IF(M1410="109595132","Material de Limpeza-Não Avaliar",IF(AND(K1410="F20",M1410&lt;&gt;109595132),IF(RIGHT(F1410,2)="70","Infraestrutura de Planta","Prédios e Instalações"),IF(K1410="FPC",VLOOKUP(F1410,[1]Info!$E$2:$F$11,2,0),IF(K1410="FGP",VLOOKUP(F1410,[1]Info!$E$9:$F$10,2,0),IF(K1410="F10",VLOOKUP(F1410,[1]Info!$E$2:$F$3,2,0),VLOOKUP(K1410,[1]Info!$A$1:$B$21,2,0))))))</f>
        <v>Carregadeira Plantas</v>
      </c>
    </row>
    <row r="1411" spans="1:24" x14ac:dyDescent="0.35">
      <c r="A1411" t="s">
        <v>41</v>
      </c>
      <c r="B1411" t="s">
        <v>73</v>
      </c>
      <c r="C1411" t="s">
        <v>74</v>
      </c>
      <c r="D1411" t="s">
        <v>682</v>
      </c>
      <c r="E1411" t="s">
        <v>683</v>
      </c>
      <c r="F1411">
        <v>7093370</v>
      </c>
      <c r="G1411" t="s">
        <v>151</v>
      </c>
      <c r="H1411" t="s">
        <v>43</v>
      </c>
      <c r="I1411" t="s">
        <v>44</v>
      </c>
      <c r="J1411" t="s">
        <v>152</v>
      </c>
      <c r="K1411" t="s">
        <v>7</v>
      </c>
      <c r="L1411" t="s">
        <v>148</v>
      </c>
      <c r="M1411" t="s">
        <v>1055</v>
      </c>
      <c r="N1411" t="s">
        <v>1056</v>
      </c>
      <c r="O1411" t="s">
        <v>1057</v>
      </c>
      <c r="P1411" t="s">
        <v>383</v>
      </c>
      <c r="Q1411" t="s">
        <v>1261</v>
      </c>
      <c r="R1411" t="s">
        <v>1262</v>
      </c>
      <c r="S1411" t="s">
        <v>46</v>
      </c>
      <c r="T1411" t="s">
        <v>46</v>
      </c>
      <c r="U1411" s="4">
        <v>12.95</v>
      </c>
      <c r="V1411" t="str">
        <f t="shared" si="21"/>
        <v>-030</v>
      </c>
      <c r="W1411" t="str">
        <f>VLOOKUP(K1411,[1]Info!A$1:B$21,2,0)</f>
        <v>Fornos Retangulares - Engenharia e Obras</v>
      </c>
      <c r="X1411" t="str">
        <f>IF(M1411="109595132","Material de Limpeza-Não Avaliar",IF(AND(K1411="F20",M1411&lt;&gt;109595132),IF(RIGHT(F1411,2)="70","Infraestrutura de Planta","Prédios e Instalações"),IF(K1411="FPC",VLOOKUP(F1411,[1]Info!$E$2:$F$11,2,0),IF(K1411="FGP",VLOOKUP(F1411,[1]Info!$E$9:$F$10,2,0),IF(K1411="F10",VLOOKUP(F1411,[1]Info!$E$2:$F$3,2,0),VLOOKUP(K1411,[1]Info!$A$1:$B$21,2,0))))))</f>
        <v>Fornos Retangulares - Engenharia e Obras</v>
      </c>
    </row>
    <row r="1412" spans="1:24" x14ac:dyDescent="0.35">
      <c r="A1412" t="s">
        <v>41</v>
      </c>
      <c r="B1412" t="s">
        <v>73</v>
      </c>
      <c r="C1412" t="s">
        <v>74</v>
      </c>
      <c r="D1412" t="s">
        <v>682</v>
      </c>
      <c r="E1412" t="s">
        <v>683</v>
      </c>
      <c r="F1412">
        <v>7093370</v>
      </c>
      <c r="G1412" t="s">
        <v>151</v>
      </c>
      <c r="H1412" t="s">
        <v>43</v>
      </c>
      <c r="I1412" t="s">
        <v>44</v>
      </c>
      <c r="J1412" t="s">
        <v>152</v>
      </c>
      <c r="K1412" t="s">
        <v>7</v>
      </c>
      <c r="L1412" t="s">
        <v>148</v>
      </c>
      <c r="M1412" t="s">
        <v>1055</v>
      </c>
      <c r="N1412" t="s">
        <v>1056</v>
      </c>
      <c r="O1412" t="s">
        <v>1057</v>
      </c>
      <c r="P1412" t="s">
        <v>383</v>
      </c>
      <c r="Q1412" t="s">
        <v>1263</v>
      </c>
      <c r="R1412" t="s">
        <v>1264</v>
      </c>
      <c r="S1412" t="s">
        <v>46</v>
      </c>
      <c r="T1412" t="s">
        <v>46</v>
      </c>
      <c r="U1412" s="4">
        <v>5.85</v>
      </c>
      <c r="V1412" t="str">
        <f t="shared" ref="V1412:V1475" si="22">RIGHT(O1412,4)</f>
        <v>-030</v>
      </c>
      <c r="W1412" t="str">
        <f>VLOOKUP(K1412,[1]Info!A$1:B$21,2,0)</f>
        <v>Fornos Retangulares - Engenharia e Obras</v>
      </c>
      <c r="X1412" t="str">
        <f>IF(M1412="109595132","Material de Limpeza-Não Avaliar",IF(AND(K1412="F20",M1412&lt;&gt;109595132),IF(RIGHT(F1412,2)="70","Infraestrutura de Planta","Prédios e Instalações"),IF(K1412="FPC",VLOOKUP(F1412,[1]Info!$E$2:$F$11,2,0),IF(K1412="FGP",VLOOKUP(F1412,[1]Info!$E$9:$F$10,2,0),IF(K1412="F10",VLOOKUP(F1412,[1]Info!$E$2:$F$3,2,0),VLOOKUP(K1412,[1]Info!$A$1:$B$21,2,0))))))</f>
        <v>Fornos Retangulares - Engenharia e Obras</v>
      </c>
    </row>
    <row r="1413" spans="1:24" x14ac:dyDescent="0.35">
      <c r="A1413" t="s">
        <v>41</v>
      </c>
      <c r="B1413" t="s">
        <v>73</v>
      </c>
      <c r="C1413" t="s">
        <v>74</v>
      </c>
      <c r="D1413" t="s">
        <v>682</v>
      </c>
      <c r="E1413" t="s">
        <v>683</v>
      </c>
      <c r="F1413">
        <v>7093370</v>
      </c>
      <c r="G1413" t="s">
        <v>151</v>
      </c>
      <c r="H1413" t="s">
        <v>43</v>
      </c>
      <c r="I1413" t="s">
        <v>44</v>
      </c>
      <c r="J1413" t="s">
        <v>152</v>
      </c>
      <c r="K1413" t="s">
        <v>7</v>
      </c>
      <c r="L1413" t="s">
        <v>148</v>
      </c>
      <c r="M1413" t="s">
        <v>1055</v>
      </c>
      <c r="N1413" t="s">
        <v>1056</v>
      </c>
      <c r="O1413" t="s">
        <v>1057</v>
      </c>
      <c r="P1413" t="s">
        <v>383</v>
      </c>
      <c r="Q1413" t="s">
        <v>684</v>
      </c>
      <c r="R1413" t="s">
        <v>685</v>
      </c>
      <c r="S1413" t="s">
        <v>46</v>
      </c>
      <c r="T1413" t="s">
        <v>46</v>
      </c>
      <c r="U1413" s="4">
        <v>11.13</v>
      </c>
      <c r="V1413" t="str">
        <f t="shared" si="22"/>
        <v>-030</v>
      </c>
      <c r="W1413" t="str">
        <f>VLOOKUP(K1413,[1]Info!A$1:B$21,2,0)</f>
        <v>Fornos Retangulares - Engenharia e Obras</v>
      </c>
      <c r="X1413" t="str">
        <f>IF(M1413="109595132","Material de Limpeza-Não Avaliar",IF(AND(K1413="F20",M1413&lt;&gt;109595132),IF(RIGHT(F1413,2)="70","Infraestrutura de Planta","Prédios e Instalações"),IF(K1413="FPC",VLOOKUP(F1413,[1]Info!$E$2:$F$11,2,0),IF(K1413="FGP",VLOOKUP(F1413,[1]Info!$E$9:$F$10,2,0),IF(K1413="F10",VLOOKUP(F1413,[1]Info!$E$2:$F$3,2,0),VLOOKUP(K1413,[1]Info!$A$1:$B$21,2,0))))))</f>
        <v>Fornos Retangulares - Engenharia e Obras</v>
      </c>
    </row>
    <row r="1414" spans="1:24" x14ac:dyDescent="0.35">
      <c r="A1414" t="s">
        <v>41</v>
      </c>
      <c r="B1414" t="s">
        <v>73</v>
      </c>
      <c r="C1414" t="s">
        <v>74</v>
      </c>
      <c r="D1414" t="s">
        <v>682</v>
      </c>
      <c r="E1414" t="s">
        <v>683</v>
      </c>
      <c r="F1414">
        <v>7093370</v>
      </c>
      <c r="G1414" t="s">
        <v>151</v>
      </c>
      <c r="H1414" t="s">
        <v>43</v>
      </c>
      <c r="I1414" t="s">
        <v>44</v>
      </c>
      <c r="J1414" t="s">
        <v>152</v>
      </c>
      <c r="K1414" t="s">
        <v>7</v>
      </c>
      <c r="L1414" t="s">
        <v>148</v>
      </c>
      <c r="M1414" t="s">
        <v>1078</v>
      </c>
      <c r="N1414" t="s">
        <v>1079</v>
      </c>
      <c r="O1414" t="s">
        <v>1080</v>
      </c>
      <c r="P1414" t="s">
        <v>383</v>
      </c>
      <c r="Q1414" t="s">
        <v>1261</v>
      </c>
      <c r="R1414" t="s">
        <v>1262</v>
      </c>
      <c r="S1414" t="s">
        <v>46</v>
      </c>
      <c r="T1414" t="s">
        <v>46</v>
      </c>
      <c r="U1414" s="4">
        <v>12.95</v>
      </c>
      <c r="V1414" t="str">
        <f t="shared" si="22"/>
        <v>-030</v>
      </c>
      <c r="W1414" t="str">
        <f>VLOOKUP(K1414,[1]Info!A$1:B$21,2,0)</f>
        <v>Fornos Retangulares - Engenharia e Obras</v>
      </c>
      <c r="X1414" t="str">
        <f>IF(M1414="109595132","Material de Limpeza-Não Avaliar",IF(AND(K1414="F20",M1414&lt;&gt;109595132),IF(RIGHT(F1414,2)="70","Infraestrutura de Planta","Prédios e Instalações"),IF(K1414="FPC",VLOOKUP(F1414,[1]Info!$E$2:$F$11,2,0),IF(K1414="FGP",VLOOKUP(F1414,[1]Info!$E$9:$F$10,2,0),IF(K1414="F10",VLOOKUP(F1414,[1]Info!$E$2:$F$3,2,0),VLOOKUP(K1414,[1]Info!$A$1:$B$21,2,0))))))</f>
        <v>Fornos Retangulares - Engenharia e Obras</v>
      </c>
    </row>
    <row r="1415" spans="1:24" x14ac:dyDescent="0.35">
      <c r="A1415" t="s">
        <v>41</v>
      </c>
      <c r="B1415" t="s">
        <v>73</v>
      </c>
      <c r="C1415" t="s">
        <v>74</v>
      </c>
      <c r="D1415" t="s">
        <v>682</v>
      </c>
      <c r="E1415" t="s">
        <v>683</v>
      </c>
      <c r="F1415">
        <v>7093370</v>
      </c>
      <c r="G1415" t="s">
        <v>151</v>
      </c>
      <c r="H1415" t="s">
        <v>43</v>
      </c>
      <c r="I1415" t="s">
        <v>44</v>
      </c>
      <c r="J1415" t="s">
        <v>152</v>
      </c>
      <c r="K1415" t="s">
        <v>7</v>
      </c>
      <c r="L1415" t="s">
        <v>148</v>
      </c>
      <c r="M1415" t="s">
        <v>1083</v>
      </c>
      <c r="N1415" t="s">
        <v>1084</v>
      </c>
      <c r="O1415" t="s">
        <v>1085</v>
      </c>
      <c r="P1415" t="s">
        <v>383</v>
      </c>
      <c r="Q1415" t="s">
        <v>1261</v>
      </c>
      <c r="R1415" t="s">
        <v>1262</v>
      </c>
      <c r="S1415" t="s">
        <v>46</v>
      </c>
      <c r="T1415" t="s">
        <v>46</v>
      </c>
      <c r="U1415" s="4">
        <v>12.95</v>
      </c>
      <c r="V1415" t="str">
        <f t="shared" si="22"/>
        <v>-035</v>
      </c>
      <c r="W1415" t="str">
        <f>VLOOKUP(K1415,[1]Info!A$1:B$21,2,0)</f>
        <v>Fornos Retangulares - Engenharia e Obras</v>
      </c>
      <c r="X1415" t="str">
        <f>IF(M1415="109595132","Material de Limpeza-Não Avaliar",IF(AND(K1415="F20",M1415&lt;&gt;109595132),IF(RIGHT(F1415,2)="70","Infraestrutura de Planta","Prédios e Instalações"),IF(K1415="FPC",VLOOKUP(F1415,[1]Info!$E$2:$F$11,2,0),IF(K1415="FGP",VLOOKUP(F1415,[1]Info!$E$9:$F$10,2,0),IF(K1415="F10",VLOOKUP(F1415,[1]Info!$E$2:$F$3,2,0),VLOOKUP(K1415,[1]Info!$A$1:$B$21,2,0))))))</f>
        <v>Fornos Retangulares - Engenharia e Obras</v>
      </c>
    </row>
    <row r="1416" spans="1:24" x14ac:dyDescent="0.35">
      <c r="A1416" t="s">
        <v>41</v>
      </c>
      <c r="B1416" t="s">
        <v>73</v>
      </c>
      <c r="C1416" t="s">
        <v>74</v>
      </c>
      <c r="D1416" t="s">
        <v>682</v>
      </c>
      <c r="E1416" t="s">
        <v>683</v>
      </c>
      <c r="F1416">
        <v>7093370</v>
      </c>
      <c r="G1416" t="s">
        <v>151</v>
      </c>
      <c r="H1416" t="s">
        <v>43</v>
      </c>
      <c r="I1416" t="s">
        <v>44</v>
      </c>
      <c r="J1416" t="s">
        <v>152</v>
      </c>
      <c r="K1416" t="s">
        <v>7</v>
      </c>
      <c r="L1416" t="s">
        <v>148</v>
      </c>
      <c r="M1416" t="s">
        <v>1086</v>
      </c>
      <c r="N1416" t="s">
        <v>1087</v>
      </c>
      <c r="O1416" t="s">
        <v>1088</v>
      </c>
      <c r="P1416" t="s">
        <v>383</v>
      </c>
      <c r="Q1416" t="s">
        <v>1261</v>
      </c>
      <c r="R1416" t="s">
        <v>1262</v>
      </c>
      <c r="S1416" t="s">
        <v>46</v>
      </c>
      <c r="T1416" t="s">
        <v>46</v>
      </c>
      <c r="U1416" s="4">
        <v>19.420000000000002</v>
      </c>
      <c r="V1416" t="str">
        <f t="shared" si="22"/>
        <v>-030</v>
      </c>
      <c r="W1416" t="str">
        <f>VLOOKUP(K1416,[1]Info!A$1:B$21,2,0)</f>
        <v>Fornos Retangulares - Engenharia e Obras</v>
      </c>
      <c r="X1416" t="str">
        <f>IF(M1416="109595132","Material de Limpeza-Não Avaliar",IF(AND(K1416="F20",M1416&lt;&gt;109595132),IF(RIGHT(F1416,2)="70","Infraestrutura de Planta","Prédios e Instalações"),IF(K1416="FPC",VLOOKUP(F1416,[1]Info!$E$2:$F$11,2,0),IF(K1416="FGP",VLOOKUP(F1416,[1]Info!$E$9:$F$10,2,0),IF(K1416="F10",VLOOKUP(F1416,[1]Info!$E$2:$F$3,2,0),VLOOKUP(K1416,[1]Info!$A$1:$B$21,2,0))))))</f>
        <v>Fornos Retangulares - Engenharia e Obras</v>
      </c>
    </row>
    <row r="1417" spans="1:24" x14ac:dyDescent="0.35">
      <c r="A1417" t="s">
        <v>41</v>
      </c>
      <c r="B1417" t="s">
        <v>73</v>
      </c>
      <c r="C1417" t="s">
        <v>74</v>
      </c>
      <c r="D1417" t="s">
        <v>682</v>
      </c>
      <c r="E1417" t="s">
        <v>683</v>
      </c>
      <c r="F1417">
        <v>7093370</v>
      </c>
      <c r="G1417" t="s">
        <v>151</v>
      </c>
      <c r="H1417" t="s">
        <v>43</v>
      </c>
      <c r="I1417" t="s">
        <v>44</v>
      </c>
      <c r="J1417" t="s">
        <v>152</v>
      </c>
      <c r="K1417" t="s">
        <v>7</v>
      </c>
      <c r="L1417" t="s">
        <v>148</v>
      </c>
      <c r="M1417" t="s">
        <v>1086</v>
      </c>
      <c r="N1417" t="s">
        <v>1087</v>
      </c>
      <c r="O1417" t="s">
        <v>1088</v>
      </c>
      <c r="P1417" t="s">
        <v>383</v>
      </c>
      <c r="Q1417" t="s">
        <v>1263</v>
      </c>
      <c r="R1417" t="s">
        <v>1264</v>
      </c>
      <c r="S1417" t="s">
        <v>46</v>
      </c>
      <c r="T1417" t="s">
        <v>46</v>
      </c>
      <c r="U1417" s="4">
        <v>5.85</v>
      </c>
      <c r="V1417" t="str">
        <f t="shared" si="22"/>
        <v>-030</v>
      </c>
      <c r="W1417" t="str">
        <f>VLOOKUP(K1417,[1]Info!A$1:B$21,2,0)</f>
        <v>Fornos Retangulares - Engenharia e Obras</v>
      </c>
      <c r="X1417" t="str">
        <f>IF(M1417="109595132","Material de Limpeza-Não Avaliar",IF(AND(K1417="F20",M1417&lt;&gt;109595132),IF(RIGHT(F1417,2)="70","Infraestrutura de Planta","Prédios e Instalações"),IF(K1417="FPC",VLOOKUP(F1417,[1]Info!$E$2:$F$11,2,0),IF(K1417="FGP",VLOOKUP(F1417,[1]Info!$E$9:$F$10,2,0),IF(K1417="F10",VLOOKUP(F1417,[1]Info!$E$2:$F$3,2,0),VLOOKUP(K1417,[1]Info!$A$1:$B$21,2,0))))))</f>
        <v>Fornos Retangulares - Engenharia e Obras</v>
      </c>
    </row>
    <row r="1418" spans="1:24" x14ac:dyDescent="0.35">
      <c r="A1418" t="s">
        <v>41</v>
      </c>
      <c r="B1418" t="s">
        <v>73</v>
      </c>
      <c r="C1418" t="s">
        <v>74</v>
      </c>
      <c r="D1418" t="s">
        <v>682</v>
      </c>
      <c r="E1418" t="s">
        <v>683</v>
      </c>
      <c r="F1418">
        <v>7093370</v>
      </c>
      <c r="G1418" t="s">
        <v>151</v>
      </c>
      <c r="H1418" t="s">
        <v>43</v>
      </c>
      <c r="I1418" t="s">
        <v>44</v>
      </c>
      <c r="J1418" t="s">
        <v>152</v>
      </c>
      <c r="K1418" t="s">
        <v>7</v>
      </c>
      <c r="L1418" t="s">
        <v>148</v>
      </c>
      <c r="M1418" t="s">
        <v>1086</v>
      </c>
      <c r="N1418" t="s">
        <v>1087</v>
      </c>
      <c r="O1418" t="s">
        <v>1088</v>
      </c>
      <c r="P1418" t="s">
        <v>383</v>
      </c>
      <c r="Q1418" t="s">
        <v>684</v>
      </c>
      <c r="R1418" t="s">
        <v>685</v>
      </c>
      <c r="S1418" t="s">
        <v>46</v>
      </c>
      <c r="T1418" t="s">
        <v>46</v>
      </c>
      <c r="U1418" s="4">
        <v>11.13</v>
      </c>
      <c r="V1418" t="str">
        <f t="shared" si="22"/>
        <v>-030</v>
      </c>
      <c r="W1418" t="str">
        <f>VLOOKUP(K1418,[1]Info!A$1:B$21,2,0)</f>
        <v>Fornos Retangulares - Engenharia e Obras</v>
      </c>
      <c r="X1418" t="str">
        <f>IF(M1418="109595132","Material de Limpeza-Não Avaliar",IF(AND(K1418="F20",M1418&lt;&gt;109595132),IF(RIGHT(F1418,2)="70","Infraestrutura de Planta","Prédios e Instalações"),IF(K1418="FPC",VLOOKUP(F1418,[1]Info!$E$2:$F$11,2,0),IF(K1418="FGP",VLOOKUP(F1418,[1]Info!$E$9:$F$10,2,0),IF(K1418="F10",VLOOKUP(F1418,[1]Info!$E$2:$F$3,2,0),VLOOKUP(K1418,[1]Info!$A$1:$B$21,2,0))))))</f>
        <v>Fornos Retangulares - Engenharia e Obras</v>
      </c>
    </row>
    <row r="1419" spans="1:24" x14ac:dyDescent="0.35">
      <c r="A1419" t="s">
        <v>41</v>
      </c>
      <c r="B1419" t="s">
        <v>73</v>
      </c>
      <c r="C1419" t="s">
        <v>74</v>
      </c>
      <c r="D1419" t="s">
        <v>682</v>
      </c>
      <c r="E1419" t="s">
        <v>683</v>
      </c>
      <c r="F1419">
        <v>7093370</v>
      </c>
      <c r="G1419" t="s">
        <v>151</v>
      </c>
      <c r="H1419" t="s">
        <v>43</v>
      </c>
      <c r="I1419" t="s">
        <v>44</v>
      </c>
      <c r="J1419" t="s">
        <v>152</v>
      </c>
      <c r="K1419" t="s">
        <v>6</v>
      </c>
      <c r="L1419" t="s">
        <v>51</v>
      </c>
      <c r="M1419" t="s">
        <v>1061</v>
      </c>
      <c r="N1419" t="s">
        <v>1062</v>
      </c>
      <c r="O1419" t="s">
        <v>1063</v>
      </c>
      <c r="P1419" t="s">
        <v>383</v>
      </c>
      <c r="Q1419" t="s">
        <v>1261</v>
      </c>
      <c r="R1419" t="s">
        <v>1262</v>
      </c>
      <c r="S1419" t="s">
        <v>46</v>
      </c>
      <c r="T1419" t="s">
        <v>46</v>
      </c>
      <c r="U1419" s="4">
        <v>38.85</v>
      </c>
      <c r="V1419" t="str">
        <f t="shared" si="22"/>
        <v>EP39</v>
      </c>
      <c r="W1419" t="str">
        <f>VLOOKUP(K1419,[1]Info!A$1:B$21,2,0)</f>
        <v>Equipamentos Carbonização</v>
      </c>
      <c r="X1419" t="str">
        <f>IF(M1419="109595132","Material de Limpeza-Não Avaliar",IF(AND(K1419="F20",M1419&lt;&gt;109595132),IF(RIGHT(F1419,2)="70","Infraestrutura de Planta","Prédios e Instalações"),IF(K1419="FPC",VLOOKUP(F1419,[1]Info!$E$2:$F$11,2,0),IF(K1419="FGP",VLOOKUP(F1419,[1]Info!$E$9:$F$10,2,0),IF(K1419="F10",VLOOKUP(F1419,[1]Info!$E$2:$F$3,2,0),VLOOKUP(K1419,[1]Info!$A$1:$B$21,2,0))))))</f>
        <v>Equipamentos Carbonização</v>
      </c>
    </row>
    <row r="1420" spans="1:24" x14ac:dyDescent="0.35">
      <c r="A1420" t="s">
        <v>41</v>
      </c>
      <c r="B1420" t="s">
        <v>73</v>
      </c>
      <c r="C1420" t="s">
        <v>74</v>
      </c>
      <c r="D1420" t="s">
        <v>682</v>
      </c>
      <c r="E1420" t="s">
        <v>683</v>
      </c>
      <c r="F1420">
        <v>7092370</v>
      </c>
      <c r="G1420" t="s">
        <v>292</v>
      </c>
      <c r="H1420" t="s">
        <v>43</v>
      </c>
      <c r="I1420" t="s">
        <v>44</v>
      </c>
      <c r="J1420" t="s">
        <v>208</v>
      </c>
      <c r="K1420" t="s">
        <v>6</v>
      </c>
      <c r="L1420" t="s">
        <v>51</v>
      </c>
      <c r="M1420" t="s">
        <v>294</v>
      </c>
      <c r="N1420" t="s">
        <v>295</v>
      </c>
      <c r="O1420" t="s">
        <v>296</v>
      </c>
      <c r="P1420" t="s">
        <v>383</v>
      </c>
      <c r="Q1420" t="s">
        <v>684</v>
      </c>
      <c r="R1420" t="s">
        <v>685</v>
      </c>
      <c r="S1420" t="s">
        <v>46</v>
      </c>
      <c r="T1420" t="s">
        <v>46</v>
      </c>
      <c r="U1420" s="4">
        <v>111.32</v>
      </c>
      <c r="V1420" t="str">
        <f t="shared" si="22"/>
        <v>-005</v>
      </c>
      <c r="W1420" t="str">
        <f>VLOOKUP(K1420,[1]Info!A$1:B$21,2,0)</f>
        <v>Equipamentos Carbonização</v>
      </c>
      <c r="X1420" t="str">
        <f>IF(M1420="109595132","Material de Limpeza-Não Avaliar",IF(AND(K1420="F20",M1420&lt;&gt;109595132),IF(RIGHT(F1420,2)="70","Infraestrutura de Planta","Prédios e Instalações"),IF(K1420="FPC",VLOOKUP(F1420,[1]Info!$E$2:$F$11,2,0),IF(K1420="FGP",VLOOKUP(F1420,[1]Info!$E$9:$F$10,2,0),IF(K1420="F10",VLOOKUP(F1420,[1]Info!$E$2:$F$3,2,0),VLOOKUP(K1420,[1]Info!$A$1:$B$21,2,0))))))</f>
        <v>Equipamentos Carbonização</v>
      </c>
    </row>
    <row r="1421" spans="1:24" x14ac:dyDescent="0.35">
      <c r="A1421" t="s">
        <v>41</v>
      </c>
      <c r="B1421" t="s">
        <v>73</v>
      </c>
      <c r="C1421" t="s">
        <v>74</v>
      </c>
      <c r="D1421" t="s">
        <v>682</v>
      </c>
      <c r="E1421" t="s">
        <v>683</v>
      </c>
      <c r="F1421">
        <v>7091870</v>
      </c>
      <c r="G1421" t="s">
        <v>162</v>
      </c>
      <c r="H1421" t="s">
        <v>43</v>
      </c>
      <c r="I1421" t="s">
        <v>44</v>
      </c>
      <c r="J1421" t="s">
        <v>163</v>
      </c>
      <c r="K1421" t="s">
        <v>6</v>
      </c>
      <c r="L1421" t="s">
        <v>51</v>
      </c>
      <c r="M1421" t="s">
        <v>839</v>
      </c>
      <c r="N1421" t="s">
        <v>840</v>
      </c>
      <c r="O1421" t="s">
        <v>841</v>
      </c>
      <c r="P1421" t="s">
        <v>383</v>
      </c>
      <c r="Q1421" t="s">
        <v>684</v>
      </c>
      <c r="R1421" t="s">
        <v>685</v>
      </c>
      <c r="S1421" t="s">
        <v>46</v>
      </c>
      <c r="T1421" t="s">
        <v>46</v>
      </c>
      <c r="U1421" s="4">
        <v>111.32</v>
      </c>
      <c r="V1421" t="str">
        <f t="shared" si="22"/>
        <v>0050</v>
      </c>
      <c r="W1421" t="str">
        <f>VLOOKUP(K1421,[1]Info!A$1:B$21,2,0)</f>
        <v>Equipamentos Carbonização</v>
      </c>
      <c r="X1421" t="str">
        <f>IF(M1421="109595132","Material de Limpeza-Não Avaliar",IF(AND(K1421="F20",M1421&lt;&gt;109595132),IF(RIGHT(F1421,2)="70","Infraestrutura de Planta","Prédios e Instalações"),IF(K1421="FPC",VLOOKUP(F1421,[1]Info!$E$2:$F$11,2,0),IF(K1421="FGP",VLOOKUP(F1421,[1]Info!$E$9:$F$10,2,0),IF(K1421="F10",VLOOKUP(F1421,[1]Info!$E$2:$F$3,2,0),VLOOKUP(K1421,[1]Info!$A$1:$B$21,2,0))))))</f>
        <v>Equipamentos Carbonização</v>
      </c>
    </row>
    <row r="1422" spans="1:24" x14ac:dyDescent="0.35">
      <c r="A1422" t="s">
        <v>41</v>
      </c>
      <c r="B1422" t="s">
        <v>73</v>
      </c>
      <c r="C1422" t="s">
        <v>74</v>
      </c>
      <c r="D1422" t="s">
        <v>682</v>
      </c>
      <c r="E1422" t="s">
        <v>683</v>
      </c>
      <c r="F1422">
        <v>7091570</v>
      </c>
      <c r="G1422" t="s">
        <v>1096</v>
      </c>
      <c r="H1422" t="s">
        <v>43</v>
      </c>
      <c r="I1422" t="s">
        <v>44</v>
      </c>
      <c r="J1422" t="s">
        <v>79</v>
      </c>
      <c r="K1422" t="s">
        <v>6</v>
      </c>
      <c r="L1422" t="s">
        <v>51</v>
      </c>
      <c r="M1422" t="s">
        <v>1097</v>
      </c>
      <c r="N1422" t="s">
        <v>1098</v>
      </c>
      <c r="O1422" t="s">
        <v>1099</v>
      </c>
      <c r="P1422" t="s">
        <v>383</v>
      </c>
      <c r="Q1422" t="s">
        <v>1261</v>
      </c>
      <c r="R1422" t="s">
        <v>1262</v>
      </c>
      <c r="S1422" t="s">
        <v>46</v>
      </c>
      <c r="T1422" t="s">
        <v>46</v>
      </c>
      <c r="U1422" s="4">
        <v>19.43</v>
      </c>
      <c r="V1422" t="str">
        <f t="shared" si="22"/>
        <v>-005</v>
      </c>
      <c r="W1422" t="str">
        <f>VLOOKUP(K1422,[1]Info!A$1:B$21,2,0)</f>
        <v>Equipamentos Carbonização</v>
      </c>
      <c r="X1422" t="str">
        <f>IF(M1422="109595132","Material de Limpeza-Não Avaliar",IF(AND(K1422="F20",M1422&lt;&gt;109595132),IF(RIGHT(F1422,2)="70","Infraestrutura de Planta","Prédios e Instalações"),IF(K1422="FPC",VLOOKUP(F1422,[1]Info!$E$2:$F$11,2,0),IF(K1422="FGP",VLOOKUP(F1422,[1]Info!$E$9:$F$10,2,0),IF(K1422="F10",VLOOKUP(F1422,[1]Info!$E$2:$F$3,2,0),VLOOKUP(K1422,[1]Info!$A$1:$B$21,2,0))))))</f>
        <v>Equipamentos Carbonização</v>
      </c>
    </row>
    <row r="1423" spans="1:24" x14ac:dyDescent="0.35">
      <c r="A1423" t="s">
        <v>41</v>
      </c>
      <c r="B1423" t="s">
        <v>73</v>
      </c>
      <c r="C1423" t="s">
        <v>74</v>
      </c>
      <c r="D1423" t="s">
        <v>682</v>
      </c>
      <c r="E1423" t="s">
        <v>683</v>
      </c>
      <c r="F1423">
        <v>7091370</v>
      </c>
      <c r="G1423" t="s">
        <v>242</v>
      </c>
      <c r="H1423" t="s">
        <v>43</v>
      </c>
      <c r="I1423" t="s">
        <v>44</v>
      </c>
      <c r="J1423" t="s">
        <v>50</v>
      </c>
      <c r="K1423" t="s">
        <v>5</v>
      </c>
      <c r="L1423" t="s">
        <v>148</v>
      </c>
      <c r="M1423" t="s">
        <v>1100</v>
      </c>
      <c r="N1423" t="s">
        <v>1101</v>
      </c>
      <c r="O1423" t="s">
        <v>1102</v>
      </c>
      <c r="P1423" t="s">
        <v>383</v>
      </c>
      <c r="Q1423" t="s">
        <v>1261</v>
      </c>
      <c r="R1423" t="s">
        <v>1262</v>
      </c>
      <c r="S1423" t="s">
        <v>46</v>
      </c>
      <c r="T1423" t="s">
        <v>46</v>
      </c>
      <c r="U1423" s="4">
        <v>6.48</v>
      </c>
      <c r="V1423" t="str">
        <f t="shared" si="22"/>
        <v>-035</v>
      </c>
      <c r="W1423" t="str">
        <f>VLOOKUP(K1423,[1]Info!A$1:B$21,2,0)</f>
        <v>Fornos / Carbonização (Setup)</v>
      </c>
      <c r="X1423" t="str">
        <f>IF(M1423="109595132","Material de Limpeza-Não Avaliar",IF(AND(K1423="F20",M1423&lt;&gt;109595132),IF(RIGHT(F1423,2)="70","Infraestrutura de Planta","Prédios e Instalações"),IF(K1423="FPC",VLOOKUP(F1423,[1]Info!$E$2:$F$11,2,0),IF(K1423="FGP",VLOOKUP(F1423,[1]Info!$E$9:$F$10,2,0),IF(K1423="F10",VLOOKUP(F1423,[1]Info!$E$2:$F$3,2,0),VLOOKUP(K1423,[1]Info!$A$1:$B$21,2,0))))))</f>
        <v>Fornos / Carbonização (Setup)</v>
      </c>
    </row>
    <row r="1424" spans="1:24" x14ac:dyDescent="0.35">
      <c r="A1424" t="s">
        <v>41</v>
      </c>
      <c r="B1424" t="s">
        <v>73</v>
      </c>
      <c r="C1424" t="s">
        <v>74</v>
      </c>
      <c r="D1424" t="s">
        <v>682</v>
      </c>
      <c r="E1424" t="s">
        <v>683</v>
      </c>
      <c r="F1424">
        <v>7091370</v>
      </c>
      <c r="G1424" t="s">
        <v>242</v>
      </c>
      <c r="H1424" t="s">
        <v>43</v>
      </c>
      <c r="I1424" t="s">
        <v>44</v>
      </c>
      <c r="J1424" t="s">
        <v>50</v>
      </c>
      <c r="K1424" t="s">
        <v>5</v>
      </c>
      <c r="L1424" t="s">
        <v>148</v>
      </c>
      <c r="M1424" t="s">
        <v>1103</v>
      </c>
      <c r="N1424" t="s">
        <v>1104</v>
      </c>
      <c r="O1424" t="s">
        <v>1105</v>
      </c>
      <c r="P1424" t="s">
        <v>383</v>
      </c>
      <c r="Q1424" t="s">
        <v>1261</v>
      </c>
      <c r="R1424" t="s">
        <v>1262</v>
      </c>
      <c r="S1424" t="s">
        <v>46</v>
      </c>
      <c r="T1424" t="s">
        <v>46</v>
      </c>
      <c r="U1424" s="4">
        <v>6.47</v>
      </c>
      <c r="V1424" t="str">
        <f t="shared" si="22"/>
        <v>-035</v>
      </c>
      <c r="W1424" t="str">
        <f>VLOOKUP(K1424,[1]Info!A$1:B$21,2,0)</f>
        <v>Fornos / Carbonização (Setup)</v>
      </c>
      <c r="X1424" t="str">
        <f>IF(M1424="109595132","Material de Limpeza-Não Avaliar",IF(AND(K1424="F20",M1424&lt;&gt;109595132),IF(RIGHT(F1424,2)="70","Infraestrutura de Planta","Prédios e Instalações"),IF(K1424="FPC",VLOOKUP(F1424,[1]Info!$E$2:$F$11,2,0),IF(K1424="FGP",VLOOKUP(F1424,[1]Info!$E$9:$F$10,2,0),IF(K1424="F10",VLOOKUP(F1424,[1]Info!$E$2:$F$3,2,0),VLOOKUP(K1424,[1]Info!$A$1:$B$21,2,0))))))</f>
        <v>Fornos / Carbonização (Setup)</v>
      </c>
    </row>
    <row r="1425" spans="1:24" x14ac:dyDescent="0.35">
      <c r="A1425" t="s">
        <v>41</v>
      </c>
      <c r="B1425" t="s">
        <v>83</v>
      </c>
      <c r="C1425" t="s">
        <v>84</v>
      </c>
      <c r="D1425" t="s">
        <v>368</v>
      </c>
      <c r="E1425" t="s">
        <v>369</v>
      </c>
      <c r="F1425">
        <v>7090231</v>
      </c>
      <c r="G1425" t="s">
        <v>2194</v>
      </c>
      <c r="H1425" t="s">
        <v>48</v>
      </c>
      <c r="I1425" t="s">
        <v>49</v>
      </c>
      <c r="J1425" t="s">
        <v>163</v>
      </c>
      <c r="K1425" t="s">
        <v>2</v>
      </c>
      <c r="L1425" t="s">
        <v>45</v>
      </c>
      <c r="M1425" t="s">
        <v>2195</v>
      </c>
      <c r="N1425" t="s">
        <v>2196</v>
      </c>
      <c r="O1425" t="s">
        <v>2197</v>
      </c>
      <c r="P1425" t="s">
        <v>1292</v>
      </c>
      <c r="Q1425" t="s">
        <v>46</v>
      </c>
      <c r="R1425" t="s">
        <v>47</v>
      </c>
      <c r="S1425" t="s">
        <v>1719</v>
      </c>
      <c r="T1425" t="s">
        <v>1720</v>
      </c>
      <c r="U1425" s="4">
        <v>590.75</v>
      </c>
      <c r="V1425" t="str">
        <f t="shared" si="22"/>
        <v>0005</v>
      </c>
      <c r="W1425" t="str">
        <f>VLOOKUP(K1425,[1]Info!A$1:B$21,2,0)</f>
        <v>Infra - prédios</v>
      </c>
      <c r="X1425" t="str">
        <f>IF(M1425="109595132","Material de Limpeza-Não Avaliar",IF(AND(K1425="F20",M1425&lt;&gt;109595132),IF(RIGHT(F1425,2)="70","Infraestrutura de Planta","Prédios e Instalações"),IF(K1425="FPC",VLOOKUP(F1425,[1]Info!$E$2:$F$11,2,0),IF(K1425="FGP",VLOOKUP(F1425,[1]Info!$E$9:$F$10,2,0),IF(K1425="F10",VLOOKUP(F1425,[1]Info!$E$2:$F$3,2,0),VLOOKUP(K1425,[1]Info!$A$1:$B$21,2,0))))))</f>
        <v>Prédios e Instalações</v>
      </c>
    </row>
    <row r="1426" spans="1:24" x14ac:dyDescent="0.35">
      <c r="A1426" t="s">
        <v>41</v>
      </c>
      <c r="B1426" t="s">
        <v>83</v>
      </c>
      <c r="C1426" t="s">
        <v>84</v>
      </c>
      <c r="D1426" t="s">
        <v>92</v>
      </c>
      <c r="E1426" t="s">
        <v>71</v>
      </c>
      <c r="F1426">
        <v>7090241</v>
      </c>
      <c r="G1426" t="s">
        <v>2198</v>
      </c>
      <c r="H1426" t="s">
        <v>48</v>
      </c>
      <c r="I1426" t="s">
        <v>49</v>
      </c>
      <c r="J1426" t="s">
        <v>208</v>
      </c>
      <c r="K1426" t="s">
        <v>2</v>
      </c>
      <c r="L1426" t="s">
        <v>45</v>
      </c>
      <c r="M1426" t="s">
        <v>2199</v>
      </c>
      <c r="N1426" t="s">
        <v>2200</v>
      </c>
      <c r="O1426" t="s">
        <v>2201</v>
      </c>
      <c r="P1426" t="s">
        <v>1292</v>
      </c>
      <c r="Q1426" t="s">
        <v>46</v>
      </c>
      <c r="R1426" t="s">
        <v>47</v>
      </c>
      <c r="S1426" t="s">
        <v>2202</v>
      </c>
      <c r="T1426" t="s">
        <v>2203</v>
      </c>
      <c r="U1426" s="4">
        <v>1990.7</v>
      </c>
      <c r="V1426" t="str">
        <f t="shared" si="22"/>
        <v>A002</v>
      </c>
      <c r="W1426" t="str">
        <f>VLOOKUP(K1426,[1]Info!A$1:B$21,2,0)</f>
        <v>Infra - prédios</v>
      </c>
      <c r="X1426" t="str">
        <f>IF(M1426="109595132","Material de Limpeza-Não Avaliar",IF(AND(K1426="F20",M1426&lt;&gt;109595132),IF(RIGHT(F1426,2)="70","Infraestrutura de Planta","Prédios e Instalações"),IF(K1426="FPC",VLOOKUP(F1426,[1]Info!$E$2:$F$11,2,0),IF(K1426="FGP",VLOOKUP(F1426,[1]Info!$E$9:$F$10,2,0),IF(K1426="F10",VLOOKUP(F1426,[1]Info!$E$2:$F$3,2,0),VLOOKUP(K1426,[1]Info!$A$1:$B$21,2,0))))))</f>
        <v>Prédios e Instalações</v>
      </c>
    </row>
    <row r="1427" spans="1:24" x14ac:dyDescent="0.35">
      <c r="A1427" t="s">
        <v>41</v>
      </c>
      <c r="B1427" t="s">
        <v>83</v>
      </c>
      <c r="C1427" t="s">
        <v>84</v>
      </c>
      <c r="D1427" t="s">
        <v>92</v>
      </c>
      <c r="E1427" t="s">
        <v>71</v>
      </c>
      <c r="F1427">
        <v>7090224</v>
      </c>
      <c r="G1427" t="s">
        <v>2204</v>
      </c>
      <c r="H1427" t="s">
        <v>48</v>
      </c>
      <c r="I1427" t="s">
        <v>49</v>
      </c>
      <c r="J1427" t="s">
        <v>50</v>
      </c>
      <c r="K1427" t="s">
        <v>2</v>
      </c>
      <c r="L1427" t="s">
        <v>45</v>
      </c>
      <c r="M1427" t="s">
        <v>2205</v>
      </c>
      <c r="N1427" t="s">
        <v>2206</v>
      </c>
      <c r="O1427" t="s">
        <v>2207</v>
      </c>
      <c r="P1427" t="s">
        <v>1292</v>
      </c>
      <c r="Q1427" t="s">
        <v>46</v>
      </c>
      <c r="R1427" t="s">
        <v>47</v>
      </c>
      <c r="S1427" t="s">
        <v>2202</v>
      </c>
      <c r="T1427" t="s">
        <v>2203</v>
      </c>
      <c r="U1427" s="4">
        <v>2574.5100000000002</v>
      </c>
      <c r="V1427" t="str">
        <f t="shared" si="22"/>
        <v>A002</v>
      </c>
      <c r="W1427" t="str">
        <f>VLOOKUP(K1427,[1]Info!A$1:B$21,2,0)</f>
        <v>Infra - prédios</v>
      </c>
      <c r="X1427" t="str">
        <f>IF(M1427="109595132","Material de Limpeza-Não Avaliar",IF(AND(K1427="F20",M1427&lt;&gt;109595132),IF(RIGHT(F1427,2)="70","Infraestrutura de Planta","Prédios e Instalações"),IF(K1427="FPC",VLOOKUP(F1427,[1]Info!$E$2:$F$11,2,0),IF(K1427="FGP",VLOOKUP(F1427,[1]Info!$E$9:$F$10,2,0),IF(K1427="F10",VLOOKUP(F1427,[1]Info!$E$2:$F$3,2,0),VLOOKUP(K1427,[1]Info!$A$1:$B$21,2,0))))))</f>
        <v>Prédios e Instalações</v>
      </c>
    </row>
    <row r="1428" spans="1:24" x14ac:dyDescent="0.35">
      <c r="A1428" t="s">
        <v>41</v>
      </c>
      <c r="B1428" t="s">
        <v>83</v>
      </c>
      <c r="C1428" t="s">
        <v>84</v>
      </c>
      <c r="D1428" t="s">
        <v>711</v>
      </c>
      <c r="E1428" t="s">
        <v>712</v>
      </c>
      <c r="F1428">
        <v>7090251</v>
      </c>
      <c r="G1428" t="s">
        <v>1265</v>
      </c>
      <c r="H1428" t="s">
        <v>48</v>
      </c>
      <c r="I1428" t="s">
        <v>49</v>
      </c>
      <c r="J1428" t="s">
        <v>226</v>
      </c>
      <c r="K1428" t="s">
        <v>7</v>
      </c>
      <c r="L1428" t="s">
        <v>148</v>
      </c>
      <c r="M1428" t="s">
        <v>1266</v>
      </c>
      <c r="N1428" t="s">
        <v>1267</v>
      </c>
      <c r="O1428" t="s">
        <v>1268</v>
      </c>
      <c r="P1428" t="s">
        <v>383</v>
      </c>
      <c r="Q1428" t="s">
        <v>716</v>
      </c>
      <c r="R1428" t="s">
        <v>717</v>
      </c>
      <c r="S1428" t="s">
        <v>46</v>
      </c>
      <c r="T1428" t="s">
        <v>46</v>
      </c>
      <c r="U1428" s="4">
        <v>78.16</v>
      </c>
      <c r="V1428" t="str">
        <f t="shared" si="22"/>
        <v>-S04</v>
      </c>
      <c r="W1428" t="str">
        <f>VLOOKUP(K1428,[1]Info!A$1:B$21,2,0)</f>
        <v>Fornos Retangulares - Engenharia e Obras</v>
      </c>
      <c r="X1428" t="str">
        <f>IF(M1428="109595132","Material de Limpeza-Não Avaliar",IF(AND(K1428="F20",M1428&lt;&gt;109595132),IF(RIGHT(F1428,2)="70","Infraestrutura de Planta","Prédios e Instalações"),IF(K1428="FPC",VLOOKUP(F1428,[1]Info!$E$2:$F$11,2,0),IF(K1428="FGP",VLOOKUP(F1428,[1]Info!$E$9:$F$10,2,0),IF(K1428="F10",VLOOKUP(F1428,[1]Info!$E$2:$F$3,2,0),VLOOKUP(K1428,[1]Info!$A$1:$B$21,2,0))))))</f>
        <v>Fornos Retangulares - Engenharia e Obras</v>
      </c>
    </row>
    <row r="1429" spans="1:24" x14ac:dyDescent="0.35">
      <c r="A1429" t="s">
        <v>41</v>
      </c>
      <c r="B1429" t="s">
        <v>83</v>
      </c>
      <c r="C1429" t="s">
        <v>84</v>
      </c>
      <c r="D1429" t="s">
        <v>91</v>
      </c>
      <c r="E1429" t="s">
        <v>42</v>
      </c>
      <c r="F1429">
        <v>7090221</v>
      </c>
      <c r="G1429" t="s">
        <v>2208</v>
      </c>
      <c r="H1429" t="s">
        <v>48</v>
      </c>
      <c r="I1429" t="s">
        <v>49</v>
      </c>
      <c r="J1429" t="s">
        <v>79</v>
      </c>
      <c r="K1429" t="s">
        <v>2</v>
      </c>
      <c r="L1429" t="s">
        <v>45</v>
      </c>
      <c r="M1429" t="s">
        <v>2209</v>
      </c>
      <c r="N1429" t="s">
        <v>2210</v>
      </c>
      <c r="O1429" t="s">
        <v>2211</v>
      </c>
      <c r="P1429" t="s">
        <v>1292</v>
      </c>
      <c r="Q1429" t="s">
        <v>46</v>
      </c>
      <c r="R1429" t="s">
        <v>47</v>
      </c>
      <c r="S1429" t="s">
        <v>46</v>
      </c>
      <c r="T1429" t="s">
        <v>46</v>
      </c>
      <c r="U1429" s="4">
        <v>48.8</v>
      </c>
      <c r="V1429" t="str">
        <f t="shared" si="22"/>
        <v>-OF1</v>
      </c>
      <c r="W1429" t="str">
        <f>VLOOKUP(K1429,[1]Info!A$1:B$21,2,0)</f>
        <v>Infra - prédios</v>
      </c>
      <c r="X1429" t="str">
        <f>IF(M1429="109595132","Material de Limpeza-Não Avaliar",IF(AND(K1429="F20",M1429&lt;&gt;109595132),IF(RIGHT(F1429,2)="70","Infraestrutura de Planta","Prédios e Instalações"),IF(K1429="FPC",VLOOKUP(F1429,[1]Info!$E$2:$F$11,2,0),IF(K1429="FGP",VLOOKUP(F1429,[1]Info!$E$9:$F$10,2,0),IF(K1429="F10",VLOOKUP(F1429,[1]Info!$E$2:$F$3,2,0),VLOOKUP(K1429,[1]Info!$A$1:$B$21,2,0))))))</f>
        <v>Prédios e Instalações</v>
      </c>
    </row>
    <row r="1430" spans="1:24" x14ac:dyDescent="0.35">
      <c r="A1430" t="s">
        <v>41</v>
      </c>
      <c r="B1430" t="s">
        <v>83</v>
      </c>
      <c r="C1430" t="s">
        <v>84</v>
      </c>
      <c r="D1430" t="s">
        <v>96</v>
      </c>
      <c r="E1430" t="s">
        <v>64</v>
      </c>
      <c r="F1430">
        <v>7090241</v>
      </c>
      <c r="G1430" t="s">
        <v>2198</v>
      </c>
      <c r="H1430" t="s">
        <v>48</v>
      </c>
      <c r="I1430" t="s">
        <v>49</v>
      </c>
      <c r="J1430" t="s">
        <v>208</v>
      </c>
      <c r="K1430" t="s">
        <v>2</v>
      </c>
      <c r="L1430" t="s">
        <v>45</v>
      </c>
      <c r="M1430" t="s">
        <v>2199</v>
      </c>
      <c r="N1430" t="s">
        <v>2200</v>
      </c>
      <c r="O1430" t="s">
        <v>2201</v>
      </c>
      <c r="P1430" t="s">
        <v>1292</v>
      </c>
      <c r="Q1430" t="s">
        <v>46</v>
      </c>
      <c r="R1430" t="s">
        <v>47</v>
      </c>
      <c r="S1430" t="s">
        <v>46</v>
      </c>
      <c r="T1430" t="s">
        <v>46</v>
      </c>
      <c r="U1430" s="4">
        <v>2760.07</v>
      </c>
      <c r="V1430" t="str">
        <f t="shared" si="22"/>
        <v>A002</v>
      </c>
      <c r="W1430" t="str">
        <f>VLOOKUP(K1430,[1]Info!A$1:B$21,2,0)</f>
        <v>Infra - prédios</v>
      </c>
      <c r="X1430" t="str">
        <f>IF(M1430="109595132","Material de Limpeza-Não Avaliar",IF(AND(K1430="F20",M1430&lt;&gt;109595132),IF(RIGHT(F1430,2)="70","Infraestrutura de Planta","Prédios e Instalações"),IF(K1430="FPC",VLOOKUP(F1430,[1]Info!$E$2:$F$11,2,0),IF(K1430="FGP",VLOOKUP(F1430,[1]Info!$E$9:$F$10,2,0),IF(K1430="F10",VLOOKUP(F1430,[1]Info!$E$2:$F$3,2,0),VLOOKUP(K1430,[1]Info!$A$1:$B$21,2,0))))))</f>
        <v>Prédios e Instalações</v>
      </c>
    </row>
    <row r="1431" spans="1:24" x14ac:dyDescent="0.35">
      <c r="A1431" t="s">
        <v>41</v>
      </c>
      <c r="B1431" t="s">
        <v>83</v>
      </c>
      <c r="C1431" t="s">
        <v>84</v>
      </c>
      <c r="D1431" t="s">
        <v>96</v>
      </c>
      <c r="E1431" t="s">
        <v>64</v>
      </c>
      <c r="F1431">
        <v>7090221</v>
      </c>
      <c r="G1431" t="s">
        <v>2208</v>
      </c>
      <c r="H1431" t="s">
        <v>48</v>
      </c>
      <c r="I1431" t="s">
        <v>49</v>
      </c>
      <c r="J1431" t="s">
        <v>79</v>
      </c>
      <c r="K1431" t="s">
        <v>17</v>
      </c>
      <c r="L1431" t="s">
        <v>45</v>
      </c>
      <c r="M1431" t="s">
        <v>2212</v>
      </c>
      <c r="N1431" t="s">
        <v>2213</v>
      </c>
      <c r="O1431" t="s">
        <v>2214</v>
      </c>
      <c r="P1431" t="s">
        <v>1292</v>
      </c>
      <c r="Q1431" t="s">
        <v>46</v>
      </c>
      <c r="R1431" t="s">
        <v>47</v>
      </c>
      <c r="S1431" t="s">
        <v>46</v>
      </c>
      <c r="T1431" t="s">
        <v>46</v>
      </c>
      <c r="U1431" s="4">
        <v>1542.5</v>
      </c>
      <c r="V1431" t="str">
        <f t="shared" si="22"/>
        <v>-S01</v>
      </c>
      <c r="W1431" t="str">
        <f>VLOOKUP(K1431,[1]Info!A$1:B$21,2,0)</f>
        <v>Energia e Utilidades</v>
      </c>
      <c r="X1431" t="str">
        <f>IF(M1431="109595132","Material de Limpeza-Não Avaliar",IF(AND(K1431="F20",M1431&lt;&gt;109595132),IF(RIGHT(F1431,2)="70","Infraestrutura de Planta","Prédios e Instalações"),IF(K1431="FPC",VLOOKUP(F1431,[1]Info!$E$2:$F$11,2,0),IF(K1431="FGP",VLOOKUP(F1431,[1]Info!$E$9:$F$10,2,0),IF(K1431="F10",VLOOKUP(F1431,[1]Info!$E$2:$F$3,2,0),VLOOKUP(K1431,[1]Info!$A$1:$B$21,2,0))))))</f>
        <v>Energia e Utilidades</v>
      </c>
    </row>
    <row r="1432" spans="1:24" x14ac:dyDescent="0.35">
      <c r="A1432" t="s">
        <v>41</v>
      </c>
      <c r="B1432" t="s">
        <v>83</v>
      </c>
      <c r="C1432" t="s">
        <v>84</v>
      </c>
      <c r="D1432" t="s">
        <v>96</v>
      </c>
      <c r="E1432" t="s">
        <v>64</v>
      </c>
      <c r="F1432">
        <v>7090215</v>
      </c>
      <c r="G1432" t="s">
        <v>2215</v>
      </c>
      <c r="H1432" t="s">
        <v>48</v>
      </c>
      <c r="I1432" t="s">
        <v>49</v>
      </c>
      <c r="J1432" t="s">
        <v>72</v>
      </c>
      <c r="K1432" t="s">
        <v>17</v>
      </c>
      <c r="L1432" t="s">
        <v>45</v>
      </c>
      <c r="M1432" t="s">
        <v>2216</v>
      </c>
      <c r="N1432" t="s">
        <v>1609</v>
      </c>
      <c r="O1432" t="s">
        <v>2217</v>
      </c>
      <c r="P1432" t="s">
        <v>1292</v>
      </c>
      <c r="Q1432" t="s">
        <v>46</v>
      </c>
      <c r="R1432" t="s">
        <v>47</v>
      </c>
      <c r="S1432" t="s">
        <v>46</v>
      </c>
      <c r="T1432" t="s">
        <v>46</v>
      </c>
      <c r="U1432" s="4">
        <v>3203.5</v>
      </c>
      <c r="V1432" t="str">
        <f t="shared" si="22"/>
        <v>0005</v>
      </c>
      <c r="W1432" t="str">
        <f>VLOOKUP(K1432,[1]Info!A$1:B$21,2,0)</f>
        <v>Energia e Utilidades</v>
      </c>
      <c r="X1432" t="str">
        <f>IF(M1432="109595132","Material de Limpeza-Não Avaliar",IF(AND(K1432="F20",M1432&lt;&gt;109595132),IF(RIGHT(F1432,2)="70","Infraestrutura de Planta","Prédios e Instalações"),IF(K1432="FPC",VLOOKUP(F1432,[1]Info!$E$2:$F$11,2,0),IF(K1432="FGP",VLOOKUP(F1432,[1]Info!$E$9:$F$10,2,0),IF(K1432="F10",VLOOKUP(F1432,[1]Info!$E$2:$F$3,2,0),VLOOKUP(K1432,[1]Info!$A$1:$B$21,2,0))))))</f>
        <v>Energia e Utilidades</v>
      </c>
    </row>
    <row r="1433" spans="1:24" x14ac:dyDescent="0.35">
      <c r="A1433" t="s">
        <v>41</v>
      </c>
      <c r="B1433" t="s">
        <v>83</v>
      </c>
      <c r="C1433" t="s">
        <v>84</v>
      </c>
      <c r="D1433" t="s">
        <v>542</v>
      </c>
      <c r="E1433" t="s">
        <v>543</v>
      </c>
      <c r="F1433">
        <v>7090251</v>
      </c>
      <c r="G1433" t="s">
        <v>1265</v>
      </c>
      <c r="H1433" t="s">
        <v>48</v>
      </c>
      <c r="I1433" t="s">
        <v>49</v>
      </c>
      <c r="J1433" t="s">
        <v>226</v>
      </c>
      <c r="K1433" t="s">
        <v>7</v>
      </c>
      <c r="L1433" t="s">
        <v>148</v>
      </c>
      <c r="M1433" t="s">
        <v>1266</v>
      </c>
      <c r="N1433" t="s">
        <v>1267</v>
      </c>
      <c r="O1433" t="s">
        <v>1268</v>
      </c>
      <c r="P1433" t="s">
        <v>383</v>
      </c>
      <c r="Q1433" t="s">
        <v>1076</v>
      </c>
      <c r="R1433" t="s">
        <v>1077</v>
      </c>
      <c r="S1433" t="s">
        <v>46</v>
      </c>
      <c r="T1433" t="s">
        <v>46</v>
      </c>
      <c r="U1433" s="4">
        <v>77.430000000000007</v>
      </c>
      <c r="V1433" t="str">
        <f t="shared" si="22"/>
        <v>-S04</v>
      </c>
      <c r="W1433" t="str">
        <f>VLOOKUP(K1433,[1]Info!A$1:B$21,2,0)</f>
        <v>Fornos Retangulares - Engenharia e Obras</v>
      </c>
      <c r="X1433" t="str">
        <f>IF(M1433="109595132","Material de Limpeza-Não Avaliar",IF(AND(K1433="F20",M1433&lt;&gt;109595132),IF(RIGHT(F1433,2)="70","Infraestrutura de Planta","Prédios e Instalações"),IF(K1433="FPC",VLOOKUP(F1433,[1]Info!$E$2:$F$11,2,0),IF(K1433="FGP",VLOOKUP(F1433,[1]Info!$E$9:$F$10,2,0),IF(K1433="F10",VLOOKUP(F1433,[1]Info!$E$2:$F$3,2,0),VLOOKUP(K1433,[1]Info!$A$1:$B$21,2,0))))))</f>
        <v>Fornos Retangulares - Engenharia e Obras</v>
      </c>
    </row>
    <row r="1434" spans="1:24" x14ac:dyDescent="0.35">
      <c r="A1434" t="s">
        <v>41</v>
      </c>
      <c r="B1434" t="s">
        <v>83</v>
      </c>
      <c r="C1434" t="s">
        <v>84</v>
      </c>
      <c r="D1434" t="s">
        <v>542</v>
      </c>
      <c r="E1434" t="s">
        <v>543</v>
      </c>
      <c r="F1434">
        <v>7090251</v>
      </c>
      <c r="G1434" t="s">
        <v>1265</v>
      </c>
      <c r="H1434" t="s">
        <v>48</v>
      </c>
      <c r="I1434" t="s">
        <v>49</v>
      </c>
      <c r="J1434" t="s">
        <v>226</v>
      </c>
      <c r="K1434" t="s">
        <v>7</v>
      </c>
      <c r="L1434" t="s">
        <v>148</v>
      </c>
      <c r="M1434" t="s">
        <v>1266</v>
      </c>
      <c r="N1434" t="s">
        <v>1267</v>
      </c>
      <c r="O1434" t="s">
        <v>1268</v>
      </c>
      <c r="P1434" t="s">
        <v>383</v>
      </c>
      <c r="Q1434" t="s">
        <v>764</v>
      </c>
      <c r="R1434" t="s">
        <v>765</v>
      </c>
      <c r="S1434" t="s">
        <v>46</v>
      </c>
      <c r="T1434" t="s">
        <v>46</v>
      </c>
      <c r="U1434" s="4">
        <v>107.79</v>
      </c>
      <c r="V1434" t="str">
        <f t="shared" si="22"/>
        <v>-S04</v>
      </c>
      <c r="W1434" t="str">
        <f>VLOOKUP(K1434,[1]Info!A$1:B$21,2,0)</f>
        <v>Fornos Retangulares - Engenharia e Obras</v>
      </c>
      <c r="X1434" t="str">
        <f>IF(M1434="109595132","Material de Limpeza-Não Avaliar",IF(AND(K1434="F20",M1434&lt;&gt;109595132),IF(RIGHT(F1434,2)="70","Infraestrutura de Planta","Prédios e Instalações"),IF(K1434="FPC",VLOOKUP(F1434,[1]Info!$E$2:$F$11,2,0),IF(K1434="FGP",VLOOKUP(F1434,[1]Info!$E$9:$F$10,2,0),IF(K1434="F10",VLOOKUP(F1434,[1]Info!$E$2:$F$3,2,0),VLOOKUP(K1434,[1]Info!$A$1:$B$21,2,0))))))</f>
        <v>Fornos Retangulares - Engenharia e Obras</v>
      </c>
    </row>
    <row r="1435" spans="1:24" x14ac:dyDescent="0.35">
      <c r="A1435" t="s">
        <v>41</v>
      </c>
      <c r="B1435" t="s">
        <v>83</v>
      </c>
      <c r="C1435" t="s">
        <v>84</v>
      </c>
      <c r="D1435" t="s">
        <v>94</v>
      </c>
      <c r="E1435" t="s">
        <v>52</v>
      </c>
      <c r="F1435">
        <v>7090251</v>
      </c>
      <c r="G1435" t="s">
        <v>1265</v>
      </c>
      <c r="H1435" t="s">
        <v>48</v>
      </c>
      <c r="I1435" t="s">
        <v>49</v>
      </c>
      <c r="J1435" t="s">
        <v>226</v>
      </c>
      <c r="K1435" t="s">
        <v>7</v>
      </c>
      <c r="L1435" t="s">
        <v>148</v>
      </c>
      <c r="M1435" t="s">
        <v>1266</v>
      </c>
      <c r="N1435" t="s">
        <v>1267</v>
      </c>
      <c r="O1435" t="s">
        <v>1268</v>
      </c>
      <c r="P1435" t="s">
        <v>383</v>
      </c>
      <c r="Q1435" t="s">
        <v>1269</v>
      </c>
      <c r="R1435" t="s">
        <v>1270</v>
      </c>
      <c r="S1435" t="s">
        <v>46</v>
      </c>
      <c r="T1435" t="s">
        <v>46</v>
      </c>
      <c r="U1435" s="4">
        <v>175.61</v>
      </c>
      <c r="V1435" t="str">
        <f t="shared" si="22"/>
        <v>-S04</v>
      </c>
      <c r="W1435" t="str">
        <f>VLOOKUP(K1435,[1]Info!A$1:B$21,2,0)</f>
        <v>Fornos Retangulares - Engenharia e Obras</v>
      </c>
      <c r="X1435" t="str">
        <f>IF(M1435="109595132","Material de Limpeza-Não Avaliar",IF(AND(K1435="F20",M1435&lt;&gt;109595132),IF(RIGHT(F1435,2)="70","Infraestrutura de Planta","Prédios e Instalações"),IF(K1435="FPC",VLOOKUP(F1435,[1]Info!$E$2:$F$11,2,0),IF(K1435="FGP",VLOOKUP(F1435,[1]Info!$E$9:$F$10,2,0),IF(K1435="F10",VLOOKUP(F1435,[1]Info!$E$2:$F$3,2,0),VLOOKUP(K1435,[1]Info!$A$1:$B$21,2,0))))))</f>
        <v>Fornos Retangulares - Engenharia e Obras</v>
      </c>
    </row>
    <row r="1436" spans="1:24" x14ac:dyDescent="0.35">
      <c r="A1436" t="s">
        <v>41</v>
      </c>
      <c r="B1436" t="s">
        <v>83</v>
      </c>
      <c r="C1436" t="s">
        <v>84</v>
      </c>
      <c r="D1436" t="s">
        <v>94</v>
      </c>
      <c r="E1436" t="s">
        <v>52</v>
      </c>
      <c r="F1436">
        <v>7090251</v>
      </c>
      <c r="G1436" t="s">
        <v>1265</v>
      </c>
      <c r="H1436" t="s">
        <v>48</v>
      </c>
      <c r="I1436" t="s">
        <v>49</v>
      </c>
      <c r="J1436" t="s">
        <v>226</v>
      </c>
      <c r="K1436" t="s">
        <v>7</v>
      </c>
      <c r="L1436" t="s">
        <v>148</v>
      </c>
      <c r="M1436" t="s">
        <v>1266</v>
      </c>
      <c r="N1436" t="s">
        <v>1267</v>
      </c>
      <c r="O1436" t="s">
        <v>1268</v>
      </c>
      <c r="P1436" t="s">
        <v>383</v>
      </c>
      <c r="Q1436" t="s">
        <v>1271</v>
      </c>
      <c r="R1436" t="s">
        <v>1272</v>
      </c>
      <c r="S1436" t="s">
        <v>46</v>
      </c>
      <c r="T1436" t="s">
        <v>46</v>
      </c>
      <c r="U1436" s="4">
        <v>54.45</v>
      </c>
      <c r="V1436" t="str">
        <f t="shared" si="22"/>
        <v>-S04</v>
      </c>
      <c r="W1436" t="str">
        <f>VLOOKUP(K1436,[1]Info!A$1:B$21,2,0)</f>
        <v>Fornos Retangulares - Engenharia e Obras</v>
      </c>
      <c r="X1436" t="str">
        <f>IF(M1436="109595132","Material de Limpeza-Não Avaliar",IF(AND(K1436="F20",M1436&lt;&gt;109595132),IF(RIGHT(F1436,2)="70","Infraestrutura de Planta","Prédios e Instalações"),IF(K1436="FPC",VLOOKUP(F1436,[1]Info!$E$2:$F$11,2,0),IF(K1436="FGP",VLOOKUP(F1436,[1]Info!$E$9:$F$10,2,0),IF(K1436="F10",VLOOKUP(F1436,[1]Info!$E$2:$F$3,2,0),VLOOKUP(K1436,[1]Info!$A$1:$B$21,2,0))))))</f>
        <v>Fornos Retangulares - Engenharia e Obras</v>
      </c>
    </row>
    <row r="1437" spans="1:24" x14ac:dyDescent="0.35">
      <c r="A1437" t="s">
        <v>41</v>
      </c>
      <c r="B1437" t="s">
        <v>83</v>
      </c>
      <c r="C1437" t="s">
        <v>84</v>
      </c>
      <c r="D1437" t="s">
        <v>94</v>
      </c>
      <c r="E1437" t="s">
        <v>52</v>
      </c>
      <c r="F1437">
        <v>7090241</v>
      </c>
      <c r="G1437" t="s">
        <v>2198</v>
      </c>
      <c r="H1437" t="s">
        <v>48</v>
      </c>
      <c r="I1437" t="s">
        <v>49</v>
      </c>
      <c r="J1437" t="s">
        <v>208</v>
      </c>
      <c r="K1437" t="s">
        <v>2</v>
      </c>
      <c r="L1437" t="s">
        <v>45</v>
      </c>
      <c r="M1437" t="s">
        <v>2218</v>
      </c>
      <c r="N1437" t="s">
        <v>2219</v>
      </c>
      <c r="O1437" t="s">
        <v>2220</v>
      </c>
      <c r="P1437" t="s">
        <v>1292</v>
      </c>
      <c r="Q1437" t="s">
        <v>46</v>
      </c>
      <c r="R1437" t="s">
        <v>47</v>
      </c>
      <c r="S1437" t="s">
        <v>46</v>
      </c>
      <c r="T1437" t="s">
        <v>46</v>
      </c>
      <c r="U1437" s="4">
        <v>15.8</v>
      </c>
      <c r="V1437" t="str">
        <f t="shared" si="22"/>
        <v>I001</v>
      </c>
      <c r="W1437" t="str">
        <f>VLOOKUP(K1437,[1]Info!A$1:B$21,2,0)</f>
        <v>Infra - prédios</v>
      </c>
      <c r="X1437" t="str">
        <f>IF(M1437="109595132","Material de Limpeza-Não Avaliar",IF(AND(K1437="F20",M1437&lt;&gt;109595132),IF(RIGHT(F1437,2)="70","Infraestrutura de Planta","Prédios e Instalações"),IF(K1437="FPC",VLOOKUP(F1437,[1]Info!$E$2:$F$11,2,0),IF(K1437="FGP",VLOOKUP(F1437,[1]Info!$E$9:$F$10,2,0),IF(K1437="F10",VLOOKUP(F1437,[1]Info!$E$2:$F$3,2,0),VLOOKUP(K1437,[1]Info!$A$1:$B$21,2,0))))))</f>
        <v>Prédios e Instalações</v>
      </c>
    </row>
    <row r="1438" spans="1:24" x14ac:dyDescent="0.35">
      <c r="A1438" t="s">
        <v>41</v>
      </c>
      <c r="B1438" t="s">
        <v>83</v>
      </c>
      <c r="C1438" t="s">
        <v>84</v>
      </c>
      <c r="D1438" t="s">
        <v>94</v>
      </c>
      <c r="E1438" t="s">
        <v>52</v>
      </c>
      <c r="F1438">
        <v>7090241</v>
      </c>
      <c r="G1438" t="s">
        <v>2198</v>
      </c>
      <c r="H1438" t="s">
        <v>48</v>
      </c>
      <c r="I1438" t="s">
        <v>49</v>
      </c>
      <c r="J1438" t="s">
        <v>208</v>
      </c>
      <c r="K1438" t="s">
        <v>2</v>
      </c>
      <c r="L1438" t="s">
        <v>45</v>
      </c>
      <c r="M1438" t="s">
        <v>2199</v>
      </c>
      <c r="N1438" t="s">
        <v>2200</v>
      </c>
      <c r="O1438" t="s">
        <v>2201</v>
      </c>
      <c r="P1438" t="s">
        <v>1292</v>
      </c>
      <c r="Q1438" t="s">
        <v>46</v>
      </c>
      <c r="R1438" t="s">
        <v>47</v>
      </c>
      <c r="S1438" t="s">
        <v>46</v>
      </c>
      <c r="T1438" t="s">
        <v>46</v>
      </c>
      <c r="U1438" s="4">
        <v>1390.7</v>
      </c>
      <c r="V1438" t="str">
        <f t="shared" si="22"/>
        <v>A002</v>
      </c>
      <c r="W1438" t="str">
        <f>VLOOKUP(K1438,[1]Info!A$1:B$21,2,0)</f>
        <v>Infra - prédios</v>
      </c>
      <c r="X1438" t="str">
        <f>IF(M1438="109595132","Material de Limpeza-Não Avaliar",IF(AND(K1438="F20",M1438&lt;&gt;109595132),IF(RIGHT(F1438,2)="70","Infraestrutura de Planta","Prédios e Instalações"),IF(K1438="FPC",VLOOKUP(F1438,[1]Info!$E$2:$F$11,2,0),IF(K1438="FGP",VLOOKUP(F1438,[1]Info!$E$9:$F$10,2,0),IF(K1438="F10",VLOOKUP(F1438,[1]Info!$E$2:$F$3,2,0),VLOOKUP(K1438,[1]Info!$A$1:$B$21,2,0))))))</f>
        <v>Prédios e Instalações</v>
      </c>
    </row>
    <row r="1439" spans="1:24" x14ac:dyDescent="0.35">
      <c r="A1439" t="s">
        <v>41</v>
      </c>
      <c r="B1439" t="s">
        <v>83</v>
      </c>
      <c r="C1439" t="s">
        <v>84</v>
      </c>
      <c r="D1439" t="s">
        <v>94</v>
      </c>
      <c r="E1439" t="s">
        <v>52</v>
      </c>
      <c r="F1439">
        <v>7090101</v>
      </c>
      <c r="G1439" t="s">
        <v>2221</v>
      </c>
      <c r="H1439" t="s">
        <v>48</v>
      </c>
      <c r="I1439" t="s">
        <v>49</v>
      </c>
      <c r="J1439" t="s">
        <v>72</v>
      </c>
      <c r="K1439" t="s">
        <v>2</v>
      </c>
      <c r="L1439" t="s">
        <v>45</v>
      </c>
      <c r="M1439" t="s">
        <v>2222</v>
      </c>
      <c r="N1439" t="s">
        <v>2223</v>
      </c>
      <c r="O1439" t="s">
        <v>2224</v>
      </c>
      <c r="P1439" t="s">
        <v>1292</v>
      </c>
      <c r="Q1439" t="s">
        <v>46</v>
      </c>
      <c r="R1439" t="s">
        <v>47</v>
      </c>
      <c r="S1439" t="s">
        <v>46</v>
      </c>
      <c r="T1439" t="s">
        <v>46</v>
      </c>
      <c r="U1439" s="4">
        <v>79.489999999999995</v>
      </c>
      <c r="V1439" t="str">
        <f t="shared" si="22"/>
        <v>SI05</v>
      </c>
      <c r="W1439" t="str">
        <f>VLOOKUP(K1439,[1]Info!A$1:B$21,2,0)</f>
        <v>Infra - prédios</v>
      </c>
      <c r="X1439" t="str">
        <f>IF(M1439="109595132","Material de Limpeza-Não Avaliar",IF(AND(K1439="F20",M1439&lt;&gt;109595132),IF(RIGHT(F1439,2)="70","Infraestrutura de Planta","Prédios e Instalações"),IF(K1439="FPC",VLOOKUP(F1439,[1]Info!$E$2:$F$11,2,0),IF(K1439="FGP",VLOOKUP(F1439,[1]Info!$E$9:$F$10,2,0),IF(K1439="F10",VLOOKUP(F1439,[1]Info!$E$2:$F$3,2,0),VLOOKUP(K1439,[1]Info!$A$1:$B$21,2,0))))))</f>
        <v>Prédios e Instalações</v>
      </c>
    </row>
    <row r="1440" spans="1:24" x14ac:dyDescent="0.35">
      <c r="A1440" t="s">
        <v>41</v>
      </c>
      <c r="B1440" t="s">
        <v>83</v>
      </c>
      <c r="C1440" t="s">
        <v>84</v>
      </c>
      <c r="D1440" t="s">
        <v>144</v>
      </c>
      <c r="E1440" t="s">
        <v>145</v>
      </c>
      <c r="F1440">
        <v>7090242</v>
      </c>
      <c r="G1440" t="s">
        <v>2225</v>
      </c>
      <c r="H1440" t="s">
        <v>48</v>
      </c>
      <c r="I1440" t="s">
        <v>49</v>
      </c>
      <c r="J1440" t="s">
        <v>2226</v>
      </c>
      <c r="K1440" t="s">
        <v>1349</v>
      </c>
      <c r="L1440" t="s">
        <v>51</v>
      </c>
      <c r="M1440" t="s">
        <v>2227</v>
      </c>
      <c r="N1440" t="s">
        <v>2228</v>
      </c>
      <c r="O1440" t="s">
        <v>2229</v>
      </c>
      <c r="P1440" t="s">
        <v>1292</v>
      </c>
      <c r="Q1440" t="s">
        <v>46</v>
      </c>
      <c r="R1440" t="s">
        <v>47</v>
      </c>
      <c r="S1440" t="s">
        <v>46</v>
      </c>
      <c r="T1440" t="s">
        <v>46</v>
      </c>
      <c r="U1440" s="4">
        <v>10436.25</v>
      </c>
      <c r="V1440" t="str">
        <f t="shared" si="22"/>
        <v>E004</v>
      </c>
      <c r="W1440" t="str">
        <f>VLOOKUP(K1440,[1]Info!A$1:B$21,2,0)</f>
        <v>Vias</v>
      </c>
      <c r="X1440" t="str">
        <f>IF(M1440="109595132","Material de Limpeza-Não Avaliar",IF(AND(K1440="F20",M1440&lt;&gt;109595132),IF(RIGHT(F1440,2)="70","Infraestrutura de Planta","Prédios e Instalações"),IF(K1440="FPC",VLOOKUP(F1440,[1]Info!$E$2:$F$11,2,0),IF(K1440="FGP",VLOOKUP(F1440,[1]Info!$E$9:$F$10,2,0),IF(K1440="F10",VLOOKUP(F1440,[1]Info!$E$2:$F$3,2,0),VLOOKUP(K1440,[1]Info!$A$1:$B$21,2,0))))))</f>
        <v>Vias</v>
      </c>
    </row>
    <row r="1441" spans="1:24" x14ac:dyDescent="0.35">
      <c r="A1441" t="s">
        <v>41</v>
      </c>
      <c r="B1441" t="s">
        <v>83</v>
      </c>
      <c r="C1441" t="s">
        <v>84</v>
      </c>
      <c r="D1441" t="s">
        <v>144</v>
      </c>
      <c r="E1441" t="s">
        <v>145</v>
      </c>
      <c r="F1441">
        <v>7090231</v>
      </c>
      <c r="G1441" t="s">
        <v>2194</v>
      </c>
      <c r="H1441" t="s">
        <v>48</v>
      </c>
      <c r="I1441" t="s">
        <v>49</v>
      </c>
      <c r="J1441" t="s">
        <v>163</v>
      </c>
      <c r="K1441" t="s">
        <v>1349</v>
      </c>
      <c r="L1441" t="s">
        <v>51</v>
      </c>
      <c r="M1441" t="s">
        <v>2230</v>
      </c>
      <c r="N1441" t="s">
        <v>2231</v>
      </c>
      <c r="O1441" t="s">
        <v>2232</v>
      </c>
      <c r="P1441" t="s">
        <v>1292</v>
      </c>
      <c r="Q1441" t="s">
        <v>46</v>
      </c>
      <c r="R1441" t="s">
        <v>47</v>
      </c>
      <c r="S1441" t="s">
        <v>46</v>
      </c>
      <c r="T1441" t="s">
        <v>46</v>
      </c>
      <c r="U1441" s="4">
        <v>506466</v>
      </c>
      <c r="V1441" t="str">
        <f t="shared" si="22"/>
        <v>E003</v>
      </c>
      <c r="W1441" t="str">
        <f>VLOOKUP(K1441,[1]Info!A$1:B$21,2,0)</f>
        <v>Vias</v>
      </c>
      <c r="X1441" t="str">
        <f>IF(M1441="109595132","Material de Limpeza-Não Avaliar",IF(AND(K1441="F20",M1441&lt;&gt;109595132),IF(RIGHT(F1441,2)="70","Infraestrutura de Planta","Prédios e Instalações"),IF(K1441="FPC",VLOOKUP(F1441,[1]Info!$E$2:$F$11,2,0),IF(K1441="FGP",VLOOKUP(F1441,[1]Info!$E$9:$F$10,2,0),IF(K1441="F10",VLOOKUP(F1441,[1]Info!$E$2:$F$3,2,0),VLOOKUP(K1441,[1]Info!$A$1:$B$21,2,0))))))</f>
        <v>Vias</v>
      </c>
    </row>
    <row r="1442" spans="1:24" x14ac:dyDescent="0.35">
      <c r="A1442" t="s">
        <v>41</v>
      </c>
      <c r="B1442" t="s">
        <v>83</v>
      </c>
      <c r="C1442" t="s">
        <v>84</v>
      </c>
      <c r="D1442" t="s">
        <v>144</v>
      </c>
      <c r="E1442" t="s">
        <v>145</v>
      </c>
      <c r="F1442">
        <v>7090212</v>
      </c>
      <c r="G1442" t="s">
        <v>2233</v>
      </c>
      <c r="H1442" t="s">
        <v>48</v>
      </c>
      <c r="I1442" t="s">
        <v>49</v>
      </c>
      <c r="J1442" t="s">
        <v>78</v>
      </c>
      <c r="K1442" t="s">
        <v>1349</v>
      </c>
      <c r="L1442" t="s">
        <v>51</v>
      </c>
      <c r="M1442" t="s">
        <v>2234</v>
      </c>
      <c r="N1442" t="s">
        <v>2235</v>
      </c>
      <c r="O1442" t="s">
        <v>2236</v>
      </c>
      <c r="P1442" t="s">
        <v>1292</v>
      </c>
      <c r="Q1442" t="s">
        <v>46</v>
      </c>
      <c r="R1442" t="s">
        <v>47</v>
      </c>
      <c r="S1442" t="s">
        <v>46</v>
      </c>
      <c r="T1442" t="s">
        <v>46</v>
      </c>
      <c r="U1442" s="4">
        <v>243065.04</v>
      </c>
      <c r="V1442" t="str">
        <f t="shared" si="22"/>
        <v>E003</v>
      </c>
      <c r="W1442" t="str">
        <f>VLOOKUP(K1442,[1]Info!A$1:B$21,2,0)</f>
        <v>Vias</v>
      </c>
      <c r="X1442" t="str">
        <f>IF(M1442="109595132","Material de Limpeza-Não Avaliar",IF(AND(K1442="F20",M1442&lt;&gt;109595132),IF(RIGHT(F1442,2)="70","Infraestrutura de Planta","Prédios e Instalações"),IF(K1442="FPC",VLOOKUP(F1442,[1]Info!$E$2:$F$11,2,0),IF(K1442="FGP",VLOOKUP(F1442,[1]Info!$E$9:$F$10,2,0),IF(K1442="F10",VLOOKUP(F1442,[1]Info!$E$2:$F$3,2,0),VLOOKUP(K1442,[1]Info!$A$1:$B$21,2,0))))))</f>
        <v>Vias</v>
      </c>
    </row>
    <row r="1443" spans="1:24" x14ac:dyDescent="0.35">
      <c r="A1443" t="s">
        <v>41</v>
      </c>
      <c r="B1443" t="s">
        <v>83</v>
      </c>
      <c r="C1443" t="s">
        <v>84</v>
      </c>
      <c r="D1443" t="s">
        <v>144</v>
      </c>
      <c r="E1443" t="s">
        <v>145</v>
      </c>
      <c r="F1443">
        <v>7090211</v>
      </c>
      <c r="G1443" t="s">
        <v>1273</v>
      </c>
      <c r="H1443" t="s">
        <v>48</v>
      </c>
      <c r="I1443" t="s">
        <v>49</v>
      </c>
      <c r="J1443" t="s">
        <v>1274</v>
      </c>
      <c r="K1443" t="s">
        <v>2</v>
      </c>
      <c r="L1443" t="s">
        <v>45</v>
      </c>
      <c r="M1443" t="s">
        <v>1275</v>
      </c>
      <c r="N1443" t="s">
        <v>1276</v>
      </c>
      <c r="O1443" t="s">
        <v>1277</v>
      </c>
      <c r="P1443" t="s">
        <v>383</v>
      </c>
      <c r="Q1443" t="s">
        <v>1278</v>
      </c>
      <c r="R1443" t="s">
        <v>1279</v>
      </c>
      <c r="S1443" t="s">
        <v>46</v>
      </c>
      <c r="T1443" t="s">
        <v>46</v>
      </c>
      <c r="U1443" s="4">
        <v>1235.3699999999999</v>
      </c>
      <c r="V1443" t="str">
        <f t="shared" si="22"/>
        <v>I001</v>
      </c>
      <c r="W1443" t="str">
        <f>VLOOKUP(K1443,[1]Info!A$1:B$21,2,0)</f>
        <v>Infra - prédios</v>
      </c>
      <c r="X1443" t="str">
        <f>IF(M1443="109595132","Material de Limpeza-Não Avaliar",IF(AND(K1443="F20",M1443&lt;&gt;109595132),IF(RIGHT(F1443,2)="70","Infraestrutura de Planta","Prédios e Instalações"),IF(K1443="FPC",VLOOKUP(F1443,[1]Info!$E$2:$F$11,2,0),IF(K1443="FGP",VLOOKUP(F1443,[1]Info!$E$9:$F$10,2,0),IF(K1443="F10",VLOOKUP(F1443,[1]Info!$E$2:$F$3,2,0),VLOOKUP(K1443,[1]Info!$A$1:$B$21,2,0))))))</f>
        <v>Prédios e Instalações</v>
      </c>
    </row>
    <row r="1444" spans="1:24" x14ac:dyDescent="0.35">
      <c r="A1444" t="s">
        <v>41</v>
      </c>
      <c r="B1444" t="s">
        <v>83</v>
      </c>
      <c r="C1444" t="s">
        <v>84</v>
      </c>
      <c r="D1444" t="s">
        <v>1870</v>
      </c>
      <c r="E1444" t="s">
        <v>1871</v>
      </c>
      <c r="F1444">
        <v>7090251</v>
      </c>
      <c r="G1444" t="s">
        <v>1265</v>
      </c>
      <c r="H1444" t="s">
        <v>48</v>
      </c>
      <c r="I1444" t="s">
        <v>49</v>
      </c>
      <c r="J1444" t="s">
        <v>226</v>
      </c>
      <c r="K1444" t="s">
        <v>1349</v>
      </c>
      <c r="L1444" t="s">
        <v>51</v>
      </c>
      <c r="M1444" t="s">
        <v>2237</v>
      </c>
      <c r="N1444" t="s">
        <v>1879</v>
      </c>
      <c r="O1444" t="s">
        <v>2238</v>
      </c>
      <c r="P1444" t="s">
        <v>1292</v>
      </c>
      <c r="Q1444" t="s">
        <v>46</v>
      </c>
      <c r="R1444" t="s">
        <v>47</v>
      </c>
      <c r="S1444" t="s">
        <v>2239</v>
      </c>
      <c r="T1444" t="s">
        <v>2240</v>
      </c>
      <c r="U1444" s="4">
        <v>46743.5</v>
      </c>
      <c r="V1444" t="str">
        <f t="shared" si="22"/>
        <v>E003</v>
      </c>
      <c r="W1444" t="str">
        <f>VLOOKUP(K1444,[1]Info!A$1:B$21,2,0)</f>
        <v>Vias</v>
      </c>
      <c r="X1444" t="str">
        <f>IF(M1444="109595132","Material de Limpeza-Não Avaliar",IF(AND(K1444="F20",M1444&lt;&gt;109595132),IF(RIGHT(F1444,2)="70","Infraestrutura de Planta","Prédios e Instalações"),IF(K1444="FPC",VLOOKUP(F1444,[1]Info!$E$2:$F$11,2,0),IF(K1444="FGP",VLOOKUP(F1444,[1]Info!$E$9:$F$10,2,0),IF(K1444="F10",VLOOKUP(F1444,[1]Info!$E$2:$F$3,2,0),VLOOKUP(K1444,[1]Info!$A$1:$B$21,2,0))))))</f>
        <v>Vias</v>
      </c>
    </row>
    <row r="1445" spans="1:24" x14ac:dyDescent="0.35">
      <c r="A1445" t="s">
        <v>41</v>
      </c>
      <c r="B1445" t="s">
        <v>83</v>
      </c>
      <c r="C1445" t="s">
        <v>84</v>
      </c>
      <c r="D1445" t="s">
        <v>1870</v>
      </c>
      <c r="E1445" t="s">
        <v>1871</v>
      </c>
      <c r="F1445">
        <v>7090242</v>
      </c>
      <c r="G1445" t="s">
        <v>2225</v>
      </c>
      <c r="H1445" t="s">
        <v>48</v>
      </c>
      <c r="I1445" t="s">
        <v>49</v>
      </c>
      <c r="J1445" t="s">
        <v>2226</v>
      </c>
      <c r="K1445" t="s">
        <v>1349</v>
      </c>
      <c r="L1445" t="s">
        <v>51</v>
      </c>
      <c r="M1445" t="s">
        <v>2241</v>
      </c>
      <c r="N1445" t="s">
        <v>1879</v>
      </c>
      <c r="O1445" t="s">
        <v>2242</v>
      </c>
      <c r="P1445" t="s">
        <v>1292</v>
      </c>
      <c r="Q1445" t="s">
        <v>46</v>
      </c>
      <c r="R1445" t="s">
        <v>47</v>
      </c>
      <c r="S1445" t="s">
        <v>2239</v>
      </c>
      <c r="T1445" t="s">
        <v>2240</v>
      </c>
      <c r="U1445" s="4">
        <v>13675.75</v>
      </c>
      <c r="V1445" t="str">
        <f t="shared" si="22"/>
        <v>E003</v>
      </c>
      <c r="W1445" t="str">
        <f>VLOOKUP(K1445,[1]Info!A$1:B$21,2,0)</f>
        <v>Vias</v>
      </c>
      <c r="X1445" t="str">
        <f>IF(M1445="109595132","Material de Limpeza-Não Avaliar",IF(AND(K1445="F20",M1445&lt;&gt;109595132),IF(RIGHT(F1445,2)="70","Infraestrutura de Planta","Prédios e Instalações"),IF(K1445="FPC",VLOOKUP(F1445,[1]Info!$E$2:$F$11,2,0),IF(K1445="FGP",VLOOKUP(F1445,[1]Info!$E$9:$F$10,2,0),IF(K1445="F10",VLOOKUP(F1445,[1]Info!$E$2:$F$3,2,0),VLOOKUP(K1445,[1]Info!$A$1:$B$21,2,0))))))</f>
        <v>Vias</v>
      </c>
    </row>
    <row r="1446" spans="1:24" x14ac:dyDescent="0.35">
      <c r="A1446" t="s">
        <v>41</v>
      </c>
      <c r="B1446" t="s">
        <v>83</v>
      </c>
      <c r="C1446" t="s">
        <v>84</v>
      </c>
      <c r="D1446" t="s">
        <v>1870</v>
      </c>
      <c r="E1446" t="s">
        <v>1871</v>
      </c>
      <c r="F1446">
        <v>7090241</v>
      </c>
      <c r="G1446" t="s">
        <v>2198</v>
      </c>
      <c r="H1446" t="s">
        <v>48</v>
      </c>
      <c r="I1446" t="s">
        <v>49</v>
      </c>
      <c r="J1446" t="s">
        <v>208</v>
      </c>
      <c r="K1446" t="s">
        <v>1349</v>
      </c>
      <c r="L1446" t="s">
        <v>51</v>
      </c>
      <c r="M1446" t="s">
        <v>2243</v>
      </c>
      <c r="N1446" t="s">
        <v>1879</v>
      </c>
      <c r="O1446" t="s">
        <v>2244</v>
      </c>
      <c r="P1446" t="s">
        <v>1292</v>
      </c>
      <c r="Q1446" t="s">
        <v>46</v>
      </c>
      <c r="R1446" t="s">
        <v>47</v>
      </c>
      <c r="S1446" t="s">
        <v>2239</v>
      </c>
      <c r="T1446" t="s">
        <v>2240</v>
      </c>
      <c r="U1446" s="4">
        <v>10825.26</v>
      </c>
      <c r="V1446" t="str">
        <f t="shared" si="22"/>
        <v>E003</v>
      </c>
      <c r="W1446" t="str">
        <f>VLOOKUP(K1446,[1]Info!A$1:B$21,2,0)</f>
        <v>Vias</v>
      </c>
      <c r="X1446" t="str">
        <f>IF(M1446="109595132","Material de Limpeza-Não Avaliar",IF(AND(K1446="F20",M1446&lt;&gt;109595132),IF(RIGHT(F1446,2)="70","Infraestrutura de Planta","Prédios e Instalações"),IF(K1446="FPC",VLOOKUP(F1446,[1]Info!$E$2:$F$11,2,0),IF(K1446="FGP",VLOOKUP(F1446,[1]Info!$E$9:$F$10,2,0),IF(K1446="F10",VLOOKUP(F1446,[1]Info!$E$2:$F$3,2,0),VLOOKUP(K1446,[1]Info!$A$1:$B$21,2,0))))))</f>
        <v>Vias</v>
      </c>
    </row>
    <row r="1447" spans="1:24" x14ac:dyDescent="0.35">
      <c r="A1447" t="s">
        <v>41</v>
      </c>
      <c r="B1447" t="s">
        <v>83</v>
      </c>
      <c r="C1447" t="s">
        <v>84</v>
      </c>
      <c r="D1447" t="s">
        <v>1870</v>
      </c>
      <c r="E1447" t="s">
        <v>1871</v>
      </c>
      <c r="F1447">
        <v>7090224</v>
      </c>
      <c r="G1447" t="s">
        <v>2204</v>
      </c>
      <c r="H1447" t="s">
        <v>48</v>
      </c>
      <c r="I1447" t="s">
        <v>49</v>
      </c>
      <c r="J1447" t="s">
        <v>50</v>
      </c>
      <c r="K1447" t="s">
        <v>1349</v>
      </c>
      <c r="L1447" t="s">
        <v>51</v>
      </c>
      <c r="M1447" t="s">
        <v>2245</v>
      </c>
      <c r="N1447" t="s">
        <v>2246</v>
      </c>
      <c r="O1447" t="s">
        <v>2247</v>
      </c>
      <c r="P1447" t="s">
        <v>1292</v>
      </c>
      <c r="Q1447" t="s">
        <v>46</v>
      </c>
      <c r="R1447" t="s">
        <v>47</v>
      </c>
      <c r="S1447" t="s">
        <v>2239</v>
      </c>
      <c r="T1447" t="s">
        <v>2240</v>
      </c>
      <c r="U1447" s="4">
        <v>12945.19</v>
      </c>
      <c r="V1447" t="str">
        <f t="shared" si="22"/>
        <v>E003</v>
      </c>
      <c r="W1447" t="str">
        <f>VLOOKUP(K1447,[1]Info!A$1:B$21,2,0)</f>
        <v>Vias</v>
      </c>
      <c r="X1447" t="str">
        <f>IF(M1447="109595132","Material de Limpeza-Não Avaliar",IF(AND(K1447="F20",M1447&lt;&gt;109595132),IF(RIGHT(F1447,2)="70","Infraestrutura de Planta","Prédios e Instalações"),IF(K1447="FPC",VLOOKUP(F1447,[1]Info!$E$2:$F$11,2,0),IF(K1447="FGP",VLOOKUP(F1447,[1]Info!$E$9:$F$10,2,0),IF(K1447="F10",VLOOKUP(F1447,[1]Info!$E$2:$F$3,2,0),VLOOKUP(K1447,[1]Info!$A$1:$B$21,2,0))))))</f>
        <v>Vias</v>
      </c>
    </row>
    <row r="1448" spans="1:24" x14ac:dyDescent="0.35">
      <c r="A1448" t="s">
        <v>41</v>
      </c>
      <c r="B1448" t="s">
        <v>83</v>
      </c>
      <c r="C1448" t="s">
        <v>84</v>
      </c>
      <c r="D1448" t="s">
        <v>1870</v>
      </c>
      <c r="E1448" t="s">
        <v>1871</v>
      </c>
      <c r="F1448">
        <v>7090214</v>
      </c>
      <c r="G1448" t="s">
        <v>2248</v>
      </c>
      <c r="H1448" t="s">
        <v>48</v>
      </c>
      <c r="I1448" t="s">
        <v>49</v>
      </c>
      <c r="J1448" t="s">
        <v>1573</v>
      </c>
      <c r="K1448" t="s">
        <v>8</v>
      </c>
      <c r="L1448" t="s">
        <v>51</v>
      </c>
      <c r="M1448" t="s">
        <v>2249</v>
      </c>
      <c r="N1448" t="s">
        <v>2250</v>
      </c>
      <c r="O1448" t="s">
        <v>2251</v>
      </c>
      <c r="P1448" t="s">
        <v>1292</v>
      </c>
      <c r="Q1448" t="s">
        <v>46</v>
      </c>
      <c r="R1448" t="s">
        <v>47</v>
      </c>
      <c r="S1448" t="s">
        <v>1876</v>
      </c>
      <c r="T1448" t="s">
        <v>1877</v>
      </c>
      <c r="U1448" s="4">
        <v>14458.5</v>
      </c>
      <c r="V1448" t="str">
        <f t="shared" si="22"/>
        <v>A001</v>
      </c>
      <c r="W1448" t="str">
        <f>VLOOKUP(K1448,[1]Info!A$1:B$21,2,0)</f>
        <v>Pátio</v>
      </c>
      <c r="X1448" t="str">
        <f>IF(M1448="109595132","Material de Limpeza-Não Avaliar",IF(AND(K1448="F20",M1448&lt;&gt;109595132),IF(RIGHT(F1448,2)="70","Infraestrutura de Planta","Prédios e Instalações"),IF(K1448="FPC",VLOOKUP(F1448,[1]Info!$E$2:$F$11,2,0),IF(K1448="FGP",VLOOKUP(F1448,[1]Info!$E$9:$F$10,2,0),IF(K1448="F10",VLOOKUP(F1448,[1]Info!$E$2:$F$3,2,0),VLOOKUP(K1448,[1]Info!$A$1:$B$21,2,0))))))</f>
        <v>Pátio</v>
      </c>
    </row>
    <row r="1449" spans="1:24" x14ac:dyDescent="0.35">
      <c r="A1449" t="s">
        <v>41</v>
      </c>
      <c r="B1449" t="s">
        <v>83</v>
      </c>
      <c r="C1449" t="s">
        <v>84</v>
      </c>
      <c r="D1449" t="s">
        <v>1870</v>
      </c>
      <c r="E1449" t="s">
        <v>1871</v>
      </c>
      <c r="F1449">
        <v>7090214</v>
      </c>
      <c r="G1449" t="s">
        <v>2248</v>
      </c>
      <c r="H1449" t="s">
        <v>48</v>
      </c>
      <c r="I1449" t="s">
        <v>49</v>
      </c>
      <c r="J1449" t="s">
        <v>1573</v>
      </c>
      <c r="K1449" t="s">
        <v>1349</v>
      </c>
      <c r="L1449" t="s">
        <v>51</v>
      </c>
      <c r="M1449" t="s">
        <v>2252</v>
      </c>
      <c r="N1449" t="s">
        <v>2246</v>
      </c>
      <c r="O1449" t="s">
        <v>2253</v>
      </c>
      <c r="P1449" t="s">
        <v>1292</v>
      </c>
      <c r="Q1449" t="s">
        <v>46</v>
      </c>
      <c r="R1449" t="s">
        <v>47</v>
      </c>
      <c r="S1449" t="s">
        <v>1876</v>
      </c>
      <c r="T1449" t="s">
        <v>1877</v>
      </c>
      <c r="U1449" s="4">
        <v>11945.46</v>
      </c>
      <c r="V1449" t="str">
        <f t="shared" si="22"/>
        <v>E003</v>
      </c>
      <c r="W1449" t="str">
        <f>VLOOKUP(K1449,[1]Info!A$1:B$21,2,0)</f>
        <v>Vias</v>
      </c>
      <c r="X1449" t="str">
        <f>IF(M1449="109595132","Material de Limpeza-Não Avaliar",IF(AND(K1449="F20",M1449&lt;&gt;109595132),IF(RIGHT(F1449,2)="70","Infraestrutura de Planta","Prédios e Instalações"),IF(K1449="FPC",VLOOKUP(F1449,[1]Info!$E$2:$F$11,2,0),IF(K1449="FGP",VLOOKUP(F1449,[1]Info!$E$9:$F$10,2,0),IF(K1449="F10",VLOOKUP(F1449,[1]Info!$E$2:$F$3,2,0),VLOOKUP(K1449,[1]Info!$A$1:$B$21,2,0))))))</f>
        <v>Vias</v>
      </c>
    </row>
    <row r="1450" spans="1:24" x14ac:dyDescent="0.35">
      <c r="A1450" t="s">
        <v>41</v>
      </c>
      <c r="B1450" t="s">
        <v>83</v>
      </c>
      <c r="C1450" t="s">
        <v>84</v>
      </c>
      <c r="D1450" t="s">
        <v>1870</v>
      </c>
      <c r="E1450" t="s">
        <v>1871</v>
      </c>
      <c r="F1450">
        <v>7090212</v>
      </c>
      <c r="G1450" t="s">
        <v>2233</v>
      </c>
      <c r="H1450" t="s">
        <v>48</v>
      </c>
      <c r="I1450" t="s">
        <v>49</v>
      </c>
      <c r="J1450" t="s">
        <v>78</v>
      </c>
      <c r="K1450" t="s">
        <v>1349</v>
      </c>
      <c r="L1450" t="s">
        <v>51</v>
      </c>
      <c r="M1450" t="s">
        <v>2254</v>
      </c>
      <c r="N1450" t="s">
        <v>2246</v>
      </c>
      <c r="O1450" t="s">
        <v>2236</v>
      </c>
      <c r="P1450" t="s">
        <v>1292</v>
      </c>
      <c r="Q1450" t="s">
        <v>46</v>
      </c>
      <c r="R1450" t="s">
        <v>47</v>
      </c>
      <c r="S1450" t="s">
        <v>1876</v>
      </c>
      <c r="T1450" t="s">
        <v>1877</v>
      </c>
      <c r="U1450" s="4">
        <v>7712.91</v>
      </c>
      <c r="V1450" t="str">
        <f t="shared" si="22"/>
        <v>E003</v>
      </c>
      <c r="W1450" t="str">
        <f>VLOOKUP(K1450,[1]Info!A$1:B$21,2,0)</f>
        <v>Vias</v>
      </c>
      <c r="X1450" t="str">
        <f>IF(M1450="109595132","Material de Limpeza-Não Avaliar",IF(AND(K1450="F20",M1450&lt;&gt;109595132),IF(RIGHT(F1450,2)="70","Infraestrutura de Planta","Prédios e Instalações"),IF(K1450="FPC",VLOOKUP(F1450,[1]Info!$E$2:$F$11,2,0),IF(K1450="FGP",VLOOKUP(F1450,[1]Info!$E$9:$F$10,2,0),IF(K1450="F10",VLOOKUP(F1450,[1]Info!$E$2:$F$3,2,0),VLOOKUP(K1450,[1]Info!$A$1:$B$21,2,0))))))</f>
        <v>Vias</v>
      </c>
    </row>
    <row r="1451" spans="1:24" x14ac:dyDescent="0.35">
      <c r="A1451" t="s">
        <v>41</v>
      </c>
      <c r="B1451" t="s">
        <v>83</v>
      </c>
      <c r="C1451" t="s">
        <v>84</v>
      </c>
      <c r="D1451" t="s">
        <v>100</v>
      </c>
      <c r="E1451" t="s">
        <v>65</v>
      </c>
      <c r="F1451">
        <v>7090902</v>
      </c>
      <c r="G1451" t="s">
        <v>2255</v>
      </c>
      <c r="H1451" t="s">
        <v>48</v>
      </c>
      <c r="I1451" t="s">
        <v>49</v>
      </c>
      <c r="J1451" t="s">
        <v>72</v>
      </c>
      <c r="K1451" t="s">
        <v>0</v>
      </c>
      <c r="L1451" t="s">
        <v>51</v>
      </c>
      <c r="M1451" t="s">
        <v>2256</v>
      </c>
      <c r="N1451" t="s">
        <v>2257</v>
      </c>
      <c r="O1451" t="s">
        <v>1549</v>
      </c>
      <c r="P1451" t="s">
        <v>1292</v>
      </c>
      <c r="Q1451" t="s">
        <v>46</v>
      </c>
      <c r="R1451" t="s">
        <v>47</v>
      </c>
      <c r="S1451" t="s">
        <v>46</v>
      </c>
      <c r="T1451" t="s">
        <v>46</v>
      </c>
      <c r="U1451" s="4">
        <v>2609.5700000000002</v>
      </c>
      <c r="V1451" t="str">
        <f t="shared" si="22"/>
        <v>0015</v>
      </c>
      <c r="W1451" t="str">
        <f>VLOOKUP(K1451,[1]Info!A$1:B$21,2,0)</f>
        <v>Carboval</v>
      </c>
      <c r="X1451" t="e">
        <f>IF(M1451="109595132","Material de Limpeza-Não Avaliar",IF(AND(K1451="F20",M1451&lt;&gt;109595132),IF(RIGHT(F1451,2)="70","Infraestrutura de Planta","Prédios e Instalações"),IF(K1451="FPC",VLOOKUP(F1451,[1]Info!$E$2:$F$11,2,0),IF(K1451="FGP",VLOOKUP(F1451,[1]Info!$E$9:$F$10,2,0),IF(K1451="F10",VLOOKUP(F1451,[1]Info!$E$2:$F$3,2,0),VLOOKUP(K1451,[1]Info!$A$1:$B$21,2,0))))))</f>
        <v>#N/A</v>
      </c>
    </row>
    <row r="1452" spans="1:24" x14ac:dyDescent="0.35">
      <c r="A1452" t="s">
        <v>41</v>
      </c>
      <c r="B1452" t="s">
        <v>83</v>
      </c>
      <c r="C1452" t="s">
        <v>84</v>
      </c>
      <c r="D1452" t="s">
        <v>100</v>
      </c>
      <c r="E1452" t="s">
        <v>65</v>
      </c>
      <c r="F1452">
        <v>7090902</v>
      </c>
      <c r="G1452" t="s">
        <v>2255</v>
      </c>
      <c r="H1452" t="s">
        <v>48</v>
      </c>
      <c r="I1452" t="s">
        <v>49</v>
      </c>
      <c r="J1452" t="s">
        <v>72</v>
      </c>
      <c r="K1452" t="s">
        <v>0</v>
      </c>
      <c r="L1452" t="s">
        <v>51</v>
      </c>
      <c r="M1452" t="s">
        <v>2258</v>
      </c>
      <c r="N1452" t="s">
        <v>2257</v>
      </c>
      <c r="O1452" t="s">
        <v>1549</v>
      </c>
      <c r="P1452" t="s">
        <v>1292</v>
      </c>
      <c r="Q1452" t="s">
        <v>46</v>
      </c>
      <c r="R1452" t="s">
        <v>47</v>
      </c>
      <c r="S1452" t="s">
        <v>46</v>
      </c>
      <c r="T1452" t="s">
        <v>46</v>
      </c>
      <c r="U1452" s="4">
        <v>1362.62</v>
      </c>
      <c r="V1452" t="str">
        <f t="shared" si="22"/>
        <v>0015</v>
      </c>
      <c r="W1452" t="str">
        <f>VLOOKUP(K1452,[1]Info!A$1:B$21,2,0)</f>
        <v>Carboval</v>
      </c>
      <c r="X1452" t="e">
        <f>IF(M1452="109595132","Material de Limpeza-Não Avaliar",IF(AND(K1452="F20",M1452&lt;&gt;109595132),IF(RIGHT(F1452,2)="70","Infraestrutura de Planta","Prédios e Instalações"),IF(K1452="FPC",VLOOKUP(F1452,[1]Info!$E$2:$F$11,2,0),IF(K1452="FGP",VLOOKUP(F1452,[1]Info!$E$9:$F$10,2,0),IF(K1452="F10",VLOOKUP(F1452,[1]Info!$E$2:$F$3,2,0),VLOOKUP(K1452,[1]Info!$A$1:$B$21,2,0))))))</f>
        <v>#N/A</v>
      </c>
    </row>
    <row r="1453" spans="1:24" x14ac:dyDescent="0.35">
      <c r="A1453" t="s">
        <v>41</v>
      </c>
      <c r="B1453" t="s">
        <v>83</v>
      </c>
      <c r="C1453" t="s">
        <v>84</v>
      </c>
      <c r="D1453" t="s">
        <v>100</v>
      </c>
      <c r="E1453" t="s">
        <v>65</v>
      </c>
      <c r="F1453">
        <v>7090251</v>
      </c>
      <c r="G1453" t="s">
        <v>1265</v>
      </c>
      <c r="H1453" t="s">
        <v>48</v>
      </c>
      <c r="I1453" t="s">
        <v>49</v>
      </c>
      <c r="J1453" t="s">
        <v>226</v>
      </c>
      <c r="K1453" t="s">
        <v>7</v>
      </c>
      <c r="L1453" t="s">
        <v>148</v>
      </c>
      <c r="M1453" t="s">
        <v>1266</v>
      </c>
      <c r="N1453" t="s">
        <v>1267</v>
      </c>
      <c r="O1453" t="s">
        <v>1268</v>
      </c>
      <c r="P1453" t="s">
        <v>1292</v>
      </c>
      <c r="Q1453" t="s">
        <v>46</v>
      </c>
      <c r="R1453" t="s">
        <v>47</v>
      </c>
      <c r="S1453" t="s">
        <v>46</v>
      </c>
      <c r="T1453" t="s">
        <v>46</v>
      </c>
      <c r="U1453" s="4">
        <v>11790.05</v>
      </c>
      <c r="V1453" t="str">
        <f t="shared" si="22"/>
        <v>-S04</v>
      </c>
      <c r="W1453" t="str">
        <f>VLOOKUP(K1453,[1]Info!A$1:B$21,2,0)</f>
        <v>Fornos Retangulares - Engenharia e Obras</v>
      </c>
      <c r="X1453" t="str">
        <f>IF(M1453="109595132","Material de Limpeza-Não Avaliar",IF(AND(K1453="F20",M1453&lt;&gt;109595132),IF(RIGHT(F1453,2)="70","Infraestrutura de Planta","Prédios e Instalações"),IF(K1453="FPC",VLOOKUP(F1453,[1]Info!$E$2:$F$11,2,0),IF(K1453="FGP",VLOOKUP(F1453,[1]Info!$E$9:$F$10,2,0),IF(K1453="F10",VLOOKUP(F1453,[1]Info!$E$2:$F$3,2,0),VLOOKUP(K1453,[1]Info!$A$1:$B$21,2,0))))))</f>
        <v>Fornos Retangulares - Engenharia e Obras</v>
      </c>
    </row>
    <row r="1454" spans="1:24" x14ac:dyDescent="0.35">
      <c r="A1454" t="s">
        <v>41</v>
      </c>
      <c r="B1454" t="s">
        <v>83</v>
      </c>
      <c r="C1454" t="s">
        <v>84</v>
      </c>
      <c r="D1454" t="s">
        <v>100</v>
      </c>
      <c r="E1454" t="s">
        <v>65</v>
      </c>
      <c r="F1454">
        <v>7090224</v>
      </c>
      <c r="G1454" t="s">
        <v>2204</v>
      </c>
      <c r="H1454" t="s">
        <v>48</v>
      </c>
      <c r="I1454" t="s">
        <v>49</v>
      </c>
      <c r="J1454" t="s">
        <v>50</v>
      </c>
      <c r="K1454" t="s">
        <v>2</v>
      </c>
      <c r="L1454" t="s">
        <v>62</v>
      </c>
      <c r="M1454" t="s">
        <v>2259</v>
      </c>
      <c r="N1454" t="s">
        <v>2260</v>
      </c>
      <c r="O1454" t="s">
        <v>1520</v>
      </c>
      <c r="P1454" t="s">
        <v>1292</v>
      </c>
      <c r="Q1454" t="s">
        <v>46</v>
      </c>
      <c r="R1454" t="s">
        <v>47</v>
      </c>
      <c r="S1454" t="s">
        <v>46</v>
      </c>
      <c r="T1454" t="s">
        <v>46</v>
      </c>
      <c r="U1454" s="4">
        <v>1603.65</v>
      </c>
      <c r="V1454" t="str">
        <f t="shared" si="22"/>
        <v>-S30</v>
      </c>
      <c r="W1454" t="str">
        <f>VLOOKUP(K1454,[1]Info!A$1:B$21,2,0)</f>
        <v>Infra - prédios</v>
      </c>
      <c r="X1454" t="str">
        <f>IF(M1454="109595132","Material de Limpeza-Não Avaliar",IF(AND(K1454="F20",M1454&lt;&gt;109595132),IF(RIGHT(F1454,2)="70","Infraestrutura de Planta","Prédios e Instalações"),IF(K1454="FPC",VLOOKUP(F1454,[1]Info!$E$2:$F$11,2,0),IF(K1454="FGP",VLOOKUP(F1454,[1]Info!$E$9:$F$10,2,0),IF(K1454="F10",VLOOKUP(F1454,[1]Info!$E$2:$F$3,2,0),VLOOKUP(K1454,[1]Info!$A$1:$B$21,2,0))))))</f>
        <v>Prédios e Instalações</v>
      </c>
    </row>
    <row r="1455" spans="1:24" x14ac:dyDescent="0.35">
      <c r="A1455" t="s">
        <v>41</v>
      </c>
      <c r="B1455" t="s">
        <v>83</v>
      </c>
      <c r="C1455" t="s">
        <v>84</v>
      </c>
      <c r="D1455" t="s">
        <v>100</v>
      </c>
      <c r="E1455" t="s">
        <v>65</v>
      </c>
      <c r="F1455">
        <v>7090215</v>
      </c>
      <c r="G1455" t="s">
        <v>2215</v>
      </c>
      <c r="H1455" t="s">
        <v>48</v>
      </c>
      <c r="I1455" t="s">
        <v>49</v>
      </c>
      <c r="J1455" t="s">
        <v>72</v>
      </c>
      <c r="K1455" t="s">
        <v>0</v>
      </c>
      <c r="L1455" t="s">
        <v>51</v>
      </c>
      <c r="M1455" t="s">
        <v>2261</v>
      </c>
      <c r="N1455" t="s">
        <v>2262</v>
      </c>
      <c r="O1455" t="s">
        <v>1556</v>
      </c>
      <c r="P1455" t="s">
        <v>1292</v>
      </c>
      <c r="Q1455" t="s">
        <v>46</v>
      </c>
      <c r="R1455" t="s">
        <v>47</v>
      </c>
      <c r="S1455" t="s">
        <v>46</v>
      </c>
      <c r="T1455" t="s">
        <v>46</v>
      </c>
      <c r="U1455" s="4">
        <v>1651.6</v>
      </c>
      <c r="V1455" t="str">
        <f t="shared" si="22"/>
        <v>-C04</v>
      </c>
      <c r="W1455" t="str">
        <f>VLOOKUP(K1455,[1]Info!A$1:B$21,2,0)</f>
        <v>Carboval</v>
      </c>
      <c r="X1455" t="e">
        <f>IF(M1455="109595132","Material de Limpeza-Não Avaliar",IF(AND(K1455="F20",M1455&lt;&gt;109595132),IF(RIGHT(F1455,2)="70","Infraestrutura de Planta","Prédios e Instalações"),IF(K1455="FPC",VLOOKUP(F1455,[1]Info!$E$2:$F$11,2,0),IF(K1455="FGP",VLOOKUP(F1455,[1]Info!$E$9:$F$10,2,0),IF(K1455="F10",VLOOKUP(F1455,[1]Info!$E$2:$F$3,2,0),VLOOKUP(K1455,[1]Info!$A$1:$B$21,2,0))))))</f>
        <v>#N/A</v>
      </c>
    </row>
    <row r="1456" spans="1:24" x14ac:dyDescent="0.35">
      <c r="A1456" t="s">
        <v>41</v>
      </c>
      <c r="B1456" t="s">
        <v>83</v>
      </c>
      <c r="C1456" t="s">
        <v>84</v>
      </c>
      <c r="D1456" t="s">
        <v>100</v>
      </c>
      <c r="E1456" t="s">
        <v>65</v>
      </c>
      <c r="F1456">
        <v>7090215</v>
      </c>
      <c r="G1456" t="s">
        <v>2215</v>
      </c>
      <c r="H1456" t="s">
        <v>48</v>
      </c>
      <c r="I1456" t="s">
        <v>49</v>
      </c>
      <c r="J1456" t="s">
        <v>72</v>
      </c>
      <c r="K1456" t="s">
        <v>0</v>
      </c>
      <c r="L1456" t="s">
        <v>51</v>
      </c>
      <c r="M1456" t="s">
        <v>2263</v>
      </c>
      <c r="N1456" t="s">
        <v>2262</v>
      </c>
      <c r="O1456" t="s">
        <v>1556</v>
      </c>
      <c r="P1456" t="s">
        <v>1292</v>
      </c>
      <c r="Q1456" t="s">
        <v>46</v>
      </c>
      <c r="R1456" t="s">
        <v>47</v>
      </c>
      <c r="S1456" t="s">
        <v>46</v>
      </c>
      <c r="T1456" t="s">
        <v>46</v>
      </c>
      <c r="U1456" s="4">
        <v>825.8</v>
      </c>
      <c r="V1456" t="str">
        <f t="shared" si="22"/>
        <v>-C04</v>
      </c>
      <c r="W1456" t="str">
        <f>VLOOKUP(K1456,[1]Info!A$1:B$21,2,0)</f>
        <v>Carboval</v>
      </c>
      <c r="X1456" t="e">
        <f>IF(M1456="109595132","Material de Limpeza-Não Avaliar",IF(AND(K1456="F20",M1456&lt;&gt;109595132),IF(RIGHT(F1456,2)="70","Infraestrutura de Planta","Prédios e Instalações"),IF(K1456="FPC",VLOOKUP(F1456,[1]Info!$E$2:$F$11,2,0),IF(K1456="FGP",VLOOKUP(F1456,[1]Info!$E$9:$F$10,2,0),IF(K1456="F10",VLOOKUP(F1456,[1]Info!$E$2:$F$3,2,0),VLOOKUP(K1456,[1]Info!$A$1:$B$21,2,0))))))</f>
        <v>#N/A</v>
      </c>
    </row>
    <row r="1457" spans="1:24" x14ac:dyDescent="0.35">
      <c r="A1457" t="s">
        <v>41</v>
      </c>
      <c r="B1457" t="s">
        <v>83</v>
      </c>
      <c r="C1457" t="s">
        <v>84</v>
      </c>
      <c r="D1457" t="s">
        <v>100</v>
      </c>
      <c r="E1457" t="s">
        <v>65</v>
      </c>
      <c r="F1457">
        <v>7090215</v>
      </c>
      <c r="G1457" t="s">
        <v>2215</v>
      </c>
      <c r="H1457" t="s">
        <v>48</v>
      </c>
      <c r="I1457" t="s">
        <v>49</v>
      </c>
      <c r="J1457" t="s">
        <v>72</v>
      </c>
      <c r="K1457" t="s">
        <v>2</v>
      </c>
      <c r="L1457" t="s">
        <v>51</v>
      </c>
      <c r="M1457" t="s">
        <v>2264</v>
      </c>
      <c r="N1457" t="s">
        <v>2265</v>
      </c>
      <c r="O1457" t="s">
        <v>1557</v>
      </c>
      <c r="P1457" t="s">
        <v>1292</v>
      </c>
      <c r="Q1457" t="s">
        <v>46</v>
      </c>
      <c r="R1457" t="s">
        <v>47</v>
      </c>
      <c r="S1457" t="s">
        <v>46</v>
      </c>
      <c r="T1457" t="s">
        <v>46</v>
      </c>
      <c r="U1457" s="4">
        <v>3422.94</v>
      </c>
      <c r="V1457" t="str">
        <f t="shared" si="22"/>
        <v>0030</v>
      </c>
      <c r="W1457" t="str">
        <f>VLOOKUP(K1457,[1]Info!A$1:B$21,2,0)</f>
        <v>Infra - prédios</v>
      </c>
      <c r="X1457" t="str">
        <f>IF(M1457="109595132","Material de Limpeza-Não Avaliar",IF(AND(K1457="F20",M1457&lt;&gt;109595132),IF(RIGHT(F1457,2)="70","Infraestrutura de Planta","Prédios e Instalações"),IF(K1457="FPC",VLOOKUP(F1457,[1]Info!$E$2:$F$11,2,0),IF(K1457="FGP",VLOOKUP(F1457,[1]Info!$E$9:$F$10,2,0),IF(K1457="F10",VLOOKUP(F1457,[1]Info!$E$2:$F$3,2,0),VLOOKUP(K1457,[1]Info!$A$1:$B$21,2,0))))))</f>
        <v>Prédios e Instalações</v>
      </c>
    </row>
    <row r="1458" spans="1:24" x14ac:dyDescent="0.35">
      <c r="A1458" t="s">
        <v>41</v>
      </c>
      <c r="B1458" t="s">
        <v>83</v>
      </c>
      <c r="C1458" t="s">
        <v>84</v>
      </c>
      <c r="D1458" t="s">
        <v>100</v>
      </c>
      <c r="E1458" t="s">
        <v>65</v>
      </c>
      <c r="F1458">
        <v>7090215</v>
      </c>
      <c r="G1458" t="s">
        <v>2215</v>
      </c>
      <c r="H1458" t="s">
        <v>48</v>
      </c>
      <c r="I1458" t="s">
        <v>49</v>
      </c>
      <c r="J1458" t="s">
        <v>72</v>
      </c>
      <c r="K1458" t="s">
        <v>2</v>
      </c>
      <c r="L1458" t="s">
        <v>51</v>
      </c>
      <c r="M1458" t="s">
        <v>2266</v>
      </c>
      <c r="N1458" t="s">
        <v>2265</v>
      </c>
      <c r="O1458" t="s">
        <v>1557</v>
      </c>
      <c r="P1458" t="s">
        <v>1292</v>
      </c>
      <c r="Q1458" t="s">
        <v>46</v>
      </c>
      <c r="R1458" t="s">
        <v>47</v>
      </c>
      <c r="S1458" t="s">
        <v>46</v>
      </c>
      <c r="T1458" t="s">
        <v>46</v>
      </c>
      <c r="U1458" s="4">
        <v>2312.25</v>
      </c>
      <c r="V1458" t="str">
        <f t="shared" si="22"/>
        <v>0030</v>
      </c>
      <c r="W1458" t="str">
        <f>VLOOKUP(K1458,[1]Info!A$1:B$21,2,0)</f>
        <v>Infra - prédios</v>
      </c>
      <c r="X1458" t="str">
        <f>IF(M1458="109595132","Material de Limpeza-Não Avaliar",IF(AND(K1458="F20",M1458&lt;&gt;109595132),IF(RIGHT(F1458,2)="70","Infraestrutura de Planta","Prédios e Instalações"),IF(K1458="FPC",VLOOKUP(F1458,[1]Info!$E$2:$F$11,2,0),IF(K1458="FGP",VLOOKUP(F1458,[1]Info!$E$9:$F$10,2,0),IF(K1458="F10",VLOOKUP(F1458,[1]Info!$E$2:$F$3,2,0),VLOOKUP(K1458,[1]Info!$A$1:$B$21,2,0))))))</f>
        <v>Prédios e Instalações</v>
      </c>
    </row>
    <row r="1459" spans="1:24" x14ac:dyDescent="0.35">
      <c r="A1459" t="s">
        <v>41</v>
      </c>
      <c r="B1459" t="s">
        <v>83</v>
      </c>
      <c r="C1459" t="s">
        <v>84</v>
      </c>
      <c r="D1459" t="s">
        <v>100</v>
      </c>
      <c r="E1459" t="s">
        <v>65</v>
      </c>
      <c r="F1459">
        <v>7090212</v>
      </c>
      <c r="G1459" t="s">
        <v>2233</v>
      </c>
      <c r="H1459" t="s">
        <v>48</v>
      </c>
      <c r="I1459" t="s">
        <v>49</v>
      </c>
      <c r="J1459" t="s">
        <v>78</v>
      </c>
      <c r="K1459" t="s">
        <v>0</v>
      </c>
      <c r="L1459" t="s">
        <v>51</v>
      </c>
      <c r="M1459" t="s">
        <v>2267</v>
      </c>
      <c r="N1459" t="s">
        <v>2268</v>
      </c>
      <c r="O1459" t="s">
        <v>1543</v>
      </c>
      <c r="P1459" t="s">
        <v>1292</v>
      </c>
      <c r="Q1459" t="s">
        <v>46</v>
      </c>
      <c r="R1459" t="s">
        <v>47</v>
      </c>
      <c r="S1459" t="s">
        <v>46</v>
      </c>
      <c r="T1459" t="s">
        <v>46</v>
      </c>
      <c r="U1459" s="4">
        <v>44.19</v>
      </c>
      <c r="V1459" t="str">
        <f t="shared" si="22"/>
        <v>0020</v>
      </c>
      <c r="W1459" t="str">
        <f>VLOOKUP(K1459,[1]Info!A$1:B$21,2,0)</f>
        <v>Carboval</v>
      </c>
      <c r="X1459" t="e">
        <f>IF(M1459="109595132","Material de Limpeza-Não Avaliar",IF(AND(K1459="F20",M1459&lt;&gt;109595132),IF(RIGHT(F1459,2)="70","Infraestrutura de Planta","Prédios e Instalações"),IF(K1459="FPC",VLOOKUP(F1459,[1]Info!$E$2:$F$11,2,0),IF(K1459="FGP",VLOOKUP(F1459,[1]Info!$E$9:$F$10,2,0),IF(K1459="F10",VLOOKUP(F1459,[1]Info!$E$2:$F$3,2,0),VLOOKUP(K1459,[1]Info!$A$1:$B$21,2,0))))))</f>
        <v>#N/A</v>
      </c>
    </row>
    <row r="1460" spans="1:24" x14ac:dyDescent="0.35">
      <c r="A1460" t="s">
        <v>41</v>
      </c>
      <c r="B1460" t="s">
        <v>83</v>
      </c>
      <c r="C1460" t="s">
        <v>84</v>
      </c>
      <c r="D1460" t="s">
        <v>100</v>
      </c>
      <c r="E1460" t="s">
        <v>65</v>
      </c>
      <c r="F1460">
        <v>7090101</v>
      </c>
      <c r="G1460" t="s">
        <v>2221</v>
      </c>
      <c r="H1460" t="s">
        <v>48</v>
      </c>
      <c r="I1460" t="s">
        <v>49</v>
      </c>
      <c r="J1460" t="s">
        <v>72</v>
      </c>
      <c r="K1460" t="s">
        <v>0</v>
      </c>
      <c r="L1460" t="s">
        <v>1545</v>
      </c>
      <c r="M1460" t="s">
        <v>2269</v>
      </c>
      <c r="N1460" t="s">
        <v>2270</v>
      </c>
      <c r="O1460" t="s">
        <v>1548</v>
      </c>
      <c r="P1460" t="s">
        <v>1292</v>
      </c>
      <c r="Q1460" t="s">
        <v>46</v>
      </c>
      <c r="R1460" t="s">
        <v>47</v>
      </c>
      <c r="S1460" t="s">
        <v>46</v>
      </c>
      <c r="T1460" t="s">
        <v>46</v>
      </c>
      <c r="U1460" s="4">
        <v>516.13</v>
      </c>
      <c r="V1460" t="str">
        <f t="shared" si="22"/>
        <v>SI08</v>
      </c>
      <c r="W1460" t="str">
        <f>VLOOKUP(K1460,[1]Info!A$1:B$21,2,0)</f>
        <v>Carboval</v>
      </c>
      <c r="X1460" t="e">
        <f>IF(M1460="109595132","Material de Limpeza-Não Avaliar",IF(AND(K1460="F20",M1460&lt;&gt;109595132),IF(RIGHT(F1460,2)="70","Infraestrutura de Planta","Prédios e Instalações"),IF(K1460="FPC",VLOOKUP(F1460,[1]Info!$E$2:$F$11,2,0),IF(K1460="FGP",VLOOKUP(F1460,[1]Info!$E$9:$F$10,2,0),IF(K1460="F10",VLOOKUP(F1460,[1]Info!$E$2:$F$3,2,0),VLOOKUP(K1460,[1]Info!$A$1:$B$21,2,0))))))</f>
        <v>#N/A</v>
      </c>
    </row>
    <row r="1461" spans="1:24" x14ac:dyDescent="0.35">
      <c r="A1461" t="s">
        <v>41</v>
      </c>
      <c r="B1461" t="s">
        <v>83</v>
      </c>
      <c r="C1461" t="s">
        <v>84</v>
      </c>
      <c r="D1461" t="s">
        <v>2271</v>
      </c>
      <c r="E1461" t="s">
        <v>2272</v>
      </c>
      <c r="F1461">
        <v>7090221</v>
      </c>
      <c r="G1461" t="s">
        <v>2208</v>
      </c>
      <c r="H1461" t="s">
        <v>48</v>
      </c>
      <c r="I1461" t="s">
        <v>49</v>
      </c>
      <c r="J1461" t="s">
        <v>79</v>
      </c>
      <c r="K1461" t="s">
        <v>8</v>
      </c>
      <c r="L1461" t="s">
        <v>51</v>
      </c>
      <c r="M1461" t="s">
        <v>2273</v>
      </c>
      <c r="N1461" t="s">
        <v>2274</v>
      </c>
      <c r="O1461" t="s">
        <v>2275</v>
      </c>
      <c r="P1461" t="s">
        <v>1292</v>
      </c>
      <c r="Q1461" t="s">
        <v>46</v>
      </c>
      <c r="R1461" t="s">
        <v>47</v>
      </c>
      <c r="S1461" t="s">
        <v>46</v>
      </c>
      <c r="T1461" t="s">
        <v>46</v>
      </c>
      <c r="U1461" s="4">
        <v>103.03</v>
      </c>
      <c r="V1461" t="str">
        <f t="shared" si="22"/>
        <v>A001</v>
      </c>
      <c r="W1461" t="str">
        <f>VLOOKUP(K1461,[1]Info!A$1:B$21,2,0)</f>
        <v>Pátio</v>
      </c>
      <c r="X1461" t="str">
        <f>IF(M1461="109595132","Material de Limpeza-Não Avaliar",IF(AND(K1461="F20",M1461&lt;&gt;109595132),IF(RIGHT(F1461,2)="70","Infraestrutura de Planta","Prédios e Instalações"),IF(K1461="FPC",VLOOKUP(F1461,[1]Info!$E$2:$F$11,2,0),IF(K1461="FGP",VLOOKUP(F1461,[1]Info!$E$9:$F$10,2,0),IF(K1461="F10",VLOOKUP(F1461,[1]Info!$E$2:$F$3,2,0),VLOOKUP(K1461,[1]Info!$A$1:$B$21,2,0))))))</f>
        <v>Pátio</v>
      </c>
    </row>
    <row r="1462" spans="1:24" x14ac:dyDescent="0.35">
      <c r="A1462" t="s">
        <v>41</v>
      </c>
      <c r="B1462" t="s">
        <v>83</v>
      </c>
      <c r="C1462" t="s">
        <v>84</v>
      </c>
      <c r="D1462" t="s">
        <v>106</v>
      </c>
      <c r="E1462" t="s">
        <v>107</v>
      </c>
      <c r="F1462">
        <v>7090902</v>
      </c>
      <c r="G1462" t="s">
        <v>2255</v>
      </c>
      <c r="H1462" t="s">
        <v>48</v>
      </c>
      <c r="I1462" t="s">
        <v>49</v>
      </c>
      <c r="J1462" t="s">
        <v>72</v>
      </c>
      <c r="K1462" t="s">
        <v>6</v>
      </c>
      <c r="L1462" t="s">
        <v>51</v>
      </c>
      <c r="M1462" t="s">
        <v>2276</v>
      </c>
      <c r="N1462" t="s">
        <v>2277</v>
      </c>
      <c r="O1462" t="s">
        <v>2278</v>
      </c>
      <c r="P1462" t="s">
        <v>1292</v>
      </c>
      <c r="Q1462" t="s">
        <v>46</v>
      </c>
      <c r="R1462" t="s">
        <v>47</v>
      </c>
      <c r="S1462" t="s">
        <v>280</v>
      </c>
      <c r="T1462" t="s">
        <v>281</v>
      </c>
      <c r="U1462" s="4">
        <v>2677.44</v>
      </c>
      <c r="V1462" t="str">
        <f t="shared" si="22"/>
        <v>0035</v>
      </c>
      <c r="W1462" t="str">
        <f>VLOOKUP(K1462,[1]Info!A$1:B$21,2,0)</f>
        <v>Equipamentos Carbonização</v>
      </c>
      <c r="X1462" t="str">
        <f>IF(M1462="109595132","Material de Limpeza-Não Avaliar",IF(AND(K1462="F20",M1462&lt;&gt;109595132),IF(RIGHT(F1462,2)="70","Infraestrutura de Planta","Prédios e Instalações"),IF(K1462="FPC",VLOOKUP(F1462,[1]Info!$E$2:$F$11,2,0),IF(K1462="FGP",VLOOKUP(F1462,[1]Info!$E$9:$F$10,2,0),IF(K1462="F10",VLOOKUP(F1462,[1]Info!$E$2:$F$3,2,0),VLOOKUP(K1462,[1]Info!$A$1:$B$21,2,0))))))</f>
        <v>Equipamentos Carbonização</v>
      </c>
    </row>
    <row r="1463" spans="1:24" x14ac:dyDescent="0.35">
      <c r="A1463" t="s">
        <v>41</v>
      </c>
      <c r="B1463" t="s">
        <v>83</v>
      </c>
      <c r="C1463" t="s">
        <v>84</v>
      </c>
      <c r="D1463" t="s">
        <v>106</v>
      </c>
      <c r="E1463" t="s">
        <v>107</v>
      </c>
      <c r="F1463">
        <v>7090241</v>
      </c>
      <c r="G1463" t="s">
        <v>2198</v>
      </c>
      <c r="H1463" t="s">
        <v>48</v>
      </c>
      <c r="I1463" t="s">
        <v>49</v>
      </c>
      <c r="J1463" t="s">
        <v>208</v>
      </c>
      <c r="K1463" t="s">
        <v>2</v>
      </c>
      <c r="L1463" t="s">
        <v>45</v>
      </c>
      <c r="M1463" t="s">
        <v>2218</v>
      </c>
      <c r="N1463" t="s">
        <v>2219</v>
      </c>
      <c r="O1463" t="s">
        <v>2220</v>
      </c>
      <c r="P1463" t="s">
        <v>1292</v>
      </c>
      <c r="Q1463" t="s">
        <v>46</v>
      </c>
      <c r="R1463" t="s">
        <v>47</v>
      </c>
      <c r="S1463" t="s">
        <v>1476</v>
      </c>
      <c r="T1463" t="s">
        <v>1477</v>
      </c>
      <c r="U1463" s="4">
        <v>4874.49</v>
      </c>
      <c r="V1463" t="str">
        <f t="shared" si="22"/>
        <v>I001</v>
      </c>
      <c r="W1463" t="str">
        <f>VLOOKUP(K1463,[1]Info!A$1:B$21,2,0)</f>
        <v>Infra - prédios</v>
      </c>
      <c r="X1463" t="str">
        <f>IF(M1463="109595132","Material de Limpeza-Não Avaliar",IF(AND(K1463="F20",M1463&lt;&gt;109595132),IF(RIGHT(F1463,2)="70","Infraestrutura de Planta","Prédios e Instalações"),IF(K1463="FPC",VLOOKUP(F1463,[1]Info!$E$2:$F$11,2,0),IF(K1463="FGP",VLOOKUP(F1463,[1]Info!$E$9:$F$10,2,0),IF(K1463="F10",VLOOKUP(F1463,[1]Info!$E$2:$F$3,2,0),VLOOKUP(K1463,[1]Info!$A$1:$B$21,2,0))))))</f>
        <v>Prédios e Instalações</v>
      </c>
    </row>
    <row r="1464" spans="1:24" x14ac:dyDescent="0.35">
      <c r="A1464" t="s">
        <v>41</v>
      </c>
      <c r="B1464" t="s">
        <v>83</v>
      </c>
      <c r="C1464" t="s">
        <v>84</v>
      </c>
      <c r="D1464" t="s">
        <v>106</v>
      </c>
      <c r="E1464" t="s">
        <v>107</v>
      </c>
      <c r="F1464">
        <v>7090224</v>
      </c>
      <c r="G1464" t="s">
        <v>2204</v>
      </c>
      <c r="H1464" t="s">
        <v>48</v>
      </c>
      <c r="I1464" t="s">
        <v>49</v>
      </c>
      <c r="J1464" t="s">
        <v>50</v>
      </c>
      <c r="K1464" t="s">
        <v>2</v>
      </c>
      <c r="L1464" t="s">
        <v>45</v>
      </c>
      <c r="M1464" t="s">
        <v>2279</v>
      </c>
      <c r="N1464" t="s">
        <v>2280</v>
      </c>
      <c r="O1464" t="s">
        <v>2281</v>
      </c>
      <c r="P1464" t="s">
        <v>1292</v>
      </c>
      <c r="Q1464" t="s">
        <v>46</v>
      </c>
      <c r="R1464" t="s">
        <v>47</v>
      </c>
      <c r="S1464" t="s">
        <v>1476</v>
      </c>
      <c r="T1464" t="s">
        <v>1477</v>
      </c>
      <c r="U1464" s="4">
        <v>4784.21</v>
      </c>
      <c r="V1464" t="str">
        <f t="shared" si="22"/>
        <v>-100</v>
      </c>
      <c r="W1464" t="str">
        <f>VLOOKUP(K1464,[1]Info!A$1:B$21,2,0)</f>
        <v>Infra - prédios</v>
      </c>
      <c r="X1464" t="str">
        <f>IF(M1464="109595132","Material de Limpeza-Não Avaliar",IF(AND(K1464="F20",M1464&lt;&gt;109595132),IF(RIGHT(F1464,2)="70","Infraestrutura de Planta","Prédios e Instalações"),IF(K1464="FPC",VLOOKUP(F1464,[1]Info!$E$2:$F$11,2,0),IF(K1464="FGP",VLOOKUP(F1464,[1]Info!$E$9:$F$10,2,0),IF(K1464="F10",VLOOKUP(F1464,[1]Info!$E$2:$F$3,2,0),VLOOKUP(K1464,[1]Info!$A$1:$B$21,2,0))))))</f>
        <v>Prédios e Instalações</v>
      </c>
    </row>
    <row r="1465" spans="1:24" x14ac:dyDescent="0.35">
      <c r="A1465" t="s">
        <v>41</v>
      </c>
      <c r="B1465" t="s">
        <v>83</v>
      </c>
      <c r="C1465" t="s">
        <v>84</v>
      </c>
      <c r="D1465" t="s">
        <v>106</v>
      </c>
      <c r="E1465" t="s">
        <v>107</v>
      </c>
      <c r="F1465">
        <v>7090213</v>
      </c>
      <c r="G1465" t="s">
        <v>2282</v>
      </c>
      <c r="H1465" t="s">
        <v>48</v>
      </c>
      <c r="I1465" t="s">
        <v>49</v>
      </c>
      <c r="J1465" t="s">
        <v>152</v>
      </c>
      <c r="K1465" t="s">
        <v>2</v>
      </c>
      <c r="L1465" t="s">
        <v>45</v>
      </c>
      <c r="M1465" t="s">
        <v>2283</v>
      </c>
      <c r="N1465" t="s">
        <v>2284</v>
      </c>
      <c r="O1465" t="s">
        <v>2285</v>
      </c>
      <c r="P1465" t="s">
        <v>1292</v>
      </c>
      <c r="Q1465" t="s">
        <v>46</v>
      </c>
      <c r="R1465" t="s">
        <v>47</v>
      </c>
      <c r="S1465" t="s">
        <v>2286</v>
      </c>
      <c r="T1465" t="s">
        <v>2287</v>
      </c>
      <c r="U1465" s="4">
        <v>12352.73</v>
      </c>
      <c r="V1465" t="str">
        <f t="shared" si="22"/>
        <v>I001</v>
      </c>
      <c r="W1465" t="str">
        <f>VLOOKUP(K1465,[1]Info!A$1:B$21,2,0)</f>
        <v>Infra - prédios</v>
      </c>
      <c r="X1465" t="str">
        <f>IF(M1465="109595132","Material de Limpeza-Não Avaliar",IF(AND(K1465="F20",M1465&lt;&gt;109595132),IF(RIGHT(F1465,2)="70","Infraestrutura de Planta","Prédios e Instalações"),IF(K1465="FPC",VLOOKUP(F1465,[1]Info!$E$2:$F$11,2,0),IF(K1465="FGP",VLOOKUP(F1465,[1]Info!$E$9:$F$10,2,0),IF(K1465="F10",VLOOKUP(F1465,[1]Info!$E$2:$F$3,2,0),VLOOKUP(K1465,[1]Info!$A$1:$B$21,2,0))))))</f>
        <v>Prédios e Instalações</v>
      </c>
    </row>
    <row r="1466" spans="1:24" x14ac:dyDescent="0.35">
      <c r="A1466" t="s">
        <v>41</v>
      </c>
      <c r="B1466" t="s">
        <v>83</v>
      </c>
      <c r="C1466" t="s">
        <v>84</v>
      </c>
      <c r="D1466" t="s">
        <v>106</v>
      </c>
      <c r="E1466" t="s">
        <v>107</v>
      </c>
      <c r="F1466">
        <v>7090213</v>
      </c>
      <c r="G1466" t="s">
        <v>2282</v>
      </c>
      <c r="H1466" t="s">
        <v>48</v>
      </c>
      <c r="I1466" t="s">
        <v>49</v>
      </c>
      <c r="J1466" t="s">
        <v>152</v>
      </c>
      <c r="K1466" t="s">
        <v>2</v>
      </c>
      <c r="L1466" t="s">
        <v>45</v>
      </c>
      <c r="M1466" t="s">
        <v>2288</v>
      </c>
      <c r="N1466" t="s">
        <v>2289</v>
      </c>
      <c r="O1466" t="s">
        <v>2290</v>
      </c>
      <c r="P1466" t="s">
        <v>1292</v>
      </c>
      <c r="Q1466" t="s">
        <v>46</v>
      </c>
      <c r="R1466" t="s">
        <v>47</v>
      </c>
      <c r="S1466" t="s">
        <v>1476</v>
      </c>
      <c r="T1466" t="s">
        <v>1477</v>
      </c>
      <c r="U1466" s="4">
        <v>4874.4799999999996</v>
      </c>
      <c r="V1466" t="str">
        <f t="shared" si="22"/>
        <v>-100</v>
      </c>
      <c r="W1466" t="str">
        <f>VLOOKUP(K1466,[1]Info!A$1:B$21,2,0)</f>
        <v>Infra - prédios</v>
      </c>
      <c r="X1466" t="str">
        <f>IF(M1466="109595132","Material de Limpeza-Não Avaliar",IF(AND(K1466="F20",M1466&lt;&gt;109595132),IF(RIGHT(F1466,2)="70","Infraestrutura de Planta","Prédios e Instalações"),IF(K1466="FPC",VLOOKUP(F1466,[1]Info!$E$2:$F$11,2,0),IF(K1466="FGP",VLOOKUP(F1466,[1]Info!$E$9:$F$10,2,0),IF(K1466="F10",VLOOKUP(F1466,[1]Info!$E$2:$F$3,2,0),VLOOKUP(K1466,[1]Info!$A$1:$B$21,2,0))))))</f>
        <v>Prédios e Instalações</v>
      </c>
    </row>
    <row r="1467" spans="1:24" x14ac:dyDescent="0.35">
      <c r="A1467" t="s">
        <v>41</v>
      </c>
      <c r="B1467" t="s">
        <v>83</v>
      </c>
      <c r="C1467" t="s">
        <v>84</v>
      </c>
      <c r="D1467" t="s">
        <v>106</v>
      </c>
      <c r="E1467" t="s">
        <v>107</v>
      </c>
      <c r="F1467">
        <v>7090211</v>
      </c>
      <c r="G1467" t="s">
        <v>1273</v>
      </c>
      <c r="H1467" t="s">
        <v>48</v>
      </c>
      <c r="I1467" t="s">
        <v>49</v>
      </c>
      <c r="J1467" t="s">
        <v>1274</v>
      </c>
      <c r="K1467" t="s">
        <v>2</v>
      </c>
      <c r="L1467" t="s">
        <v>45</v>
      </c>
      <c r="M1467" t="s">
        <v>1275</v>
      </c>
      <c r="N1467" t="s">
        <v>1276</v>
      </c>
      <c r="O1467" t="s">
        <v>1277</v>
      </c>
      <c r="P1467" t="s">
        <v>1292</v>
      </c>
      <c r="Q1467" t="s">
        <v>46</v>
      </c>
      <c r="R1467" t="s">
        <v>47</v>
      </c>
      <c r="S1467" t="s">
        <v>2286</v>
      </c>
      <c r="T1467" t="s">
        <v>2287</v>
      </c>
      <c r="U1467" s="4">
        <v>12352.74</v>
      </c>
      <c r="V1467" t="str">
        <f t="shared" si="22"/>
        <v>I001</v>
      </c>
      <c r="W1467" t="str">
        <f>VLOOKUP(K1467,[1]Info!A$1:B$21,2,0)</f>
        <v>Infra - prédios</v>
      </c>
      <c r="X1467" t="str">
        <f>IF(M1467="109595132","Material de Limpeza-Não Avaliar",IF(AND(K1467="F20",M1467&lt;&gt;109595132),IF(RIGHT(F1467,2)="70","Infraestrutura de Planta","Prédios e Instalações"),IF(K1467="FPC",VLOOKUP(F1467,[1]Info!$E$2:$F$11,2,0),IF(K1467="FGP",VLOOKUP(F1467,[1]Info!$E$9:$F$10,2,0),IF(K1467="F10",VLOOKUP(F1467,[1]Info!$E$2:$F$3,2,0),VLOOKUP(K1467,[1]Info!$A$1:$B$21,2,0))))))</f>
        <v>Prédios e Instalações</v>
      </c>
    </row>
    <row r="1468" spans="1:24" x14ac:dyDescent="0.35">
      <c r="A1468" t="s">
        <v>41</v>
      </c>
      <c r="B1468" t="s">
        <v>83</v>
      </c>
      <c r="C1468" t="s">
        <v>84</v>
      </c>
      <c r="D1468" t="s">
        <v>106</v>
      </c>
      <c r="E1468" t="s">
        <v>107</v>
      </c>
      <c r="F1468">
        <v>7090211</v>
      </c>
      <c r="G1468" t="s">
        <v>1273</v>
      </c>
      <c r="H1468" t="s">
        <v>48</v>
      </c>
      <c r="I1468" t="s">
        <v>49</v>
      </c>
      <c r="J1468" t="s">
        <v>1274</v>
      </c>
      <c r="K1468" t="s">
        <v>2</v>
      </c>
      <c r="L1468" t="s">
        <v>45</v>
      </c>
      <c r="M1468" t="s">
        <v>2291</v>
      </c>
      <c r="N1468" t="s">
        <v>2292</v>
      </c>
      <c r="O1468" t="s">
        <v>2293</v>
      </c>
      <c r="P1468" t="s">
        <v>1292</v>
      </c>
      <c r="Q1468" t="s">
        <v>46</v>
      </c>
      <c r="R1468" t="s">
        <v>47</v>
      </c>
      <c r="S1468" t="s">
        <v>1476</v>
      </c>
      <c r="T1468" t="s">
        <v>1477</v>
      </c>
      <c r="U1468" s="4">
        <v>4874.4799999999996</v>
      </c>
      <c r="V1468" t="str">
        <f t="shared" si="22"/>
        <v>I001</v>
      </c>
      <c r="W1468" t="str">
        <f>VLOOKUP(K1468,[1]Info!A$1:B$21,2,0)</f>
        <v>Infra - prédios</v>
      </c>
      <c r="X1468" t="str">
        <f>IF(M1468="109595132","Material de Limpeza-Não Avaliar",IF(AND(K1468="F20",M1468&lt;&gt;109595132),IF(RIGHT(F1468,2)="70","Infraestrutura de Planta","Prédios e Instalações"),IF(K1468="FPC",VLOOKUP(F1468,[1]Info!$E$2:$F$11,2,0),IF(K1468="FGP",VLOOKUP(F1468,[1]Info!$E$9:$F$10,2,0),IF(K1468="F10",VLOOKUP(F1468,[1]Info!$E$2:$F$3,2,0),VLOOKUP(K1468,[1]Info!$A$1:$B$21,2,0))))))</f>
        <v>Prédios e Instalações</v>
      </c>
    </row>
    <row r="1469" spans="1:24" x14ac:dyDescent="0.35">
      <c r="A1469" t="s">
        <v>41</v>
      </c>
      <c r="B1469" t="s">
        <v>83</v>
      </c>
      <c r="C1469" t="s">
        <v>84</v>
      </c>
      <c r="D1469" t="s">
        <v>106</v>
      </c>
      <c r="E1469" t="s">
        <v>107</v>
      </c>
      <c r="F1469">
        <v>7090101</v>
      </c>
      <c r="G1469" t="s">
        <v>2221</v>
      </c>
      <c r="H1469" t="s">
        <v>48</v>
      </c>
      <c r="I1469" t="s">
        <v>49</v>
      </c>
      <c r="J1469" t="s">
        <v>72</v>
      </c>
      <c r="K1469" t="s">
        <v>2</v>
      </c>
      <c r="L1469" t="s">
        <v>45</v>
      </c>
      <c r="M1469" t="s">
        <v>2294</v>
      </c>
      <c r="N1469" t="s">
        <v>2295</v>
      </c>
      <c r="O1469" t="s">
        <v>2296</v>
      </c>
      <c r="P1469" t="s">
        <v>1292</v>
      </c>
      <c r="Q1469" t="s">
        <v>46</v>
      </c>
      <c r="R1469" t="s">
        <v>47</v>
      </c>
      <c r="S1469" t="s">
        <v>1476</v>
      </c>
      <c r="T1469" t="s">
        <v>1477</v>
      </c>
      <c r="U1469" s="4">
        <v>4874.4799999999996</v>
      </c>
      <c r="V1469" t="str">
        <f t="shared" si="22"/>
        <v>-C01</v>
      </c>
      <c r="W1469" t="str">
        <f>VLOOKUP(K1469,[1]Info!A$1:B$21,2,0)</f>
        <v>Infra - prédios</v>
      </c>
      <c r="X1469" t="str">
        <f>IF(M1469="109595132","Material de Limpeza-Não Avaliar",IF(AND(K1469="F20",M1469&lt;&gt;109595132),IF(RIGHT(F1469,2)="70","Infraestrutura de Planta","Prédios e Instalações"),IF(K1469="FPC",VLOOKUP(F1469,[1]Info!$E$2:$F$11,2,0),IF(K1469="FGP",VLOOKUP(F1469,[1]Info!$E$9:$F$10,2,0),IF(K1469="F10",VLOOKUP(F1469,[1]Info!$E$2:$F$3,2,0),VLOOKUP(K1469,[1]Info!$A$1:$B$21,2,0))))))</f>
        <v>Prédios e Instalações</v>
      </c>
    </row>
    <row r="1470" spans="1:24" x14ac:dyDescent="0.35">
      <c r="A1470" t="s">
        <v>41</v>
      </c>
      <c r="B1470" t="s">
        <v>83</v>
      </c>
      <c r="C1470" t="s">
        <v>84</v>
      </c>
      <c r="D1470" t="s">
        <v>316</v>
      </c>
      <c r="E1470" t="s">
        <v>317</v>
      </c>
      <c r="F1470">
        <v>7090251</v>
      </c>
      <c r="G1470" t="s">
        <v>1265</v>
      </c>
      <c r="H1470" t="s">
        <v>48</v>
      </c>
      <c r="I1470" t="s">
        <v>49</v>
      </c>
      <c r="J1470" t="s">
        <v>226</v>
      </c>
      <c r="K1470" t="s">
        <v>7</v>
      </c>
      <c r="L1470" t="s">
        <v>148</v>
      </c>
      <c r="M1470" t="s">
        <v>1266</v>
      </c>
      <c r="N1470" t="s">
        <v>1267</v>
      </c>
      <c r="O1470" t="s">
        <v>1268</v>
      </c>
      <c r="P1470" t="s">
        <v>383</v>
      </c>
      <c r="Q1470" t="s">
        <v>1280</v>
      </c>
      <c r="R1470" t="s">
        <v>1281</v>
      </c>
      <c r="S1470" t="s">
        <v>46</v>
      </c>
      <c r="T1470" t="s">
        <v>46</v>
      </c>
      <c r="U1470" s="4">
        <v>800.26</v>
      </c>
      <c r="V1470" t="str">
        <f t="shared" si="22"/>
        <v>-S04</v>
      </c>
      <c r="W1470" t="str">
        <f>VLOOKUP(K1470,[1]Info!A$1:B$21,2,0)</f>
        <v>Fornos Retangulares - Engenharia e Obras</v>
      </c>
      <c r="X1470" t="str">
        <f>IF(M1470="109595132","Material de Limpeza-Não Avaliar",IF(AND(K1470="F20",M1470&lt;&gt;109595132),IF(RIGHT(F1470,2)="70","Infraestrutura de Planta","Prédios e Instalações"),IF(K1470="FPC",VLOOKUP(F1470,[1]Info!$E$2:$F$11,2,0),IF(K1470="FGP",VLOOKUP(F1470,[1]Info!$E$9:$F$10,2,0),IF(K1470="F10",VLOOKUP(F1470,[1]Info!$E$2:$F$3,2,0),VLOOKUP(K1470,[1]Info!$A$1:$B$21,2,0))))))</f>
        <v>Fornos Retangulares - Engenharia e Obras</v>
      </c>
    </row>
    <row r="1471" spans="1:24" x14ac:dyDescent="0.35">
      <c r="A1471" t="s">
        <v>41</v>
      </c>
      <c r="B1471" t="s">
        <v>83</v>
      </c>
      <c r="C1471" t="s">
        <v>84</v>
      </c>
      <c r="D1471" t="s">
        <v>316</v>
      </c>
      <c r="E1471" t="s">
        <v>317</v>
      </c>
      <c r="F1471">
        <v>7090251</v>
      </c>
      <c r="G1471" t="s">
        <v>1265</v>
      </c>
      <c r="H1471" t="s">
        <v>48</v>
      </c>
      <c r="I1471" t="s">
        <v>49</v>
      </c>
      <c r="J1471" t="s">
        <v>226</v>
      </c>
      <c r="K1471" t="s">
        <v>7</v>
      </c>
      <c r="L1471" t="s">
        <v>148</v>
      </c>
      <c r="M1471" t="s">
        <v>1266</v>
      </c>
      <c r="N1471" t="s">
        <v>1267</v>
      </c>
      <c r="O1471" t="s">
        <v>1268</v>
      </c>
      <c r="P1471" t="s">
        <v>383</v>
      </c>
      <c r="Q1471" t="s">
        <v>1282</v>
      </c>
      <c r="R1471" t="s">
        <v>1283</v>
      </c>
      <c r="S1471" t="s">
        <v>46</v>
      </c>
      <c r="T1471" t="s">
        <v>46</v>
      </c>
      <c r="U1471" s="4">
        <v>212.2</v>
      </c>
      <c r="V1471" t="str">
        <f t="shared" si="22"/>
        <v>-S04</v>
      </c>
      <c r="W1471" t="str">
        <f>VLOOKUP(K1471,[1]Info!A$1:B$21,2,0)</f>
        <v>Fornos Retangulares - Engenharia e Obras</v>
      </c>
      <c r="X1471" t="str">
        <f>IF(M1471="109595132","Material de Limpeza-Não Avaliar",IF(AND(K1471="F20",M1471&lt;&gt;109595132),IF(RIGHT(F1471,2)="70","Infraestrutura de Planta","Prédios e Instalações"),IF(K1471="FPC",VLOOKUP(F1471,[1]Info!$E$2:$F$11,2,0),IF(K1471="FGP",VLOOKUP(F1471,[1]Info!$E$9:$F$10,2,0),IF(K1471="F10",VLOOKUP(F1471,[1]Info!$E$2:$F$3,2,0),VLOOKUP(K1471,[1]Info!$A$1:$B$21,2,0))))))</f>
        <v>Fornos Retangulares - Engenharia e Obras</v>
      </c>
    </row>
    <row r="1472" spans="1:24" x14ac:dyDescent="0.35">
      <c r="A1472" t="s">
        <v>41</v>
      </c>
      <c r="B1472" t="s">
        <v>83</v>
      </c>
      <c r="C1472" t="s">
        <v>84</v>
      </c>
      <c r="D1472" t="s">
        <v>682</v>
      </c>
      <c r="E1472" t="s">
        <v>683</v>
      </c>
      <c r="F1472">
        <v>7090251</v>
      </c>
      <c r="G1472" t="s">
        <v>1265</v>
      </c>
      <c r="H1472" t="s">
        <v>48</v>
      </c>
      <c r="I1472" t="s">
        <v>49</v>
      </c>
      <c r="J1472" t="s">
        <v>226</v>
      </c>
      <c r="K1472" t="s">
        <v>7</v>
      </c>
      <c r="L1472" t="s">
        <v>148</v>
      </c>
      <c r="M1472" t="s">
        <v>1266</v>
      </c>
      <c r="N1472" t="s">
        <v>1267</v>
      </c>
      <c r="O1472" t="s">
        <v>1268</v>
      </c>
      <c r="P1472" t="s">
        <v>383</v>
      </c>
      <c r="Q1472" t="s">
        <v>1261</v>
      </c>
      <c r="R1472" t="s">
        <v>1262</v>
      </c>
      <c r="S1472" t="s">
        <v>46</v>
      </c>
      <c r="T1472" t="s">
        <v>46</v>
      </c>
      <c r="U1472" s="4">
        <v>32.380000000000003</v>
      </c>
      <c r="V1472" t="str">
        <f t="shared" si="22"/>
        <v>-S04</v>
      </c>
      <c r="W1472" t="str">
        <f>VLOOKUP(K1472,[1]Info!A$1:B$21,2,0)</f>
        <v>Fornos Retangulares - Engenharia e Obras</v>
      </c>
      <c r="X1472" t="str">
        <f>IF(M1472="109595132","Material de Limpeza-Não Avaliar",IF(AND(K1472="F20",M1472&lt;&gt;109595132),IF(RIGHT(F1472,2)="70","Infraestrutura de Planta","Prédios e Instalações"),IF(K1472="FPC",VLOOKUP(F1472,[1]Info!$E$2:$F$11,2,0),IF(K1472="FGP",VLOOKUP(F1472,[1]Info!$E$9:$F$10,2,0),IF(K1472="F10",VLOOKUP(F1472,[1]Info!$E$2:$F$3,2,0),VLOOKUP(K1472,[1]Info!$A$1:$B$21,2,0))))))</f>
        <v>Fornos Retangulares - Engenharia e Obras</v>
      </c>
    </row>
    <row r="1473" spans="1:24" x14ac:dyDescent="0.35">
      <c r="A1473" t="s">
        <v>41</v>
      </c>
      <c r="B1473" t="s">
        <v>83</v>
      </c>
      <c r="C1473" t="s">
        <v>84</v>
      </c>
      <c r="D1473" t="s">
        <v>682</v>
      </c>
      <c r="E1473" t="s">
        <v>683</v>
      </c>
      <c r="F1473">
        <v>7090251</v>
      </c>
      <c r="G1473" t="s">
        <v>1265</v>
      </c>
      <c r="H1473" t="s">
        <v>48</v>
      </c>
      <c r="I1473" t="s">
        <v>49</v>
      </c>
      <c r="J1473" t="s">
        <v>226</v>
      </c>
      <c r="K1473" t="s">
        <v>7</v>
      </c>
      <c r="L1473" t="s">
        <v>148</v>
      </c>
      <c r="M1473" t="s">
        <v>1266</v>
      </c>
      <c r="N1473" t="s">
        <v>1267</v>
      </c>
      <c r="O1473" t="s">
        <v>1268</v>
      </c>
      <c r="P1473" t="s">
        <v>383</v>
      </c>
      <c r="Q1473" t="s">
        <v>684</v>
      </c>
      <c r="R1473" t="s">
        <v>685</v>
      </c>
      <c r="S1473" t="s">
        <v>46</v>
      </c>
      <c r="T1473" t="s">
        <v>46</v>
      </c>
      <c r="U1473" s="4">
        <v>11.13</v>
      </c>
      <c r="V1473" t="str">
        <f t="shared" si="22"/>
        <v>-S04</v>
      </c>
      <c r="W1473" t="str">
        <f>VLOOKUP(K1473,[1]Info!A$1:B$21,2,0)</f>
        <v>Fornos Retangulares - Engenharia e Obras</v>
      </c>
      <c r="X1473" t="str">
        <f>IF(M1473="109595132","Material de Limpeza-Não Avaliar",IF(AND(K1473="F20",M1473&lt;&gt;109595132),IF(RIGHT(F1473,2)="70","Infraestrutura de Planta","Prédios e Instalações"),IF(K1473="FPC",VLOOKUP(F1473,[1]Info!$E$2:$F$11,2,0),IF(K1473="FGP",VLOOKUP(F1473,[1]Info!$E$9:$F$10,2,0),IF(K1473="F10",VLOOKUP(F1473,[1]Info!$E$2:$F$3,2,0),VLOOKUP(K1473,[1]Info!$A$1:$B$21,2,0))))))</f>
        <v>Fornos Retangulares - Engenharia e Obras</v>
      </c>
    </row>
    <row r="1474" spans="1:24" x14ac:dyDescent="0.35">
      <c r="A1474" t="s">
        <v>41</v>
      </c>
      <c r="B1474" t="s">
        <v>122</v>
      </c>
      <c r="C1474" t="s">
        <v>123</v>
      </c>
      <c r="D1474" t="s">
        <v>96</v>
      </c>
      <c r="E1474" t="s">
        <v>64</v>
      </c>
      <c r="F1474">
        <v>7099115</v>
      </c>
      <c r="G1474" t="s">
        <v>124</v>
      </c>
      <c r="H1474" t="s">
        <v>125</v>
      </c>
      <c r="I1474" t="s">
        <v>126</v>
      </c>
      <c r="J1474" t="s">
        <v>79</v>
      </c>
      <c r="K1474" t="s">
        <v>17</v>
      </c>
      <c r="L1474" t="s">
        <v>45</v>
      </c>
      <c r="M1474" t="s">
        <v>2297</v>
      </c>
      <c r="N1474" t="s">
        <v>258</v>
      </c>
      <c r="O1474" t="s">
        <v>207</v>
      </c>
      <c r="P1474" t="s">
        <v>1292</v>
      </c>
      <c r="Q1474" t="s">
        <v>46</v>
      </c>
      <c r="R1474" t="s">
        <v>47</v>
      </c>
      <c r="S1474" t="s">
        <v>46</v>
      </c>
      <c r="T1474" t="s">
        <v>46</v>
      </c>
      <c r="U1474" s="4">
        <v>717.47</v>
      </c>
      <c r="V1474" t="str">
        <f t="shared" si="22"/>
        <v>PE01</v>
      </c>
      <c r="W1474" t="str">
        <f>VLOOKUP(K1474,[1]Info!A$1:B$21,2,0)</f>
        <v>Energia e Utilidades</v>
      </c>
      <c r="X1474" t="str">
        <f>IF(M1474="109595132","Material de Limpeza-Não Avaliar",IF(AND(K1474="F20",M1474&lt;&gt;109595132),IF(RIGHT(F1474,2)="70","Infraestrutura de Planta","Prédios e Instalações"),IF(K1474="FPC",VLOOKUP(F1474,[1]Info!$E$2:$F$11,2,0),IF(K1474="FGP",VLOOKUP(F1474,[1]Info!$E$9:$F$10,2,0),IF(K1474="F10",VLOOKUP(F1474,[1]Info!$E$2:$F$3,2,0),VLOOKUP(K1474,[1]Info!$A$1:$B$21,2,0))))))</f>
        <v>Energia e Utilidades</v>
      </c>
    </row>
    <row r="1475" spans="1:24" x14ac:dyDescent="0.35">
      <c r="A1475" t="s">
        <v>41</v>
      </c>
      <c r="B1475" t="s">
        <v>122</v>
      </c>
      <c r="C1475" t="s">
        <v>123</v>
      </c>
      <c r="D1475" t="s">
        <v>94</v>
      </c>
      <c r="E1475" t="s">
        <v>52</v>
      </c>
      <c r="F1475">
        <v>7099115</v>
      </c>
      <c r="G1475" t="s">
        <v>124</v>
      </c>
      <c r="H1475" t="s">
        <v>125</v>
      </c>
      <c r="I1475" t="s">
        <v>126</v>
      </c>
      <c r="J1475" t="s">
        <v>79</v>
      </c>
      <c r="K1475" t="s">
        <v>17</v>
      </c>
      <c r="L1475" t="s">
        <v>45</v>
      </c>
      <c r="M1475" t="s">
        <v>2298</v>
      </c>
      <c r="N1475" t="s">
        <v>258</v>
      </c>
      <c r="O1475" t="s">
        <v>207</v>
      </c>
      <c r="P1475" t="s">
        <v>1292</v>
      </c>
      <c r="Q1475" t="s">
        <v>46</v>
      </c>
      <c r="R1475" t="s">
        <v>47</v>
      </c>
      <c r="S1475" t="s">
        <v>46</v>
      </c>
      <c r="T1475" t="s">
        <v>46</v>
      </c>
      <c r="U1475" s="4">
        <v>2210</v>
      </c>
      <c r="V1475" t="str">
        <f t="shared" si="22"/>
        <v>PE01</v>
      </c>
      <c r="W1475" t="str">
        <f>VLOOKUP(K1475,[1]Info!A$1:B$21,2,0)</f>
        <v>Energia e Utilidades</v>
      </c>
      <c r="X1475" t="str">
        <f>IF(M1475="109595132","Material de Limpeza-Não Avaliar",IF(AND(K1475="F20",M1475&lt;&gt;109595132),IF(RIGHT(F1475,2)="70","Infraestrutura de Planta","Prédios e Instalações"),IF(K1475="FPC",VLOOKUP(F1475,[1]Info!$E$2:$F$11,2,0),IF(K1475="FGP",VLOOKUP(F1475,[1]Info!$E$9:$F$10,2,0),IF(K1475="F10",VLOOKUP(F1475,[1]Info!$E$2:$F$3,2,0),VLOOKUP(K1475,[1]Info!$A$1:$B$21,2,0))))))</f>
        <v>Energia e Utilidades</v>
      </c>
    </row>
    <row r="1476" spans="1:24" x14ac:dyDescent="0.35">
      <c r="A1476" t="s">
        <v>41</v>
      </c>
      <c r="B1476" t="s">
        <v>122</v>
      </c>
      <c r="C1476" t="s">
        <v>123</v>
      </c>
      <c r="D1476" t="s">
        <v>100</v>
      </c>
      <c r="E1476" t="s">
        <v>65</v>
      </c>
      <c r="F1476">
        <v>7099115</v>
      </c>
      <c r="G1476" t="s">
        <v>124</v>
      </c>
      <c r="H1476" t="s">
        <v>125</v>
      </c>
      <c r="I1476" t="s">
        <v>126</v>
      </c>
      <c r="J1476" t="s">
        <v>79</v>
      </c>
      <c r="K1476" t="s">
        <v>2</v>
      </c>
      <c r="L1476" t="s">
        <v>45</v>
      </c>
      <c r="M1476" t="s">
        <v>2299</v>
      </c>
      <c r="N1476" t="s">
        <v>2300</v>
      </c>
      <c r="O1476" t="s">
        <v>401</v>
      </c>
      <c r="P1476" t="s">
        <v>1292</v>
      </c>
      <c r="Q1476" t="s">
        <v>46</v>
      </c>
      <c r="R1476" t="s">
        <v>47</v>
      </c>
      <c r="S1476" t="s">
        <v>46</v>
      </c>
      <c r="T1476" t="s">
        <v>46</v>
      </c>
      <c r="U1476" s="4">
        <v>3976.52</v>
      </c>
      <c r="V1476" t="str">
        <f t="shared" ref="V1476:V1488" si="23">RIGHT(O1476,4)</f>
        <v>CAPE</v>
      </c>
      <c r="W1476" t="str">
        <f>VLOOKUP(K1476,[1]Info!A$1:B$21,2,0)</f>
        <v>Infra - prédios</v>
      </c>
      <c r="X1476" t="str">
        <f>IF(M1476="109595132","Material de Limpeza-Não Avaliar",IF(AND(K1476="F20",M1476&lt;&gt;109595132),IF(RIGHT(F1476,2)="70","Infraestrutura de Planta","Prédios e Instalações"),IF(K1476="FPC",VLOOKUP(F1476,[1]Info!$E$2:$F$11,2,0),IF(K1476="FGP",VLOOKUP(F1476,[1]Info!$E$9:$F$10,2,0),IF(K1476="F10",VLOOKUP(F1476,[1]Info!$E$2:$F$3,2,0),VLOOKUP(K1476,[1]Info!$A$1:$B$21,2,0))))))</f>
        <v>Prédios e Instalações</v>
      </c>
    </row>
    <row r="1477" spans="1:24" x14ac:dyDescent="0.35">
      <c r="A1477" t="s">
        <v>41</v>
      </c>
      <c r="B1477" t="s">
        <v>243</v>
      </c>
      <c r="C1477" t="s">
        <v>244</v>
      </c>
      <c r="D1477" t="s">
        <v>92</v>
      </c>
      <c r="E1477" t="s">
        <v>71</v>
      </c>
      <c r="F1477">
        <v>7099210</v>
      </c>
      <c r="G1477" t="s">
        <v>18</v>
      </c>
      <c r="H1477" t="s">
        <v>245</v>
      </c>
      <c r="I1477" t="s">
        <v>246</v>
      </c>
      <c r="J1477" t="s">
        <v>247</v>
      </c>
      <c r="K1477" t="s">
        <v>2</v>
      </c>
      <c r="L1477" t="s">
        <v>45</v>
      </c>
      <c r="M1477" t="s">
        <v>1284</v>
      </c>
      <c r="N1477" t="s">
        <v>1285</v>
      </c>
      <c r="O1477" t="s">
        <v>318</v>
      </c>
      <c r="P1477" t="s">
        <v>1292</v>
      </c>
      <c r="Q1477" t="s">
        <v>46</v>
      </c>
      <c r="R1477" t="s">
        <v>47</v>
      </c>
      <c r="S1477" t="s">
        <v>2301</v>
      </c>
      <c r="T1477" t="s">
        <v>2302</v>
      </c>
      <c r="U1477" s="4">
        <v>1233</v>
      </c>
      <c r="V1477" t="str">
        <f t="shared" si="23"/>
        <v>I001</v>
      </c>
      <c r="W1477" t="str">
        <f>VLOOKUP(K1477,[1]Info!A$1:B$21,2,0)</f>
        <v>Infra - prédios</v>
      </c>
      <c r="X1477" t="str">
        <f>IF(M1477="109595132","Material de Limpeza-Não Avaliar",IF(AND(K1477="F20",M1477&lt;&gt;109595132),IF(RIGHT(F1477,2)="70","Infraestrutura de Planta","Prédios e Instalações"),IF(K1477="FPC",VLOOKUP(F1477,[1]Info!$E$2:$F$11,2,0),IF(K1477="FGP",VLOOKUP(F1477,[1]Info!$E$9:$F$10,2,0),IF(K1477="F10",VLOOKUP(F1477,[1]Info!$E$2:$F$3,2,0),VLOOKUP(K1477,[1]Info!$A$1:$B$21,2,0))))))</f>
        <v>Prédios e Instalações</v>
      </c>
    </row>
    <row r="1478" spans="1:24" x14ac:dyDescent="0.35">
      <c r="A1478" t="s">
        <v>41</v>
      </c>
      <c r="B1478" t="s">
        <v>243</v>
      </c>
      <c r="C1478" t="s">
        <v>244</v>
      </c>
      <c r="D1478" t="s">
        <v>92</v>
      </c>
      <c r="E1478" t="s">
        <v>71</v>
      </c>
      <c r="F1478">
        <v>7099210</v>
      </c>
      <c r="G1478" t="s">
        <v>18</v>
      </c>
      <c r="H1478" t="s">
        <v>245</v>
      </c>
      <c r="I1478" t="s">
        <v>246</v>
      </c>
      <c r="J1478" t="s">
        <v>247</v>
      </c>
      <c r="K1478" t="s">
        <v>2</v>
      </c>
      <c r="L1478" t="s">
        <v>45</v>
      </c>
      <c r="M1478" t="s">
        <v>2303</v>
      </c>
      <c r="N1478" t="s">
        <v>2304</v>
      </c>
      <c r="O1478" t="s">
        <v>248</v>
      </c>
      <c r="P1478" t="s">
        <v>1292</v>
      </c>
      <c r="Q1478" t="s">
        <v>46</v>
      </c>
      <c r="R1478" t="s">
        <v>47</v>
      </c>
      <c r="S1478" t="s">
        <v>2305</v>
      </c>
      <c r="T1478" t="s">
        <v>2306</v>
      </c>
      <c r="U1478" s="4">
        <v>3125</v>
      </c>
      <c r="V1478" t="str">
        <f t="shared" si="23"/>
        <v>-C11</v>
      </c>
      <c r="W1478" t="str">
        <f>VLOOKUP(K1478,[1]Info!A$1:B$21,2,0)</f>
        <v>Infra - prédios</v>
      </c>
      <c r="X1478" t="str">
        <f>IF(M1478="109595132","Material de Limpeza-Não Avaliar",IF(AND(K1478="F20",M1478&lt;&gt;109595132),IF(RIGHT(F1478,2)="70","Infraestrutura de Planta","Prédios e Instalações"),IF(K1478="FPC",VLOOKUP(F1478,[1]Info!$E$2:$F$11,2,0),IF(K1478="FGP",VLOOKUP(F1478,[1]Info!$E$9:$F$10,2,0),IF(K1478="F10",VLOOKUP(F1478,[1]Info!$E$2:$F$3,2,0),VLOOKUP(K1478,[1]Info!$A$1:$B$21,2,0))))))</f>
        <v>Prédios e Instalações</v>
      </c>
    </row>
    <row r="1479" spans="1:24" x14ac:dyDescent="0.35">
      <c r="A1479" t="s">
        <v>41</v>
      </c>
      <c r="B1479" t="s">
        <v>243</v>
      </c>
      <c r="C1479" t="s">
        <v>244</v>
      </c>
      <c r="D1479" t="s">
        <v>96</v>
      </c>
      <c r="E1479" t="s">
        <v>64</v>
      </c>
      <c r="F1479">
        <v>7099210</v>
      </c>
      <c r="G1479" t="s">
        <v>18</v>
      </c>
      <c r="H1479" t="s">
        <v>245</v>
      </c>
      <c r="I1479" t="s">
        <v>246</v>
      </c>
      <c r="J1479" t="s">
        <v>247</v>
      </c>
      <c r="K1479" t="s">
        <v>17</v>
      </c>
      <c r="L1479" t="s">
        <v>45</v>
      </c>
      <c r="M1479" t="s">
        <v>2307</v>
      </c>
      <c r="N1479" t="s">
        <v>2308</v>
      </c>
      <c r="O1479" t="s">
        <v>2309</v>
      </c>
      <c r="P1479" t="s">
        <v>1292</v>
      </c>
      <c r="Q1479" t="s">
        <v>46</v>
      </c>
      <c r="R1479" t="s">
        <v>47</v>
      </c>
      <c r="S1479" t="s">
        <v>46</v>
      </c>
      <c r="T1479" t="s">
        <v>46</v>
      </c>
      <c r="U1479" s="4">
        <v>186.4</v>
      </c>
      <c r="V1479" t="str">
        <f t="shared" si="23"/>
        <v>I001</v>
      </c>
      <c r="W1479" t="str">
        <f>VLOOKUP(K1479,[1]Info!A$1:B$21,2,0)</f>
        <v>Energia e Utilidades</v>
      </c>
      <c r="X1479" t="str">
        <f>IF(M1479="109595132","Material de Limpeza-Não Avaliar",IF(AND(K1479="F20",M1479&lt;&gt;109595132),IF(RIGHT(F1479,2)="70","Infraestrutura de Planta","Prédios e Instalações"),IF(K1479="FPC",VLOOKUP(F1479,[1]Info!$E$2:$F$11,2,0),IF(K1479="FGP",VLOOKUP(F1479,[1]Info!$E$9:$F$10,2,0),IF(K1479="F10",VLOOKUP(F1479,[1]Info!$E$2:$F$3,2,0),VLOOKUP(K1479,[1]Info!$A$1:$B$21,2,0))))))</f>
        <v>Energia e Utilidades</v>
      </c>
    </row>
    <row r="1480" spans="1:24" x14ac:dyDescent="0.35">
      <c r="A1480" t="s">
        <v>41</v>
      </c>
      <c r="B1480" t="s">
        <v>243</v>
      </c>
      <c r="C1480" t="s">
        <v>244</v>
      </c>
      <c r="D1480" t="s">
        <v>94</v>
      </c>
      <c r="E1480" t="s">
        <v>52</v>
      </c>
      <c r="F1480">
        <v>7099210</v>
      </c>
      <c r="G1480" t="s">
        <v>18</v>
      </c>
      <c r="H1480" t="s">
        <v>245</v>
      </c>
      <c r="I1480" t="s">
        <v>246</v>
      </c>
      <c r="J1480" t="s">
        <v>247</v>
      </c>
      <c r="K1480" t="s">
        <v>2</v>
      </c>
      <c r="L1480" t="s">
        <v>45</v>
      </c>
      <c r="M1480" t="s">
        <v>1284</v>
      </c>
      <c r="N1480" t="s">
        <v>1285</v>
      </c>
      <c r="O1480" t="s">
        <v>318</v>
      </c>
      <c r="P1480" t="s">
        <v>1292</v>
      </c>
      <c r="Q1480" t="s">
        <v>46</v>
      </c>
      <c r="R1480" t="s">
        <v>47</v>
      </c>
      <c r="S1480" t="s">
        <v>46</v>
      </c>
      <c r="T1480" t="s">
        <v>46</v>
      </c>
      <c r="U1480" s="4">
        <v>102</v>
      </c>
      <c r="V1480" t="str">
        <f t="shared" si="23"/>
        <v>I001</v>
      </c>
      <c r="W1480" t="str">
        <f>VLOOKUP(K1480,[1]Info!A$1:B$21,2,0)</f>
        <v>Infra - prédios</v>
      </c>
      <c r="X1480" t="str">
        <f>IF(M1480="109595132","Material de Limpeza-Não Avaliar",IF(AND(K1480="F20",M1480&lt;&gt;109595132),IF(RIGHT(F1480,2)="70","Infraestrutura de Planta","Prédios e Instalações"),IF(K1480="FPC",VLOOKUP(F1480,[1]Info!$E$2:$F$11,2,0),IF(K1480="FGP",VLOOKUP(F1480,[1]Info!$E$9:$F$10,2,0),IF(K1480="F10",VLOOKUP(F1480,[1]Info!$E$2:$F$3,2,0),VLOOKUP(K1480,[1]Info!$A$1:$B$21,2,0))))))</f>
        <v>Prédios e Instalações</v>
      </c>
    </row>
    <row r="1481" spans="1:24" x14ac:dyDescent="0.35">
      <c r="A1481" t="s">
        <v>41</v>
      </c>
      <c r="B1481" t="s">
        <v>243</v>
      </c>
      <c r="C1481" t="s">
        <v>244</v>
      </c>
      <c r="D1481" t="s">
        <v>94</v>
      </c>
      <c r="E1481" t="s">
        <v>52</v>
      </c>
      <c r="F1481">
        <v>7099210</v>
      </c>
      <c r="G1481" t="s">
        <v>18</v>
      </c>
      <c r="H1481" t="s">
        <v>245</v>
      </c>
      <c r="I1481" t="s">
        <v>246</v>
      </c>
      <c r="J1481" t="s">
        <v>247</v>
      </c>
      <c r="K1481" t="s">
        <v>2</v>
      </c>
      <c r="L1481" t="s">
        <v>45</v>
      </c>
      <c r="M1481" t="s">
        <v>2303</v>
      </c>
      <c r="N1481" t="s">
        <v>2304</v>
      </c>
      <c r="O1481" t="s">
        <v>248</v>
      </c>
      <c r="P1481" t="s">
        <v>1292</v>
      </c>
      <c r="Q1481" t="s">
        <v>46</v>
      </c>
      <c r="R1481" t="s">
        <v>47</v>
      </c>
      <c r="S1481" t="s">
        <v>46</v>
      </c>
      <c r="T1481" t="s">
        <v>46</v>
      </c>
      <c r="U1481" s="4">
        <v>480</v>
      </c>
      <c r="V1481" t="str">
        <f t="shared" si="23"/>
        <v>-C11</v>
      </c>
      <c r="W1481" t="str">
        <f>VLOOKUP(K1481,[1]Info!A$1:B$21,2,0)</f>
        <v>Infra - prédios</v>
      </c>
      <c r="X1481" t="str">
        <f>IF(M1481="109595132","Material de Limpeza-Não Avaliar",IF(AND(K1481="F20",M1481&lt;&gt;109595132),IF(RIGHT(F1481,2)="70","Infraestrutura de Planta","Prédios e Instalações"),IF(K1481="FPC",VLOOKUP(F1481,[1]Info!$E$2:$F$11,2,0),IF(K1481="FGP",VLOOKUP(F1481,[1]Info!$E$9:$F$10,2,0),IF(K1481="F10",VLOOKUP(F1481,[1]Info!$E$2:$F$3,2,0),VLOOKUP(K1481,[1]Info!$A$1:$B$21,2,0))))))</f>
        <v>Prédios e Instalações</v>
      </c>
    </row>
    <row r="1482" spans="1:24" x14ac:dyDescent="0.35">
      <c r="A1482" t="s">
        <v>41</v>
      </c>
      <c r="B1482" t="s">
        <v>243</v>
      </c>
      <c r="C1482" t="s">
        <v>244</v>
      </c>
      <c r="D1482" t="s">
        <v>144</v>
      </c>
      <c r="E1482" t="s">
        <v>145</v>
      </c>
      <c r="F1482">
        <v>7099210</v>
      </c>
      <c r="G1482" t="s">
        <v>18</v>
      </c>
      <c r="H1482" t="s">
        <v>245</v>
      </c>
      <c r="I1482" t="s">
        <v>246</v>
      </c>
      <c r="J1482" t="s">
        <v>247</v>
      </c>
      <c r="K1482" t="s">
        <v>2</v>
      </c>
      <c r="L1482" t="s">
        <v>45</v>
      </c>
      <c r="M1482" t="s">
        <v>1284</v>
      </c>
      <c r="N1482" t="s">
        <v>1285</v>
      </c>
      <c r="O1482" t="s">
        <v>318</v>
      </c>
      <c r="P1482" t="s">
        <v>383</v>
      </c>
      <c r="Q1482" t="s">
        <v>1278</v>
      </c>
      <c r="R1482" t="s">
        <v>1279</v>
      </c>
      <c r="S1482" t="s">
        <v>46</v>
      </c>
      <c r="T1482" t="s">
        <v>46</v>
      </c>
      <c r="U1482" s="4">
        <v>617.69000000000005</v>
      </c>
      <c r="V1482" t="str">
        <f t="shared" si="23"/>
        <v>I001</v>
      </c>
      <c r="W1482" t="str">
        <f>VLOOKUP(K1482,[1]Info!A$1:B$21,2,0)</f>
        <v>Infra - prédios</v>
      </c>
      <c r="X1482" t="str">
        <f>IF(M1482="109595132","Material de Limpeza-Não Avaliar",IF(AND(K1482="F20",M1482&lt;&gt;109595132),IF(RIGHT(F1482,2)="70","Infraestrutura de Planta","Prédios e Instalações"),IF(K1482="FPC",VLOOKUP(F1482,[1]Info!$E$2:$F$11,2,0),IF(K1482="FGP",VLOOKUP(F1482,[1]Info!$E$9:$F$10,2,0),IF(K1482="F10",VLOOKUP(F1482,[1]Info!$E$2:$F$3,2,0),VLOOKUP(K1482,[1]Info!$A$1:$B$21,2,0))))))</f>
        <v>Prédios e Instalações</v>
      </c>
    </row>
    <row r="1483" spans="1:24" x14ac:dyDescent="0.35">
      <c r="A1483" t="s">
        <v>41</v>
      </c>
      <c r="B1483" t="s">
        <v>243</v>
      </c>
      <c r="C1483" t="s">
        <v>244</v>
      </c>
      <c r="D1483" t="s">
        <v>144</v>
      </c>
      <c r="E1483" t="s">
        <v>145</v>
      </c>
      <c r="F1483">
        <v>7099210</v>
      </c>
      <c r="G1483" t="s">
        <v>18</v>
      </c>
      <c r="H1483" t="s">
        <v>245</v>
      </c>
      <c r="I1483" t="s">
        <v>246</v>
      </c>
      <c r="J1483" t="s">
        <v>247</v>
      </c>
      <c r="K1483" t="s">
        <v>2</v>
      </c>
      <c r="L1483" t="s">
        <v>45</v>
      </c>
      <c r="M1483" t="s">
        <v>1284</v>
      </c>
      <c r="N1483" t="s">
        <v>1285</v>
      </c>
      <c r="O1483" t="s">
        <v>318</v>
      </c>
      <c r="P1483" t="s">
        <v>1292</v>
      </c>
      <c r="Q1483" t="s">
        <v>46</v>
      </c>
      <c r="R1483" t="s">
        <v>47</v>
      </c>
      <c r="S1483" t="s">
        <v>46</v>
      </c>
      <c r="T1483" t="s">
        <v>46</v>
      </c>
      <c r="U1483" s="4">
        <v>68</v>
      </c>
      <c r="V1483" t="str">
        <f t="shared" si="23"/>
        <v>I001</v>
      </c>
      <c r="W1483" t="str">
        <f>VLOOKUP(K1483,[1]Info!A$1:B$21,2,0)</f>
        <v>Infra - prédios</v>
      </c>
      <c r="X1483" t="str">
        <f>IF(M1483="109595132","Material de Limpeza-Não Avaliar",IF(AND(K1483="F20",M1483&lt;&gt;109595132),IF(RIGHT(F1483,2)="70","Infraestrutura de Planta","Prédios e Instalações"),IF(K1483="FPC",VLOOKUP(F1483,[1]Info!$E$2:$F$11,2,0),IF(K1483="FGP",VLOOKUP(F1483,[1]Info!$E$9:$F$10,2,0),IF(K1483="F10",VLOOKUP(F1483,[1]Info!$E$2:$F$3,2,0),VLOOKUP(K1483,[1]Info!$A$1:$B$21,2,0))))))</f>
        <v>Prédios e Instalações</v>
      </c>
    </row>
    <row r="1484" spans="1:24" x14ac:dyDescent="0.35">
      <c r="A1484" t="s">
        <v>41</v>
      </c>
      <c r="B1484" t="s">
        <v>243</v>
      </c>
      <c r="C1484" t="s">
        <v>244</v>
      </c>
      <c r="D1484" t="s">
        <v>144</v>
      </c>
      <c r="E1484" t="s">
        <v>145</v>
      </c>
      <c r="F1484">
        <v>7099210</v>
      </c>
      <c r="G1484" t="s">
        <v>18</v>
      </c>
      <c r="H1484" t="s">
        <v>245</v>
      </c>
      <c r="I1484" t="s">
        <v>246</v>
      </c>
      <c r="J1484" t="s">
        <v>247</v>
      </c>
      <c r="K1484" t="s">
        <v>2</v>
      </c>
      <c r="L1484" t="s">
        <v>45</v>
      </c>
      <c r="M1484" t="s">
        <v>2310</v>
      </c>
      <c r="N1484" t="s">
        <v>2311</v>
      </c>
      <c r="O1484" t="s">
        <v>2312</v>
      </c>
      <c r="P1484" t="s">
        <v>1292</v>
      </c>
      <c r="Q1484" t="s">
        <v>46</v>
      </c>
      <c r="R1484" t="s">
        <v>47</v>
      </c>
      <c r="S1484" t="s">
        <v>46</v>
      </c>
      <c r="T1484" t="s">
        <v>46</v>
      </c>
      <c r="U1484" s="4">
        <v>1580</v>
      </c>
      <c r="V1484" t="str">
        <f t="shared" si="23"/>
        <v>-110</v>
      </c>
      <c r="W1484" t="str">
        <f>VLOOKUP(K1484,[1]Info!A$1:B$21,2,0)</f>
        <v>Infra - prédios</v>
      </c>
      <c r="X1484" t="str">
        <f>IF(M1484="109595132","Material de Limpeza-Não Avaliar",IF(AND(K1484="F20",M1484&lt;&gt;109595132),IF(RIGHT(F1484,2)="70","Infraestrutura de Planta","Prédios e Instalações"),IF(K1484="FPC",VLOOKUP(F1484,[1]Info!$E$2:$F$11,2,0),IF(K1484="FGP",VLOOKUP(F1484,[1]Info!$E$9:$F$10,2,0),IF(K1484="F10",VLOOKUP(F1484,[1]Info!$E$2:$F$3,2,0),VLOOKUP(K1484,[1]Info!$A$1:$B$21,2,0))))))</f>
        <v>Prédios e Instalações</v>
      </c>
    </row>
    <row r="1485" spans="1:24" x14ac:dyDescent="0.35">
      <c r="A1485" t="s">
        <v>41</v>
      </c>
      <c r="B1485" t="s">
        <v>243</v>
      </c>
      <c r="C1485" t="s">
        <v>244</v>
      </c>
      <c r="D1485" t="s">
        <v>144</v>
      </c>
      <c r="E1485" t="s">
        <v>145</v>
      </c>
      <c r="F1485">
        <v>7099210</v>
      </c>
      <c r="G1485" t="s">
        <v>18</v>
      </c>
      <c r="H1485" t="s">
        <v>245</v>
      </c>
      <c r="I1485" t="s">
        <v>246</v>
      </c>
      <c r="J1485" t="s">
        <v>247</v>
      </c>
      <c r="K1485" t="s">
        <v>2</v>
      </c>
      <c r="L1485" t="s">
        <v>45</v>
      </c>
      <c r="M1485" t="s">
        <v>327</v>
      </c>
      <c r="N1485" t="s">
        <v>328</v>
      </c>
      <c r="O1485" t="s">
        <v>248</v>
      </c>
      <c r="P1485" t="s">
        <v>1292</v>
      </c>
      <c r="Q1485" t="s">
        <v>46</v>
      </c>
      <c r="R1485" t="s">
        <v>47</v>
      </c>
      <c r="S1485" t="s">
        <v>46</v>
      </c>
      <c r="T1485" t="s">
        <v>46</v>
      </c>
      <c r="U1485" s="4">
        <v>911.2</v>
      </c>
      <c r="V1485" t="str">
        <f t="shared" si="23"/>
        <v>-C11</v>
      </c>
      <c r="W1485" t="str">
        <f>VLOOKUP(K1485,[1]Info!A$1:B$21,2,0)</f>
        <v>Infra - prédios</v>
      </c>
      <c r="X1485" t="str">
        <f>IF(M1485="109595132","Material de Limpeza-Não Avaliar",IF(AND(K1485="F20",M1485&lt;&gt;109595132),IF(RIGHT(F1485,2)="70","Infraestrutura de Planta","Prédios e Instalações"),IF(K1485="FPC",VLOOKUP(F1485,[1]Info!$E$2:$F$11,2,0),IF(K1485="FGP",VLOOKUP(F1485,[1]Info!$E$9:$F$10,2,0),IF(K1485="F10",VLOOKUP(F1485,[1]Info!$E$2:$F$3,2,0),VLOOKUP(K1485,[1]Info!$A$1:$B$21,2,0))))))</f>
        <v>Prédios e Instalações</v>
      </c>
    </row>
    <row r="1486" spans="1:24" x14ac:dyDescent="0.35">
      <c r="A1486" t="s">
        <v>41</v>
      </c>
      <c r="B1486" t="s">
        <v>243</v>
      </c>
      <c r="C1486" t="s">
        <v>244</v>
      </c>
      <c r="D1486" t="s">
        <v>106</v>
      </c>
      <c r="E1486" t="s">
        <v>107</v>
      </c>
      <c r="F1486">
        <v>7099210</v>
      </c>
      <c r="G1486" t="s">
        <v>18</v>
      </c>
      <c r="H1486" t="s">
        <v>245</v>
      </c>
      <c r="I1486" t="s">
        <v>246</v>
      </c>
      <c r="J1486" t="s">
        <v>247</v>
      </c>
      <c r="K1486" t="s">
        <v>2</v>
      </c>
      <c r="L1486" t="s">
        <v>45</v>
      </c>
      <c r="M1486" t="s">
        <v>2313</v>
      </c>
      <c r="N1486" t="s">
        <v>2314</v>
      </c>
      <c r="O1486" t="s">
        <v>2315</v>
      </c>
      <c r="P1486" t="s">
        <v>1292</v>
      </c>
      <c r="Q1486" t="s">
        <v>46</v>
      </c>
      <c r="R1486" t="s">
        <v>47</v>
      </c>
      <c r="S1486" t="s">
        <v>1476</v>
      </c>
      <c r="T1486" t="s">
        <v>1477</v>
      </c>
      <c r="U1486" s="4">
        <v>2407.37</v>
      </c>
      <c r="V1486" t="str">
        <f t="shared" si="23"/>
        <v>SI01</v>
      </c>
      <c r="W1486" t="str">
        <f>VLOOKUP(K1486,[1]Info!A$1:B$21,2,0)</f>
        <v>Infra - prédios</v>
      </c>
      <c r="X1486" t="str">
        <f>IF(M1486="109595132","Material de Limpeza-Não Avaliar",IF(AND(K1486="F20",M1486&lt;&gt;109595132),IF(RIGHT(F1486,2)="70","Infraestrutura de Planta","Prédios e Instalações"),IF(K1486="FPC",VLOOKUP(F1486,[1]Info!$E$2:$F$11,2,0),IF(K1486="FGP",VLOOKUP(F1486,[1]Info!$E$9:$F$10,2,0),IF(K1486="F10",VLOOKUP(F1486,[1]Info!$E$2:$F$3,2,0),VLOOKUP(K1486,[1]Info!$A$1:$B$21,2,0))))))</f>
        <v>Prédios e Instalações</v>
      </c>
    </row>
    <row r="1487" spans="1:24" x14ac:dyDescent="0.35">
      <c r="A1487" t="s">
        <v>41</v>
      </c>
      <c r="B1487" t="s">
        <v>243</v>
      </c>
      <c r="C1487" t="s">
        <v>244</v>
      </c>
      <c r="D1487" t="s">
        <v>106</v>
      </c>
      <c r="E1487" t="s">
        <v>107</v>
      </c>
      <c r="F1487">
        <v>7099210</v>
      </c>
      <c r="G1487" t="s">
        <v>18</v>
      </c>
      <c r="H1487" t="s">
        <v>245</v>
      </c>
      <c r="I1487" t="s">
        <v>246</v>
      </c>
      <c r="J1487" t="s">
        <v>247</v>
      </c>
      <c r="K1487" t="s">
        <v>2</v>
      </c>
      <c r="L1487" t="s">
        <v>45</v>
      </c>
      <c r="M1487" t="s">
        <v>2316</v>
      </c>
      <c r="N1487" t="s">
        <v>2317</v>
      </c>
      <c r="O1487" t="s">
        <v>2318</v>
      </c>
      <c r="P1487" t="s">
        <v>1292</v>
      </c>
      <c r="Q1487" t="s">
        <v>46</v>
      </c>
      <c r="R1487" t="s">
        <v>47</v>
      </c>
      <c r="S1487" t="s">
        <v>2286</v>
      </c>
      <c r="T1487" t="s">
        <v>2287</v>
      </c>
      <c r="U1487" s="4">
        <v>12455.24</v>
      </c>
      <c r="V1487" t="str">
        <f t="shared" si="23"/>
        <v>-130</v>
      </c>
      <c r="W1487" t="str">
        <f>VLOOKUP(K1487,[1]Info!A$1:B$21,2,0)</f>
        <v>Infra - prédios</v>
      </c>
      <c r="X1487" t="str">
        <f>IF(M1487="109595132","Material de Limpeza-Não Avaliar",IF(AND(K1487="F20",M1487&lt;&gt;109595132),IF(RIGHT(F1487,2)="70","Infraestrutura de Planta","Prédios e Instalações"),IF(K1487="FPC",VLOOKUP(F1487,[1]Info!$E$2:$F$11,2,0),IF(K1487="FGP",VLOOKUP(F1487,[1]Info!$E$9:$F$10,2,0),IF(K1487="F10",VLOOKUP(F1487,[1]Info!$E$2:$F$3,2,0),VLOOKUP(K1487,[1]Info!$A$1:$B$21,2,0))))))</f>
        <v>Prédios e Instalações</v>
      </c>
    </row>
    <row r="1488" spans="1:24" x14ac:dyDescent="0.35">
      <c r="A1488" t="s">
        <v>41</v>
      </c>
      <c r="B1488" t="s">
        <v>243</v>
      </c>
      <c r="C1488" t="s">
        <v>244</v>
      </c>
      <c r="D1488" t="s">
        <v>106</v>
      </c>
      <c r="E1488" t="s">
        <v>107</v>
      </c>
      <c r="F1488">
        <v>7099210</v>
      </c>
      <c r="G1488" t="s">
        <v>18</v>
      </c>
      <c r="H1488" t="s">
        <v>245</v>
      </c>
      <c r="I1488" t="s">
        <v>246</v>
      </c>
      <c r="J1488" t="s">
        <v>247</v>
      </c>
      <c r="K1488" t="s">
        <v>2</v>
      </c>
      <c r="L1488" t="s">
        <v>45</v>
      </c>
      <c r="M1488" t="s">
        <v>2319</v>
      </c>
      <c r="N1488" t="s">
        <v>2320</v>
      </c>
      <c r="O1488" t="s">
        <v>2321</v>
      </c>
      <c r="P1488" t="s">
        <v>1292</v>
      </c>
      <c r="Q1488" t="s">
        <v>46</v>
      </c>
      <c r="R1488" t="s">
        <v>47</v>
      </c>
      <c r="S1488" t="s">
        <v>2286</v>
      </c>
      <c r="T1488" t="s">
        <v>2287</v>
      </c>
      <c r="U1488" s="4">
        <v>12352.74</v>
      </c>
      <c r="V1488" t="str">
        <f t="shared" si="23"/>
        <v>-110</v>
      </c>
      <c r="W1488" t="str">
        <f>VLOOKUP(K1488,[1]Info!A$1:B$21,2,0)</f>
        <v>Infra - prédios</v>
      </c>
      <c r="X1488" t="str">
        <f>IF(M1488="109595132","Material de Limpeza-Não Avaliar",IF(AND(K1488="F20",M1488&lt;&gt;109595132),IF(RIGHT(F1488,2)="70","Infraestrutura de Planta","Prédios e Instalações"),IF(K1488="FPC",VLOOKUP(F1488,[1]Info!$E$2:$F$11,2,0),IF(K1488="FGP",VLOOKUP(F1488,[1]Info!$E$9:$F$10,2,0),IF(K1488="F10",VLOOKUP(F1488,[1]Info!$E$2:$F$3,2,0),VLOOKUP(K1488,[1]Info!$A$1:$B$21,2,0))))))</f>
        <v>Prédios e Instalações</v>
      </c>
    </row>
  </sheetData>
  <autoFilter ref="A1:X1332" xr:uid="{00000000-0001-0000-0100-000000000000}"/>
  <pageMargins left="0.79" right="0.79" top="0.98" bottom="0.98" header="0.49" footer="0.49"/>
</worksheet>
</file>

<file path=docMetadata/LabelInfo.xml><?xml version="1.0" encoding="utf-8"?>
<clbl:labelList xmlns:clbl="http://schemas.microsoft.com/office/2020/mipLabelMetadata">
  <clbl:label id="{e4a59580-5c45-4a89-879f-8053b78bc6f0}" enabled="1" method="Standard" siteId="{88b720d7-40a1-413d-a965-13a8ef6cac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 Thaynara</dc:creator>
  <cp:lastModifiedBy>BRANDAO Rafael</cp:lastModifiedBy>
  <dcterms:created xsi:type="dcterms:W3CDTF">2025-04-16T13:21:10Z</dcterms:created>
  <dcterms:modified xsi:type="dcterms:W3CDTF">2025-11-14T17:19:38Z</dcterms:modified>
</cp:coreProperties>
</file>